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ttack-vectors-knowledge-base" sheetId="1" state="visible" r:id="rId3"/>
    <sheet name="Legenda" sheetId="2" state="visible" r:id="rId4"/>
    <sheet name="Changelog" sheetId="3" state="visible" r:id="rId5"/>
    <sheet name="Overzicht" sheetId="4" state="visible" r:id="rId6"/>
  </sheets>
  <definedNames>
    <definedName function="false" hidden="true" localSheetId="0" name="_xlnm._FilterDatabase" vbProcedure="false">'attack-vectors-knowledge-base'!$A$1:$AE$350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<sst xmlns="http://schemas.openxmlformats.org/spreadsheetml/2006/main" count="7912" uniqueCount="4481">
  <si>
    <t xml:space="preserve">ID</t>
  </si>
  <si>
    <t xml:space="preserve">Scope</t>
  </si>
  <si>
    <t xml:space="preserve">Vector</t>
  </si>
  <si>
    <t xml:space="preserve">Category</t>
  </si>
  <si>
    <t xml:space="preserve">Kill_chain_phase</t>
  </si>
  <si>
    <t xml:space="preserve">Severity_default</t>
  </si>
  <si>
    <t xml:space="preserve">Description</t>
  </si>
  <si>
    <t xml:space="preserve">Impact</t>
  </si>
  <si>
    <t xml:space="preserve">Test_approach</t>
  </si>
  <si>
    <t xml:space="preserve">Remediation</t>
  </si>
  <si>
    <t xml:space="preserve">Detection_note</t>
  </si>
  <si>
    <t xml:space="preserve">OWASP_Top10_2025</t>
  </si>
  <si>
    <t xml:space="preserve">OWASP_API_2023</t>
  </si>
  <si>
    <t xml:space="preserve">WSTG</t>
  </si>
  <si>
    <t xml:space="preserve">ASVS_5.0</t>
  </si>
  <si>
    <t xml:space="preserve">MITRE_ATTACK</t>
  </si>
  <si>
    <t xml:space="preserve">CWE</t>
  </si>
  <si>
    <t xml:space="preserve">PayloadsAllTheThings</t>
  </si>
  <si>
    <t xml:space="preserve">OSCP_plus</t>
  </si>
  <si>
    <t xml:space="preserve">CISSP_domain</t>
  </si>
  <si>
    <t xml:space="preserve">Evidence</t>
  </si>
  <si>
    <t xml:space="preserve">CVSS_score</t>
  </si>
  <si>
    <t xml:space="preserve">CVSS_vector</t>
  </si>
  <si>
    <t xml:space="preserve">Affected_versions</t>
  </si>
  <si>
    <t xml:space="preserve">Fixed_in</t>
  </si>
  <si>
    <t xml:space="preserve">CISA_KEV</t>
  </si>
  <si>
    <t xml:space="preserve">Exploit_public</t>
  </si>
  <si>
    <t xml:space="preserve">Related_IDs</t>
  </si>
  <si>
    <t xml:space="preserve">Other_mapping</t>
  </si>
  <si>
    <t xml:space="preserve">References</t>
  </si>
  <si>
    <t xml:space="preserve">Last_updated</t>
  </si>
  <si>
    <t xml:space="preserve">AV-WEB-01</t>
  </si>
  <si>
    <t xml:space="preserve">Web application</t>
  </si>
  <si>
    <t xml:space="preserve">Broken access control / IDOR</t>
  </si>
  <si>
    <t xml:space="preserve">Authorization</t>
  </si>
  <si>
    <t xml:space="preserve">Privilege escalation</t>
  </si>
  <si>
    <t xml:space="preserve">High</t>
  </si>
  <si>
    <t xml:space="preserve">Object-referenties zonder server-side autorisatiecheck laten toegang tot data van andere gebruikers toe.</t>
  </si>
  <si>
    <t xml:space="preserve">Ongeautoriseerde toegang tot of manipulatie van andermans records.</t>
  </si>
  <si>
    <t xml:space="preserve">Wissel object-identifiers en rollen om en controleer of autorisatie server-side wordt afgedwongen (zie WSTG-ATHZ).</t>
  </si>
  <si>
    <t xml:space="preserve">Dwing autorisatie centraal af per object en per functie; gebruik indirecte referenties.</t>
  </si>
  <si>
    <t xml:space="preserve">Log en alarmeer op toegang tot objecten buiten het bereik van de gebruiker.</t>
  </si>
  <si>
    <t xml:space="preserve">A01:2025</t>
  </si>
  <si>
    <t xml:space="preserve">API1:2023</t>
  </si>
  <si>
    <t xml:space="preserve">WSTG-ATHZ-04</t>
  </si>
  <si>
    <t xml:space="preserve">V8</t>
  </si>
  <si>
    <t xml:space="preserve">T1078</t>
  </si>
  <si>
    <t xml:space="preserve">CWE-639, CWE-284</t>
  </si>
  <si>
    <t xml:space="preserve">Insecure Direct Object References</t>
  </si>
  <si>
    <t xml:space="preserve">Web attacks</t>
  </si>
  <si>
    <t xml:space="preserve">D5</t>
  </si>
  <si>
    <t xml:space="preserve">AV-API-01</t>
  </si>
  <si>
    <t xml:space="preserve">https://owasp.org/www-project-web-security-testing-guide/latest/4-Web_Application_Security_Testing/05-Authorization_Testing/04-Testing_for_Insecure_Direct_Object_References</t>
  </si>
  <si>
    <t xml:space="preserve">2026-10-09</t>
  </si>
  <si>
    <t xml:space="preserve">AV-WEB-02</t>
  </si>
  <si>
    <t xml:space="preserve">Vertical privilege escalation</t>
  </si>
  <si>
    <t xml:space="preserve">Een lager geprivilegieerde gebruiker bereikt functies of data die voor hogere rollen bedoeld zijn.</t>
  </si>
  <si>
    <t xml:space="preserve">Overname van admin-functionaliteit of gevoelige acties.</t>
  </si>
  <si>
    <t xml:space="preserve">Benader admin-endpoints met een gebruikersaccount en controleer rol-enforcement (WSTG-ATHZ).</t>
  </si>
  <si>
    <t xml:space="preserve">Deny-by-default, rolcontrole op elke functie, geen vertrouwen op verborgen UI.</t>
  </si>
  <si>
    <t xml:space="preserve">Alarmeer op admin-acties door niet-admin-accounts.</t>
  </si>
  <si>
    <t xml:space="preserve">API5:2023</t>
  </si>
  <si>
    <t xml:space="preserve">WSTG-ATHZ-02, WSTG-ATHZ-03</t>
  </si>
  <si>
    <t xml:space="preserve">T1068, T1078</t>
  </si>
  <si>
    <t xml:space="preserve">CWE-269</t>
  </si>
  <si>
    <t xml:space="preserve">Privilege Escalation</t>
  </si>
  <si>
    <t xml:space="preserve">AV-API-05, CVE-2025-29927, CVE-2023-22515</t>
  </si>
  <si>
    <t xml:space="preserve">AV-WEB-03</t>
  </si>
  <si>
    <t xml:space="preserve">SQL injection</t>
  </si>
  <si>
    <t xml:space="preserve">Injection</t>
  </si>
  <si>
    <t xml:space="preserve">Execution</t>
  </si>
  <si>
    <t xml:space="preserve">Onvertrouwde invoer wordt als SQL geinterpreteerd, waardoor queries manipuleerbaar zijn.</t>
  </si>
  <si>
    <t xml:space="preserve">Uitlezen, wijzigen of verwijderen van database-inhoud; soms code-uitvoering.</t>
  </si>
  <si>
    <t xml:space="preserve">Toets invoervelden op injectie via afwijkend gedrag en foutmeldingen; bevestig met review op parameterized queries (WSTG-INPV).</t>
  </si>
  <si>
    <t xml:space="preserve">Parameterized queries / prepared statements; least-privilege DB-accounts.</t>
  </si>
  <si>
    <t xml:space="preserve">WAF- en DB-anomaliedetectie op ongebruikelijke querypatronen.</t>
  </si>
  <si>
    <t xml:space="preserve">A05:2025</t>
  </si>
  <si>
    <t xml:space="preserve">WSTG-INPV-05</t>
  </si>
  <si>
    <t xml:space="preserve">V1, V2</t>
  </si>
  <si>
    <t xml:space="preserve">T1190</t>
  </si>
  <si>
    <t xml:space="preserve">CWE-89</t>
  </si>
  <si>
    <t xml:space="preserve">SQL Injection</t>
  </si>
  <si>
    <t xml:space="preserve">D8</t>
  </si>
  <si>
    <t xml:space="preserve">AV-WEB-36, CVE-2023-34362, CVE-2026-9082, CVE-2026-72898</t>
  </si>
  <si>
    <t xml:space="preserve">AV-WEB-04</t>
  </si>
  <si>
    <t xml:space="preserve">Command injection</t>
  </si>
  <si>
    <t xml:space="preserve">Critical</t>
  </si>
  <si>
    <t xml:space="preserve">Invoer bereikt een OS-command-interpreter en laat uitvoering van systeemcommando's toe.</t>
  </si>
  <si>
    <t xml:space="preserve">Uitvoering van commando's op de host, potentieel volledige compromittering.</t>
  </si>
  <si>
    <t xml:space="preserve">Identificeer functies die OS-commando's aanroepen en controleer of invoer wordt afgeschermd (WSTG-INPV).</t>
  </si>
  <si>
    <t xml:space="preserve">Vermijd shell-aanroepen; gebruik veilige API's en strikte allowlists.</t>
  </si>
  <si>
    <t xml:space="preserve">Monitor op onverwachte child-processen van webprocessen.</t>
  </si>
  <si>
    <t xml:space="preserve">WSTG-INPV-12</t>
  </si>
  <si>
    <t xml:space="preserve">V1</t>
  </si>
  <si>
    <t xml:space="preserve">T1190, T1059</t>
  </si>
  <si>
    <t xml:space="preserve">CWE-78</t>
  </si>
  <si>
    <t xml:space="preserve">Command Injection</t>
  </si>
  <si>
    <t xml:space="preserve">AV-HOST-02, CVE-2024-4577, CVE-2014-6271, CVE-2024-3400</t>
  </si>
  <si>
    <t xml:space="preserve">AV-WEB-05</t>
  </si>
  <si>
    <t xml:space="preserve">Reflected XSS</t>
  </si>
  <si>
    <t xml:space="preserve">Injection / client-side</t>
  </si>
  <si>
    <t xml:space="preserve">Medium</t>
  </si>
  <si>
    <t xml:space="preserve">Onge-encodeerde invoer wordt direct in de respons weerspiegeld en in de browser uitgevoerd.</t>
  </si>
  <si>
    <t xml:space="preserve">Uitvoering van script in de context van het slachtoffer; sessiediefstal, phishing.</t>
  </si>
  <si>
    <t xml:space="preserve">Controleer of gereflecteerde invoer context-correct wordt ge-encodeerd (WSTG-CLNT).</t>
  </si>
  <si>
    <t xml:space="preserve">Output-encoding per context; Content Security Policy als extra laag.</t>
  </si>
  <si>
    <t xml:space="preserve">CSP-report-endpoints en afwijkende URL-parameters loggen.</t>
  </si>
  <si>
    <t xml:space="preserve">WSTG-INPV-01</t>
  </si>
  <si>
    <t xml:space="preserve">V1, V3</t>
  </si>
  <si>
    <t xml:space="preserve">T1059.007, T1539</t>
  </si>
  <si>
    <t xml:space="preserve">CWE-79</t>
  </si>
  <si>
    <t xml:space="preserve">XSS Injection</t>
  </si>
  <si>
    <t xml:space="preserve">AV-WEB-41, AV-WEB-42, AV-WEB-19</t>
  </si>
  <si>
    <t xml:space="preserve">AV-WEB-06</t>
  </si>
  <si>
    <t xml:space="preserve">Stored XSS</t>
  </si>
  <si>
    <t xml:space="preserve">Kwaadaardige invoer wordt opgeslagen en later ongeencodeerd aan andere gebruikers getoond.</t>
  </si>
  <si>
    <t xml:space="preserve">Breed bereik; script draait bij elke bezoeker van de getroffen pagina.</t>
  </si>
  <si>
    <t xml:space="preserve">Plaats gemarkeerde invoer en controleer encoding bij weergave elders (WSTG-CLNT).</t>
  </si>
  <si>
    <t xml:space="preserve">Output-encoding en input-sanitisatie; CSP.</t>
  </si>
  <si>
    <t xml:space="preserve">Content-integriteit en CSP-violations monitoren.</t>
  </si>
  <si>
    <t xml:space="preserve">WSTG-INPV-02</t>
  </si>
  <si>
    <t xml:space="preserve">AV-WEB-41, AV-WEB-05</t>
  </si>
  <si>
    <t xml:space="preserve">AV-WEB-07</t>
  </si>
  <si>
    <t xml:space="preserve">Server-side request forgery (SSRF)</t>
  </si>
  <si>
    <t xml:space="preserve">Access control</t>
  </si>
  <si>
    <t xml:space="preserve">Discovery</t>
  </si>
  <si>
    <t xml:space="preserve">De server wordt aangezet tot het benaderen van interne of onbedoelde bestemmingen.</t>
  </si>
  <si>
    <t xml:space="preserve">Toegang tot interne services, metadata-endpoints en netwerkverkenning.</t>
  </si>
  <si>
    <t xml:space="preserve">Controleer of gebruikersgestuurde URL's server-side worden gevalideerd tegen een allowlist (WSTG-INPV).</t>
  </si>
  <si>
    <t xml:space="preserve">Allowlist voor bestemmingen; blokkeer interne ranges en metadata-IP's.</t>
  </si>
  <si>
    <t xml:space="preserve">Egress-filtering en alarmering op interne calls vanuit app-servers.</t>
  </si>
  <si>
    <t xml:space="preserve">WSTG-INPV-19</t>
  </si>
  <si>
    <t xml:space="preserve">V4</t>
  </si>
  <si>
    <t xml:space="preserve">CWE-918</t>
  </si>
  <si>
    <t xml:space="preserve">Server Side Request Forgery</t>
  </si>
  <si>
    <t xml:space="preserve">AV-API-07, AV-CLD-05, CVE-2021-26855, CVE-2026-64849</t>
  </si>
  <si>
    <t xml:space="preserve">AV-WEB-08</t>
  </si>
  <si>
    <t xml:space="preserve">XML external entity (XXE)</t>
  </si>
  <si>
    <t xml:space="preserve">Een XML-parser verwerkt externe entiteiten en laat bestands- of netwerktoegang toe.</t>
  </si>
  <si>
    <t xml:space="preserve">Uitlezen van lokale bestanden, SSRF en denial-of-service.</t>
  </si>
  <si>
    <t xml:space="preserve">Controleer of XML-parsers externe entiteiten en DTD's uitschakelen (WSTG-INPV).</t>
  </si>
  <si>
    <t xml:space="preserve">Schakel DTD/externe-entiteitverwerking uit in de parser.</t>
  </si>
  <si>
    <t xml:space="preserve">Alarmeer op uitgaande calls vanuit XML-verwerkende componenten.</t>
  </si>
  <si>
    <t xml:space="preserve">WSTG-INPV-07</t>
  </si>
  <si>
    <t xml:space="preserve">CWE-611</t>
  </si>
  <si>
    <t xml:space="preserve">XXE Injection</t>
  </si>
  <si>
    <t xml:space="preserve">AV-WEB-31</t>
  </si>
  <si>
    <t xml:space="preserve">AV-WEB-09</t>
  </si>
  <si>
    <t xml:space="preserve">Insecure deserialization</t>
  </si>
  <si>
    <t xml:space="preserve">Integrity</t>
  </si>
  <si>
    <t xml:space="preserve">Onvertrouwde geserialiseerde data wordt verwerkt zonder integriteitscontrole.</t>
  </si>
  <si>
    <t xml:space="preserve">Objectinjectie tot en met remote code execution.</t>
  </si>
  <si>
    <t xml:space="preserve">Identificeer deserialisatiepunten en controleer op integriteits-/typecontrole (WSTG-INPV).</t>
  </si>
  <si>
    <t xml:space="preserve">Vermijd native deserialisatie van onvertrouwde data; gebruik signed formaten.</t>
  </si>
  <si>
    <t xml:space="preserve">Monitor op deserialisatiefouten en onverwachte objecttypes.</t>
  </si>
  <si>
    <t xml:space="preserve">A08:2025</t>
  </si>
  <si>
    <t xml:space="preserve">WSTG-INPV (geen specifieke test)</t>
  </si>
  <si>
    <t xml:space="preserve">CWE-502</t>
  </si>
  <si>
    <t xml:space="preserve">Insecure Deserialization</t>
  </si>
  <si>
    <t xml:space="preserve">CVE-2025-53770, CVE-2025-55182, CVE-2023-46604, CVE-2019-18935, CVE-2025-59287</t>
  </si>
  <si>
    <t xml:space="preserve">AV-WEB-10</t>
  </si>
  <si>
    <t xml:space="preserve">Unrestricted file upload</t>
  </si>
  <si>
    <t xml:space="preserve">File handling</t>
  </si>
  <si>
    <t xml:space="preserve">Uploads worden onvoldoende gevalideerd op type, inhoud en opslaglocatie.</t>
  </si>
  <si>
    <t xml:space="preserve">Plaatsing van uitvoerbare bestanden; mogelijk code-uitvoering.</t>
  </si>
  <si>
    <t xml:space="preserve">Controleer server-side validatie van type/inhoud en of de opslag buiten webroot ligt (WSTG-BUSL/INPV).</t>
  </si>
  <si>
    <t xml:space="preserve">Valideer inhoud, hernoem bestanden, sla buiten webroot op, blokkeer uitvoering.</t>
  </si>
  <si>
    <t xml:space="preserve">Monitor uploadmappen op uitvoerbare bestanden.</t>
  </si>
  <si>
    <t xml:space="preserve">WSTG-BUSL-08, WSTG-BUSL-09</t>
  </si>
  <si>
    <t xml:space="preserve">V5</t>
  </si>
  <si>
    <t xml:space="preserve">T1190, T1505.003</t>
  </si>
  <si>
    <t xml:space="preserve">CWE-434</t>
  </si>
  <si>
    <t xml:space="preserve">Upload Insecure Files</t>
  </si>
  <si>
    <t xml:space="preserve">CVE-2025-31324, CVE-2020-14008, CVE-2021-21972</t>
  </si>
  <si>
    <t xml:space="preserve">AV-WEB-11</t>
  </si>
  <si>
    <t xml:space="preserve">Path traversal / LFI / RFI</t>
  </si>
  <si>
    <t xml:space="preserve">Padmanipulatie geeft toegang tot bestanden buiten de bedoelde directory.</t>
  </si>
  <si>
    <t xml:space="preserve">Uitlezen van gevoelige bestanden; soms inclusie en uitvoering.</t>
  </si>
  <si>
    <t xml:space="preserve">Controleer of bestandspaden server-side worden genormaliseerd en beperkt (WSTG-ATHZ).</t>
  </si>
  <si>
    <t xml:space="preserve">Canonicaliseer paden, gebruik allowlists, mijd gebruikersinvoer in paden.</t>
  </si>
  <si>
    <t xml:space="preserve">Alarmeer op traversal-patronen in bestandsverzoeken.</t>
  </si>
  <si>
    <t xml:space="preserve">WSTG-ATHZ-01</t>
  </si>
  <si>
    <t xml:space="preserve">T1190, T1083</t>
  </si>
  <si>
    <t xml:space="preserve">CWE-22, CWE-98</t>
  </si>
  <si>
    <t xml:space="preserve">Directory Traversal / File Inclusion</t>
  </si>
  <si>
    <t xml:space="preserve">CVE-2021-41773, CVE-2021-43798, CVE-2018-13379, CVE-2019-19781</t>
  </si>
  <si>
    <t xml:space="preserve">AV-WEB-12</t>
  </si>
  <si>
    <t xml:space="preserve">Authentication weaknesses</t>
  </si>
  <si>
    <t xml:space="preserve">Authentication</t>
  </si>
  <si>
    <t xml:space="preserve">Credential access</t>
  </si>
  <si>
    <t xml:space="preserve">Zwakke inlogmechanismen laten brute force, credential stuffing of omzeiling toe.</t>
  </si>
  <si>
    <t xml:space="preserve">Accountovername en ongeautoriseerde toegang.</t>
  </si>
  <si>
    <t xml:space="preserve">Controleer lockout, rate-limiting, MFA en resetflows (WSTG-ATHN).</t>
  </si>
  <si>
    <t xml:space="preserve">Sterke MFA, rate-limiting, veilige resetflows, credential-screening.</t>
  </si>
  <si>
    <t xml:space="preserve">Alarmeer op login-anomalieen en spikes in mislukte logins.</t>
  </si>
  <si>
    <t xml:space="preserve">A07:2025</t>
  </si>
  <si>
    <t xml:space="preserve">API2:2023</t>
  </si>
  <si>
    <t xml:space="preserve">WSTG-ATHN-03, WSTG-ATHN-07, WSTG-ATHN-09</t>
  </si>
  <si>
    <t xml:space="preserve">V6</t>
  </si>
  <si>
    <t xml:space="preserve">T1110, T1078</t>
  </si>
  <si>
    <t xml:space="preserve">CWE-307, CWE-521</t>
  </si>
  <si>
    <t xml:space="preserve">Account Takeover</t>
  </si>
  <si>
    <t xml:space="preserve">AV-WEB-43, AV-WEB-44, AV-WEB-45, AV-WEB-46, AV-API-02</t>
  </si>
  <si>
    <t xml:space="preserve">AV-WEB-13</t>
  </si>
  <si>
    <t xml:space="preserve">Session management flaws</t>
  </si>
  <si>
    <t xml:space="preserve">Session</t>
  </si>
  <si>
    <t xml:space="preserve">Zwakke sessietokens, fixation of ontbrekende invalidatie ondermijnen sessieveiligheid.</t>
  </si>
  <si>
    <t xml:space="preserve">Sessiekaping en persistente ongeautoriseerde toegang.</t>
  </si>
  <si>
    <t xml:space="preserve">Controleer tokenentropie, rotatie bij login, en logout-/timeout-invalidatie (WSTG-SESS).</t>
  </si>
  <si>
    <t xml:space="preserve">Veilige cookie-attributen, rotatie na auth, correcte invalidatie.</t>
  </si>
  <si>
    <t xml:space="preserve">Detecteer gelijktijdig gebruik van sessies vanaf meerdere locaties.</t>
  </si>
  <si>
    <t xml:space="preserve">WSTG-SESS-01, WSTG-SESS-03, WSTG-SESS-06, WSTG-SESS-07</t>
  </si>
  <si>
    <t xml:space="preserve">V7</t>
  </si>
  <si>
    <t xml:space="preserve">T1539, T1550.004</t>
  </si>
  <si>
    <t xml:space="preserve">CWE-384, CWE-613</t>
  </si>
  <si>
    <t xml:space="preserve">Session Management</t>
  </si>
  <si>
    <t xml:space="preserve">AV-WEB-47, AV-WEB-53, CVE-2023-4966</t>
  </si>
  <si>
    <t xml:space="preserve">AV-WEB-14</t>
  </si>
  <si>
    <t xml:space="preserve">JWT / token weaknesses</t>
  </si>
  <si>
    <t xml:space="preserve">Session / tokens</t>
  </si>
  <si>
    <t xml:space="preserve">Onjuiste validatie van self-contained tokens (bv. alg-verwarring, zwakke sleutels).</t>
  </si>
  <si>
    <t xml:space="preserve">Vervalsing van identiteit en rechten.</t>
  </si>
  <si>
    <t xml:space="preserve">Controleer handtekeningvalidatie, algorithm-allowlist en claimverificatie (WSTG-SESS).</t>
  </si>
  <si>
    <t xml:space="preserve">Valideer handtekening en alg strikt; korte levensduur; sterke sleutels.</t>
  </si>
  <si>
    <t xml:space="preserve">Alarmeer op tokens met onverwachte alg of issuer.</t>
  </si>
  <si>
    <t xml:space="preserve">WSTG-SESS-10</t>
  </si>
  <si>
    <t xml:space="preserve">V9</t>
  </si>
  <si>
    <t xml:space="preserve">T1606</t>
  </si>
  <si>
    <t xml:space="preserve">CWE-347</t>
  </si>
  <si>
    <t xml:space="preserve">JSON Web Token</t>
  </si>
  <si>
    <t xml:space="preserve">AV-WEB-30, CVE-2026-5430</t>
  </si>
  <si>
    <t xml:space="preserve">AV-WEB-15</t>
  </si>
  <si>
    <t xml:space="preserve">Cross-site request forgery (CSRF)</t>
  </si>
  <si>
    <t xml:space="preserve">Client-side</t>
  </si>
  <si>
    <t xml:space="preserve">Een geauthenticeerde gebruiker voert onbewust een statuswijzigend verzoek uit.</t>
  </si>
  <si>
    <t xml:space="preserve">Ongewenste acties namens het slachtoffer.</t>
  </si>
  <si>
    <t xml:space="preserve">Controleer anti-CSRF-tokens en SameSite-cookiebeleid op statuswijzigende endpoints (WSTG-SESS).</t>
  </si>
  <si>
    <t xml:space="preserve">Anti-CSRF-tokens, SameSite-cookies, herauthenticatie voor gevoelige acties.</t>
  </si>
  <si>
    <t xml:space="preserve">Detecteer statuswijzigingen zonder verwachte token/oorsprong.</t>
  </si>
  <si>
    <t xml:space="preserve">WSTG-SESS-05</t>
  </si>
  <si>
    <t xml:space="preserve">V3</t>
  </si>
  <si>
    <t xml:space="preserve">CWE-352</t>
  </si>
  <si>
    <t xml:space="preserve">CSRF Injection</t>
  </si>
  <si>
    <t xml:space="preserve">AV-WEB-33, AV-WEB-47</t>
  </si>
  <si>
    <t xml:space="preserve">AV-WEB-16</t>
  </si>
  <si>
    <t xml:space="preserve">Server-side template injection (SSTI)</t>
  </si>
  <si>
    <t xml:space="preserve">Invoer wordt door een template-engine geevalueerd in plaats van als data behandeld.</t>
  </si>
  <si>
    <t xml:space="preserve">Template-evaluatie tot en met code-uitvoering.</t>
  </si>
  <si>
    <t xml:space="preserve">Controleer of gebruikersinvoer buiten de template-context blijft (WSTG-INPV).</t>
  </si>
  <si>
    <t xml:space="preserve">Behandel invoer als data; gebruik logic-less templates; sandbox.</t>
  </si>
  <si>
    <t xml:space="preserve">Monitor template-fouten en onverwachte evaluaties.</t>
  </si>
  <si>
    <t xml:space="preserve">WSTG-INPV-18</t>
  </si>
  <si>
    <t xml:space="preserve">CWE-1336</t>
  </si>
  <si>
    <t xml:space="preserve">Server Side Template Injection</t>
  </si>
  <si>
    <t xml:space="preserve">AV-WEB-39, CVE-2023-22527, CVE-2026-75650</t>
  </si>
  <si>
    <t xml:space="preserve">AV-WEB-17</t>
  </si>
  <si>
    <t xml:space="preserve">Open redirect</t>
  </si>
  <si>
    <t xml:space="preserve">Input validation</t>
  </si>
  <si>
    <t xml:space="preserve">Initial access</t>
  </si>
  <si>
    <t xml:space="preserve">Low</t>
  </si>
  <si>
    <t xml:space="preserve">Ongevalideerde redirect-parameters sturen gebruikers naar externe bestemmingen.</t>
  </si>
  <si>
    <t xml:space="preserve">Phishing en omzeiling van oorsprongvertrouwen.</t>
  </si>
  <si>
    <t xml:space="preserve">Controleer of redirect-doelen tegen een allowlist worden gevalideerd (WSTG-CLNT).</t>
  </si>
  <si>
    <t xml:space="preserve">Allowlist van redirect-doelen; vermijd gebruikersgestuurde URL's.</t>
  </si>
  <si>
    <t xml:space="preserve">Log redirects naar externe domeinen.</t>
  </si>
  <si>
    <t xml:space="preserve">WSTG-CLNT-04</t>
  </si>
  <si>
    <t xml:space="preserve">V2</t>
  </si>
  <si>
    <t xml:space="preserve">T1566.002</t>
  </si>
  <si>
    <t xml:space="preserve">CWE-601</t>
  </si>
  <si>
    <t xml:space="preserve">Open Redirect</t>
  </si>
  <si>
    <t xml:space="preserve">AV-WEB-30</t>
  </si>
  <si>
    <t xml:space="preserve">AV-WEB-18</t>
  </si>
  <si>
    <t xml:space="preserve">Security misconfiguration</t>
  </si>
  <si>
    <t xml:space="preserve">Configuration</t>
  </si>
  <si>
    <t xml:space="preserve">Reconnaissance</t>
  </si>
  <si>
    <t xml:space="preserve">Default-instellingen, onnodige features of blootgestelde beheerinterfaces.</t>
  </si>
  <si>
    <t xml:space="preserve">Uiteenlopend, van informatielekkage tot directe compromittering.</t>
  </si>
  <si>
    <t xml:space="preserve">Controleer hardening, default-credentials en blootgestelde interfaces (WSTG-CONF).</t>
  </si>
  <si>
    <t xml:space="preserve">Hardening-baselines, verwijder defaults, minimaliseer features.</t>
  </si>
  <si>
    <t xml:space="preserve">Config-drift-detectie en periodieke hardening-scans.</t>
  </si>
  <si>
    <t xml:space="preserve">A02:2025</t>
  </si>
  <si>
    <t xml:space="preserve">WSTG-CONF-02, WSTG-CONF-05</t>
  </si>
  <si>
    <t xml:space="preserve">V13</t>
  </si>
  <si>
    <t xml:space="preserve">T1592</t>
  </si>
  <si>
    <t xml:space="preserve">CWE-16, CWE-1188</t>
  </si>
  <si>
    <t xml:space="preserve">Methodology and Resources</t>
  </si>
  <si>
    <t xml:space="preserve">Enumeration</t>
  </si>
  <si>
    <t xml:space="preserve">D3</t>
  </si>
  <si>
    <t xml:space="preserve">AV-WEB-48, AV-WEB-49, AV-EXT-07</t>
  </si>
  <si>
    <t xml:space="preserve">AV-WEB-19</t>
  </si>
  <si>
    <t xml:space="preserve">Missing security headers</t>
  </si>
  <si>
    <t xml:space="preserve">Ontbrekende headers (CSP, HSTS, X-Frame-Options) verzwakken browserverdediging.</t>
  </si>
  <si>
    <t xml:space="preserve">Grotere kans op XSS, clickjacking en downgrade.</t>
  </si>
  <si>
    <t xml:space="preserve">Controleer aanwezigheid en correctheid van beveiligingsheaders (WSTG-CONF).</t>
  </si>
  <si>
    <t xml:space="preserve">Stel CSP, HSTS, X-Content-Type-Options en frame-ancestors in.</t>
  </si>
  <si>
    <t xml:space="preserve">Periodieke header-scans in CI.</t>
  </si>
  <si>
    <t xml:space="preserve">WSTG-CONF-07, WSTG-CONF-12</t>
  </si>
  <si>
    <t xml:space="preserve">CWE-693</t>
  </si>
  <si>
    <t xml:space="preserve">AV-WEB-27, AV-WEB-47</t>
  </si>
  <si>
    <t xml:space="preserve">AV-WEB-20</t>
  </si>
  <si>
    <t xml:space="preserve">Cryptographic failures / weak TLS</t>
  </si>
  <si>
    <t xml:space="preserve">Cryptography</t>
  </si>
  <si>
    <t xml:space="preserve">Zwakke algoritmes, verouderde TLS of slecht sleutelbeheer.</t>
  </si>
  <si>
    <t xml:space="preserve">Blootstelling of manipulatie van gevoelige data in transit of at rest.</t>
  </si>
  <si>
    <t xml:space="preserve">Controleer TLS-config, algoritmekeuze en sleutelbeheer (WSTG-CRYP).</t>
  </si>
  <si>
    <t xml:space="preserve">Moderne TLS, sterke suites, correct sleutelbeheer en crypto-agility.</t>
  </si>
  <si>
    <t xml:space="preserve">Monitor op verouderde protocolversies en cipher-downgrades.</t>
  </si>
  <si>
    <t xml:space="preserve">A04:2025</t>
  </si>
  <si>
    <t xml:space="preserve">WSTG-CRYP-01, WSTG-CRYP-04</t>
  </si>
  <si>
    <t xml:space="preserve">V11, V12</t>
  </si>
  <si>
    <t xml:space="preserve">T1557, T1040</t>
  </si>
  <si>
    <t xml:space="preserve">CWE-327</t>
  </si>
  <si>
    <t xml:space="preserve">AV-NET-18, CVE-2014-0160</t>
  </si>
  <si>
    <t xml:space="preserve">AV-WEB-21</t>
  </si>
  <si>
    <t xml:space="preserve">Sensitive data exposure</t>
  </si>
  <si>
    <t xml:space="preserve">Data protection</t>
  </si>
  <si>
    <t xml:space="preserve">Collection</t>
  </si>
  <si>
    <t xml:space="preserve">Gevoelige gegevens worden onvoldoende beschermd of onnodig blootgesteld.</t>
  </si>
  <si>
    <t xml:space="preserve">Datalek en privacyschending.</t>
  </si>
  <si>
    <t xml:space="preserve">Controleer dataclassificatie, versleuteling en minimalisatie in responses (WSTG-ATHZ/CONF).</t>
  </si>
  <si>
    <t xml:space="preserve">Classificeer data, versleutel at rest/in transit, minimaliseer velden.</t>
  </si>
  <si>
    <t xml:space="preserve">DLP en monitoring op ongebruikelijke data-egress.</t>
  </si>
  <si>
    <t xml:space="preserve">WSTG-CRYP-03, WSTG-INFO-05</t>
  </si>
  <si>
    <t xml:space="preserve">V14</t>
  </si>
  <si>
    <t xml:space="preserve">T1005, T1213</t>
  </si>
  <si>
    <t xml:space="preserve">CWE-200</t>
  </si>
  <si>
    <t xml:space="preserve">D2</t>
  </si>
  <si>
    <t xml:space="preserve">AV-WEB-48, AV-WEB-53</t>
  </si>
  <si>
    <t xml:space="preserve">AV-WEB-22</t>
  </si>
  <si>
    <t xml:space="preserve">Business logic flaws</t>
  </si>
  <si>
    <t xml:space="preserve">Business logic</t>
  </si>
  <si>
    <t xml:space="preserve">Legitieme functionaliteit wordt op onbedoelde wijze misbruikt (bv. workflow-bypass, race conditions).</t>
  </si>
  <si>
    <t xml:space="preserve">Fraude, omzeiling van limieten en integriteitsschade.</t>
  </si>
  <si>
    <t xml:space="preserve">Modelleer bedoelde workflows en toets afwijkende volgordes en gelijktijdigheid (WSTG-BUSL).</t>
  </si>
  <si>
    <t xml:space="preserve">Server-side afdwinging van workflow, atomaire operaties, limieten.</t>
  </si>
  <si>
    <t xml:space="preserve">Alarmeer op onmogelijke of te snelle workflow-transities.</t>
  </si>
  <si>
    <t xml:space="preserve">A06:2025</t>
  </si>
  <si>
    <t xml:space="preserve">WSTG-BUSL-01, WSTG-BUSL-06</t>
  </si>
  <si>
    <t xml:space="preserve">CWE-840</t>
  </si>
  <si>
    <t xml:space="preserve">AV-WEB-34, AV-API-06</t>
  </si>
  <si>
    <t xml:space="preserve">AV-WEB-23</t>
  </si>
  <si>
    <t xml:space="preserve">Vulnerable &amp; outdated components</t>
  </si>
  <si>
    <t xml:space="preserve">Supply chain</t>
  </si>
  <si>
    <t xml:space="preserve">Verouderde libraries of frameworks met bekende kwetsbaarheden.</t>
  </si>
  <si>
    <t xml:space="preserve">Exploitatie van bekende CVE's in afhankelijkheden.</t>
  </si>
  <si>
    <t xml:space="preserve">Inventariseer afhankelijkheden en vergelijk versies met bekende adviezen (WSTG-CONF).</t>
  </si>
  <si>
    <t xml:space="preserve">SBOM, dependency-scanning, tijdig patchen.</t>
  </si>
  <si>
    <t xml:space="preserve">Continu SCA en versiemonitoring in de pipeline.</t>
  </si>
  <si>
    <t xml:space="preserve">A03:2025</t>
  </si>
  <si>
    <t xml:space="preserve">WSTG-INFO-02, WSTG-INFO-08</t>
  </si>
  <si>
    <t xml:space="preserve">V15</t>
  </si>
  <si>
    <t xml:space="preserve">CWE-1104</t>
  </si>
  <si>
    <t xml:space="preserve">CVE-2021-44228, CVE-2022-22965, CVE-2017-5638, AV-CLD-19, AV-NET-21</t>
  </si>
  <si>
    <t xml:space="preserve">AV-WEB-24</t>
  </si>
  <si>
    <t xml:space="preserve">Improper error handling</t>
  </si>
  <si>
    <t xml:space="preserve">Error handling</t>
  </si>
  <si>
    <t xml:space="preserve">Verbose fouten lekken details of de applicatie faalt open in plaats van dicht.</t>
  </si>
  <si>
    <t xml:space="preserve">Informatielekkage en omzeiling van controles bij uitzonderingen.</t>
  </si>
  <si>
    <t xml:space="preserve">Forceer foutcondities en beoordeel lekkage en fail-open-gedrag (WSTG-ERRH).</t>
  </si>
  <si>
    <t xml:space="preserve">Generieke foutpagina's, fail-closed-ontwerp, gestructureerde logging.</t>
  </si>
  <si>
    <t xml:space="preserve">Monitor op stacktraces in responses.</t>
  </si>
  <si>
    <t xml:space="preserve">A10:2025</t>
  </si>
  <si>
    <t xml:space="preserve">WSTG-ERRH-01, WSTG-ERRH-02</t>
  </si>
  <si>
    <t xml:space="preserve">V16</t>
  </si>
  <si>
    <t xml:space="preserve">CWE-209</t>
  </si>
  <si>
    <t xml:space="preserve">AV-WEB-48</t>
  </si>
  <si>
    <t xml:space="preserve">AV-WEB-25</t>
  </si>
  <si>
    <t xml:space="preserve">HTTP request smuggling / desync</t>
  </si>
  <si>
    <t xml:space="preserve">Front-end (proxy/load balancer) en back-end interpreteren Content-Length/Transfer-Encoding (of HTTP/2-downgrade) verschillend, waardoor een aanvaller een tweede verzoek in de verbinding kan smokkelen.</t>
  </si>
  <si>
    <t xml:space="preserve">Omzeiling van front-end security controls, kaping van verzoeken van andere gebruikers, cache poisoning en soms accountovername.</t>
  </si>
  <si>
    <t xml:space="preserve">Toets CL.TE-, TE.CL- en H2.CL-desync met timing-based probes op de front-end; bevestig alleen met niet-destructieve payloads en per RoE (WSTG-INPV-15).</t>
  </si>
  <si>
    <t xml:space="preserve">Gebruik end-to-end HTTP/2 of normaliseer ambigue verzoeken op de front-end; weiger verzoeken met zowel CL als TE; sluit back-endverbindingen na elke request; patch proxy/webserver.</t>
  </si>
  <si>
    <t xml:space="preserve">Alarmeer op 400/timeout-pieken en op verzoeken met conflicterende CL/TE-headers op de edge.</t>
  </si>
  <si>
    <t xml:space="preserve">WSTG-INPV-15</t>
  </si>
  <si>
    <t xml:space="preserve">V4, V13</t>
  </si>
  <si>
    <t xml:space="preserve">CWE-444</t>
  </si>
  <si>
    <t xml:space="preserve">Request Smuggling</t>
  </si>
  <si>
    <t xml:space="preserve">https://portswigger.net/web-security/request-smuggling</t>
  </si>
  <si>
    <t xml:space="preserve">AV-WEB-26</t>
  </si>
  <si>
    <t xml:space="preserve">CORS misconfiguration</t>
  </si>
  <si>
    <t xml:space="preserve">Access-Control-Allow-Origin reflecteert willekeurige of null-origins (vaak gecombineerd met Allow-Credentials: true), waardoor een kwaadaardige site geauthenticeerde responses kan uitlezen.</t>
  </si>
  <si>
    <t xml:space="preserve">Cross-origin diefstal van gevoelige data en CSRF-achtige acties namens het slachtoffer.</t>
  </si>
  <si>
    <t xml:space="preserve">Stuur verzoeken met afwijkende Origin-headers (willekeurig, null, subdomein-varianten) en controleer ACAO/ACAC in de respons (WSTG-CLNT-07).</t>
  </si>
  <si>
    <t xml:space="preserve">Strikte allowlist van origins; nooit reflectie van de Origin-header met credentials; geen wildcard op geauthenticeerde endpoints.</t>
  </si>
  <si>
    <t xml:space="preserve">Log en review Origin-headers op geauthenticeerde endpoints; periodieke header-scan in CI.</t>
  </si>
  <si>
    <t xml:space="preserve">API8:2023</t>
  </si>
  <si>
    <t xml:space="preserve">WSTG-CLNT-07</t>
  </si>
  <si>
    <t xml:space="preserve">CWE-942</t>
  </si>
  <si>
    <t xml:space="preserve">CORS Misconfiguration</t>
  </si>
  <si>
    <t xml:space="preserve">https://portswigger.net/web-security/cors</t>
  </si>
  <si>
    <t xml:space="preserve">AV-WEB-27</t>
  </si>
  <si>
    <t xml:space="preserve">Clickjacking / UI redressing</t>
  </si>
  <si>
    <t xml:space="preserve">Pagina's met statuswijzigende functionaliteit kunnen in een (onzichtbaar) frame van een aanvallersdomein worden geladen door ontbrekende frame-ancestors/X-Frame-Options.</t>
  </si>
  <si>
    <t xml:space="preserve">Gebruiker voert onbedoeld acties uit (bv. instellingen wijzigen, transacties bevestigen).</t>
  </si>
  <si>
    <t xml:space="preserve">Controleer CSP frame-ancestors en X-Frame-Options op gevoelige pagina's en maak een framing-PoC (WSTG-CLNT-09).</t>
  </si>
  <si>
    <t xml:space="preserve">Content-Security-Policy: frame-ancestors 'none' of een allowlist; X-Frame-Options als fallback; herauthenticatie voor gevoelige acties.</t>
  </si>
  <si>
    <t xml:space="preserve">Header-scan in CI; CSP-violation-rapportage.</t>
  </si>
  <si>
    <t xml:space="preserve">WSTG-CLNT-09</t>
  </si>
  <si>
    <t xml:space="preserve">CWE-1021</t>
  </si>
  <si>
    <t xml:space="preserve">Clickjacking</t>
  </si>
  <si>
    <t xml:space="preserve">https://cheatsheetseries.owasp.org/cheatsheets/Clickjacking_Defense_Cheat_Sheet.html</t>
  </si>
  <si>
    <t xml:space="preserve">AV-WEB-28</t>
  </si>
  <si>
    <t xml:space="preserve">Subdomain takeover (dangling DNS)</t>
  </si>
  <si>
    <t xml:space="preserve">Een CNAME/A-record verwijst naar een niet-meer-geclaimde externe dienst (cloud storage, SaaS, CDN), waardoor een aanvaller de bestemming kan claimen en content onder het vertrouwde domein kan serveren.</t>
  </si>
  <si>
    <t xml:space="preserve">Phishing onder het eigen domein, cookie-diefstal voor parent-domain cookies, omzeiling van CSP/CORS-vertrouwen.</t>
  </si>
  <si>
    <t xml:space="preserve">Enumereer subdomeinen en controleer DNS-records op verwijzingen naar niet-geclaimde diensten (fingerprints per provider) (WSTG-CONF-10).</t>
  </si>
  <si>
    <t xml:space="preserve">Verwijder verweesde DNS-records bij decommissioning; inventariseer DNS periodiek; claim resources voordat DNS wordt aangemaakt.</t>
  </si>
  <si>
    <t xml:space="preserve">Periodieke DNS-inventaris en monitoring op CNAME's naar externe diensten zonder actieve resource.</t>
  </si>
  <si>
    <t xml:space="preserve">WSTG-CONF-10</t>
  </si>
  <si>
    <t xml:space="preserve">T1584.001</t>
  </si>
  <si>
    <t xml:space="preserve">CWE-284</t>
  </si>
  <si>
    <t xml:space="preserve">Methodology and Resources - Subdomains Enumeration</t>
  </si>
  <si>
    <t xml:space="preserve">D4</t>
  </si>
  <si>
    <t xml:space="preserve">AV-EXT-04</t>
  </si>
  <si>
    <t xml:space="preserve">https://github.com/EdOverflow/can-i-take-over-xyz</t>
  </si>
  <si>
    <t xml:space="preserve">AV-WEB-29</t>
  </si>
  <si>
    <t xml:space="preserve">Host header injection / password reset poisoning</t>
  </si>
  <si>
    <t xml:space="preserve">De applicatie gebruikt de Host- of X-Forwarded-Host-header om absolute URL's te bouwen (bv. in wachtwoordresetmails), waardoor een aanvaller links naar een eigen domein kan injecteren.</t>
  </si>
  <si>
    <t xml:space="preserve">Diefstal van reset-tokens en accountovername; cache poisoning en SSRF-achtige routing.</t>
  </si>
  <si>
    <t xml:space="preserve">Manipuleer Host/X-Forwarded-Host en controleer of gegenereerde links, redirects of cache-keys de waarde overnemen (WSTG-INPV-17).</t>
  </si>
  <si>
    <t xml:space="preserve">Gebruik een geconfigureerde canonieke hostname; valideer Host tegen een allowlist; negeer X-Forwarded-Host tenzij van een vertrouwde proxy.</t>
  </si>
  <si>
    <t xml:space="preserve">Alarmeer op verzoeken met onbekende Host-waarden op de edge.</t>
  </si>
  <si>
    <t xml:space="preserve">WSTG-INPV-17</t>
  </si>
  <si>
    <t xml:space="preserve">V2, V4</t>
  </si>
  <si>
    <t xml:space="preserve">CWE-644, CWE-20</t>
  </si>
  <si>
    <t xml:space="preserve">AV-WEB-45</t>
  </si>
  <si>
    <t xml:space="preserve">https://portswigger.net/web-security/host-header</t>
  </si>
  <si>
    <t xml:space="preserve">OAuth 2.0 / OIDC misconfiguration</t>
  </si>
  <si>
    <t xml:space="preserve">Zwakke redirect_uri-validatie, ontbrekende state/PKCE, implicit flow of te ruime scopes maken diefstal van authorization codes of access tokens mogelijk.</t>
  </si>
  <si>
    <t xml:space="preserve">Accountovername via tokendiefstal of login-CSRF; toegang tot API's namens het slachtoffer.</t>
  </si>
  <si>
    <t xml:space="preserve">Toets redirect_uri-varianten (pad/subdomein/open redirect), ontbreken van state/nonce/PKCE, token-leakage via Referer en scope-escalatie (WSTG-ATHZ-05).</t>
  </si>
  <si>
    <t xml:space="preserve">Exacte redirect_uri-matching, authorization code flow met PKCE, state/nonce verplicht, korte tokenlevensduur, scope-minimalisatie.</t>
  </si>
  <si>
    <t xml:space="preserve">Alarmeer op authorization-verzoeken met afwijkende redirect_uri of ongebruikelijke client/scopes.</t>
  </si>
  <si>
    <t xml:space="preserve">WSTG-ATHZ-05</t>
  </si>
  <si>
    <t xml:space="preserve">V10</t>
  </si>
  <si>
    <t xml:space="preserve">T1528, T1550.001</t>
  </si>
  <si>
    <t xml:space="preserve">CWE-601, CWE-287</t>
  </si>
  <si>
    <t xml:space="preserve">OAuth Misconfiguration</t>
  </si>
  <si>
    <t xml:space="preserve">AV-WEB-17, AV-CLD-10</t>
  </si>
  <si>
    <t xml:space="preserve">https://portswigger.net/web-security/oauth</t>
  </si>
  <si>
    <t xml:space="preserve">SAML / SSO implementation flaws</t>
  </si>
  <si>
    <t xml:space="preserve">Onjuiste validatie van SAML-responses (signature wrapping, ontbrekende/zwakke signature-check, XXE in assertions, ontbrekende audience/recipient-check) laat identiteitsvervalsing toe.</t>
  </si>
  <si>
    <t xml:space="preserve">Impersonatie van willekeurige gebruikers inclusief beheerders bij de service provider.</t>
  </si>
  <si>
    <t xml:space="preserve">Manipuleer SAML-responses (verwijder/vervang signature, XSW, attribuutwijziging, replay) en controleer of de SP de assertion afwijst.</t>
  </si>
  <si>
    <t xml:space="preserve">Gebruik een onderhouden SAML-library, valideer signature op de assertion en response, controleer audience/recipient/NotOnOrAfter, schakel DTD-verwerking uit.</t>
  </si>
  <si>
    <t xml:space="preserve">Alarmeer op SAML-responses met signature-fouten of afwijkende issuer/audience.</t>
  </si>
  <si>
    <t xml:space="preserve">WSTG-ATHN-04</t>
  </si>
  <si>
    <t xml:space="preserve">V6, V9</t>
  </si>
  <si>
    <t xml:space="preserve">T1606.002</t>
  </si>
  <si>
    <t xml:space="preserve">CWE-347, CWE-287</t>
  </si>
  <si>
    <t xml:space="preserve">SAML Injection</t>
  </si>
  <si>
    <t xml:space="preserve">CVE-2022-47966</t>
  </si>
  <si>
    <t xml:space="preserve">https://cheatsheetseries.owasp.org/cheatsheets/SAML_Security_Cheat_Sheet.html</t>
  </si>
  <si>
    <t xml:space="preserve">AV-WEB-32</t>
  </si>
  <si>
    <t xml:space="preserve">GraphQL-specific weaknesses</t>
  </si>
  <si>
    <t xml:space="preserve">Introspection in productie, ontbrekende autorisatie per resolver, batching/aliasing zonder limieten en diepe queries maken informatielekkage, brute force en DoS mogelijk.</t>
  </si>
  <si>
    <t xml:space="preserve">Blootstelling van schema en data, omzeiling van rate limiting, resource-uitputting.</t>
  </si>
  <si>
    <t xml:space="preserve">Controleer introspection, per-field autorisatie, query depth/complexity-limieten en batching-misbruik (WSTG-APIT-01).</t>
  </si>
  <si>
    <t xml:space="preserve">Introspection uit in productie, autorisatie in de resolver-laag, depth/complexity/cost-limieten, limiteer batching en aliasing.</t>
  </si>
  <si>
    <t xml:space="preserve">Monitor op introspection-queries en ongebruikelijk complexe/grote queries.</t>
  </si>
  <si>
    <t xml:space="preserve">API4:2023, API8:2023</t>
  </si>
  <si>
    <t xml:space="preserve">WSTG-APIT-01</t>
  </si>
  <si>
    <t xml:space="preserve">CWE-200, CWE-770</t>
  </si>
  <si>
    <t xml:space="preserve">GraphQL Injection</t>
  </si>
  <si>
    <t xml:space="preserve">AV-API-04</t>
  </si>
  <si>
    <t xml:space="preserve">https://cheatsheetseries.owasp.org/cheatsheets/GraphQL_Cheat_Sheet.html</t>
  </si>
  <si>
    <t xml:space="preserve">AV-WEB-33</t>
  </si>
  <si>
    <t xml:space="preserve">WebSocket weaknesses (CSWSH, missing auth)</t>
  </si>
  <si>
    <t xml:space="preserve">WebSocket-handshakes zonder Origin-validatie of zonder (her)authenticatie laten cross-site WebSocket hijacking en ongeautoriseerde berichten toe; berichten worden vaak niet gevalideerd.</t>
  </si>
  <si>
    <t xml:space="preserve">Lezen en versturen van berichten namens het slachtoffer; injectie via onbeschermde berichtverwerking.</t>
  </si>
  <si>
    <t xml:space="preserve">Test de handshake met een vreemde Origin en zonder sessiecookie; fuzz berichtinhoud op injectie (WSTG-CLNT-10).</t>
  </si>
  <si>
    <t xml:space="preserve">Valideer Origin, gebruik tokens in de handshake, pas dezelfde autorisatie en inputvalidatie toe als op HTTP-endpoints, gebruik wss://.</t>
  </si>
  <si>
    <t xml:space="preserve">Log handshakes met onbekende Origin; monitor berichtvolume per sessie.</t>
  </si>
  <si>
    <t xml:space="preserve">WSTG-CLNT-10</t>
  </si>
  <si>
    <t xml:space="preserve">V3, V4</t>
  </si>
  <si>
    <t xml:space="preserve">CWE-1385, CWE-346</t>
  </si>
  <si>
    <t xml:space="preserve">Web Sockets</t>
  </si>
  <si>
    <t xml:space="preserve">https://portswigger.net/web-security/websockets</t>
  </si>
  <si>
    <t xml:space="preserve">AV-WEB-34</t>
  </si>
  <si>
    <t xml:space="preserve">Race conditions / TOCTOU</t>
  </si>
  <si>
    <t xml:space="preserve">Gelijktijdige verzoeken op niet-atomaire operaties (vouchers, saldo, limieten, OTP-pogingen, registratie) laten limieten overschrijden of controles omzeilen.</t>
  </si>
  <si>
    <t xml:space="preserve">Financiele fraude, dubbele uitbetaling, omzeiling van rate limits en eenmalige acties.</t>
  </si>
  <si>
    <t xml:space="preserve">Verstuur parallelle verzoeken (single-packet/last-byte-sync) op limit-gebonden functies en vergelijk de eindtoestand met de verwachte limiet (WSTG-BUSL-05).</t>
  </si>
  <si>
    <t xml:space="preserve">Atomaire database-operaties/locks, idempotency keys, server-side state-machine, unieke constraints.</t>
  </si>
  <si>
    <t xml:space="preserve">Alarmeer op meerdere geslaagde transacties binnen milliseconden voor dezelfde entiteit.</t>
  </si>
  <si>
    <t xml:space="preserve">API6:2023</t>
  </si>
  <si>
    <t xml:space="preserve">WSTG-BUSL-05</t>
  </si>
  <si>
    <t xml:space="preserve">CWE-362, CWE-367</t>
  </si>
  <si>
    <t xml:space="preserve">Race Condition</t>
  </si>
  <si>
    <t xml:space="preserve">https://portswigger.net/web-security/race-conditions</t>
  </si>
  <si>
    <t xml:space="preserve">AV-WEB-35</t>
  </si>
  <si>
    <t xml:space="preserve">Web cache poisoning / cache deception</t>
  </si>
  <si>
    <t xml:space="preserve">Unkeyed input (headers, parameters, path-normalisatie) beinvloedt gecachte responses, of gevoelige persoonlijke responses worden onder een statisch ogend pad gecached.</t>
  </si>
  <si>
    <t xml:space="preserve">Verspreiding van XSS/redirects naar alle bezoekers, of blootstelling van persoonlijke data via de cache.</t>
  </si>
  <si>
    <t xml:space="preserve">Identificeer cache-gedrag (headers, keys) en toets unkeyed inputs en path-confusion (/account/x.css) op cachebaarheid.</t>
  </si>
  <si>
    <t xml:space="preserve">Cache alleen expliciet statische content, normaliseer pad/parameters consistent op CDN en origin, zet Cache-Control: no-store op persoonlijke responses.</t>
  </si>
  <si>
    <t xml:space="preserve">Monitor cache-hit-ratio's en afwijkende cache-keys; alarmeer op gecachte responses met Set-Cookie.</t>
  </si>
  <si>
    <t xml:space="preserve">WSTG-CONF-13</t>
  </si>
  <si>
    <t xml:space="preserve">V3, V13</t>
  </si>
  <si>
    <t xml:space="preserve">CWE-444, CWE-524</t>
  </si>
  <si>
    <t xml:space="preserve">Web Cache Deception</t>
  </si>
  <si>
    <t xml:space="preserve">https://portswigger.net/web-security/web-cache-poisoning</t>
  </si>
  <si>
    <t xml:space="preserve">AV-WEB-36</t>
  </si>
  <si>
    <t xml:space="preserve">NoSQL injection</t>
  </si>
  <si>
    <t xml:space="preserve">Invoer wordt ongefilterd in NoSQL-queries (MongoDB-operators zoals $ne/$regex/$where, JSON-objecten) opgenomen.</t>
  </si>
  <si>
    <t xml:space="preserve">Authenticatie-omzeiling, uitlezen van collecties, soms server-side JavaScript-uitvoering.</t>
  </si>
  <si>
    <t xml:space="preserve">Injecteer operator-objecten en JSON-typeverandering in parameters/bodies en observeer gedragsafwijkingen (WSTG-INPV-05).</t>
  </si>
  <si>
    <t xml:space="preserve">Strikte schema-/typevalidatie, verbied operator-keys in invoer, gebruik parameterized query-builders, schakel server-side JS uit.</t>
  </si>
  <si>
    <t xml:space="preserve">Alarmeer op query-operators in request-bodies en op afwijkende query-patronen in de database.</t>
  </si>
  <si>
    <t xml:space="preserve">CWE-943</t>
  </si>
  <si>
    <t xml:space="preserve">NoSQL Injection</t>
  </si>
  <si>
    <t xml:space="preserve">https://cheatsheetseries.owasp.org/cheatsheets/Injection_Prevention_Cheat_Sheet.html</t>
  </si>
  <si>
    <t xml:space="preserve">AV-WEB-37</t>
  </si>
  <si>
    <t xml:space="preserve">LDAP / XPath injection</t>
  </si>
  <si>
    <t xml:space="preserve">Invoer wordt zonder escaping in LDAP-filters of XPath-expressies opgenomen (bv. loginformulieren tegen AD of XML-datastores).</t>
  </si>
  <si>
    <t xml:space="preserve">Authenticatie-omzeiling, enumeratie van directory-objecten en uitlezen van XML-data.</t>
  </si>
  <si>
    <t xml:space="preserve">Injecteer filter-metatekens (*, (, ), |, &amp;) en XPath-booleans en controleer op afwijkende resultaten (WSTG-INPV-06, WSTG-INPV-09).</t>
  </si>
  <si>
    <t xml:space="preserve">Escape per context met een library, gebruik allowlists voor invoer, bind met least-privilege service-accounts.</t>
  </si>
  <si>
    <t xml:space="preserve">Alarmeer op LDAP-queries met ongebruikelijke filters vanuit de applicatie.</t>
  </si>
  <si>
    <t xml:space="preserve">WSTG-INPV-06, WSTG-INPV-09</t>
  </si>
  <si>
    <t xml:space="preserve">CWE-90, CWE-643</t>
  </si>
  <si>
    <t xml:space="preserve">LDAP Injection</t>
  </si>
  <si>
    <t xml:space="preserve">https://cheatsheetseries.owasp.org/cheatsheets/LDAP_Injection_Prevention_Cheat_Sheet.html</t>
  </si>
  <si>
    <t xml:space="preserve">AV-WEB-38</t>
  </si>
  <si>
    <t xml:space="preserve">CRLF / HTTP header / e-mail header injection</t>
  </si>
  <si>
    <t xml:space="preserve">Regeleinden in invoer worden niet gefilterd bij het opbouwen van HTTP-headers, logregels of e-mailheaders (SMTP).</t>
  </si>
  <si>
    <t xml:space="preserve">Response splitting, cookie-injectie, log-vervuiling, spam/phishing via de eigen mailserver.</t>
  </si>
  <si>
    <t xml:space="preserve">Injecteer %0d%0a in parameters die in headers, redirects of mailvelden belanden en controleer de uitvoer (WSTG-INPV-15, WSTG-INPV-10).</t>
  </si>
  <si>
    <t xml:space="preserve">Strip of encodeer CR/LF, gebruik framework-API's voor headers en mail, valideer e-mailvelden strikt.</t>
  </si>
  <si>
    <t xml:space="preserve">Monitor op onverwachte extra headers of afwijkende mailvolumes vanaf de applicatie.</t>
  </si>
  <si>
    <t xml:space="preserve">WSTG-INPV-15, WSTG-INPV-10</t>
  </si>
  <si>
    <t xml:space="preserve">CWE-113, CWE-93</t>
  </si>
  <si>
    <t xml:space="preserve">CRLF Injection</t>
  </si>
  <si>
    <t xml:space="preserve">https://owasp.org/www-community/vulnerabilities/CRLF_Injection</t>
  </si>
  <si>
    <t xml:space="preserve">AV-WEB-39</t>
  </si>
  <si>
    <t xml:space="preserve">Code injection (eval) / expression language injection</t>
  </si>
  <si>
    <t xml:space="preserve">Invoer wordt door een interpreter of expression language geevalueerd (eval(), OGNL, SpEL, EL, Jinja-expressies buiten templates).</t>
  </si>
  <si>
    <t xml:space="preserve">Directe code-uitvoering op de server; volledige compromittering.</t>
  </si>
  <si>
    <t xml:space="preserve">Injecteer rekenkundige en taalspecifieke expressies in verdachte parameters en controleer of ze worden geevalueerd (WSTG-INPV-11).</t>
  </si>
  <si>
    <t xml:space="preserve">Vermijd dynamische evaluatie van invoer; gebruik veilige parsers; sandbox en least privilege.</t>
  </si>
  <si>
    <t xml:space="preserve">Monitor op onverwachte child-processen en op expressie-syntax in requests.</t>
  </si>
  <si>
    <t xml:space="preserve">WSTG-INPV-11</t>
  </si>
  <si>
    <t xml:space="preserve">CWE-94, CWE-917</t>
  </si>
  <si>
    <t xml:space="preserve">AV-WEB-16, CVE-2022-26134, CVE-2017-5638</t>
  </si>
  <si>
    <t xml:space="preserve">https://owasp.org/www-community/attacks/Code_Injection</t>
  </si>
  <si>
    <t xml:space="preserve">AV-WEB-40</t>
  </si>
  <si>
    <t xml:space="preserve">Prototype pollution</t>
  </si>
  <si>
    <t xml:space="preserve">Onveilige merge/clone van gebruikersinvoer in JavaScript (client- of server-side) laat __proto__/constructor-properties zetten die alle objecten beinvloeden.</t>
  </si>
  <si>
    <t xml:space="preserve">Client-side XSS via gadgets, server-side logica-omzeiling tot en met RCE in Node.js.</t>
  </si>
  <si>
    <t xml:space="preserve">Injecteer __proto__[x]=y via query/JSON en controleer of properties op lege objecten verschijnen; zoek naar gadgets (WSTG-CLNT-01).</t>
  </si>
  <si>
    <t xml:space="preserve">Gebruik Object.create(null)/Map, freeze prototypes, valideer keys, update kwetsbare libraries.</t>
  </si>
  <si>
    <t xml:space="preserve">SCA op bekende kwetsbare libraries; alarmeer op __proto__/constructor in request-bodies.</t>
  </si>
  <si>
    <t xml:space="preserve">WSTG-CLNT-01</t>
  </si>
  <si>
    <t xml:space="preserve">V1, V15</t>
  </si>
  <si>
    <t xml:space="preserve">CWE-1321</t>
  </si>
  <si>
    <t xml:space="preserve">Prototype Pollution</t>
  </si>
  <si>
    <t xml:space="preserve">https://portswigger.net/web-security/prototype-pollution</t>
  </si>
  <si>
    <t xml:space="preserve">AV-WEB-41</t>
  </si>
  <si>
    <t xml:space="preserve">DOM-based XSS</t>
  </si>
  <si>
    <t xml:space="preserve">Client-side JavaScript schrijft onvertrouwde bronnen (location, postMessage, storage) via gevaarlijke sinks (innerHTML, eval, document.write) naar de DOM.</t>
  </si>
  <si>
    <t xml:space="preserve">Scriptuitvoering in de browser van het slachtoffer zonder server-side reflectie; vaak onzichtbaar voor WAF.</t>
  </si>
  <si>
    <t xml:space="preserve">Analyseer sources en sinks in de client-side code (DOM Invader/handmatig) en bevestig met een PoC-payload (WSTG-CLNT-01).</t>
  </si>
  <si>
    <t xml:space="preserve">Gebruik veilige DOM-API's (textContent), sanitize met DOMPurify, Trusted Types en een strikte CSP.</t>
  </si>
  <si>
    <t xml:space="preserve">CSP-violation-rapportage; client-side telemetry op fouten.</t>
  </si>
  <si>
    <t xml:space="preserve">T1059.007</t>
  </si>
  <si>
    <t xml:space="preserve">AV-WEB-05, AV-WEB-06</t>
  </si>
  <si>
    <t xml:space="preserve">https://cheatsheetseries.owasp.org/cheatsheets/DOM_based_XSS_Prevention_Cheat_Sheet.html</t>
  </si>
  <si>
    <t xml:space="preserve">AV-WEB-42</t>
  </si>
  <si>
    <t xml:space="preserve">HTML injection / content spoofing</t>
  </si>
  <si>
    <t xml:space="preserve">Invoer wordt als HTML gerenderd zonder scriptuitvoering mogelijk te maken (bv. door CSP of filtering), maar laat wel vervalste content, formulieren en links toe.</t>
  </si>
  <si>
    <t xml:space="preserve">Phishing binnen de vertrouwde site, defacement, diefstal van invoer via geinjecteerde formulieren.</t>
  </si>
  <si>
    <t xml:space="preserve">Injecteer onschuldige HTML-elementen (h1, a, form) en controleer de rendering (WSTG-CLNT-03).</t>
  </si>
  <si>
    <t xml:space="preserve">Context-correcte output-encoding; sanitize HTML met een allowlist wanneer rich text nodig is.</t>
  </si>
  <si>
    <t xml:space="preserve">Content-integriteitsmonitoring op gebruikersgegenereerde pagina's.</t>
  </si>
  <si>
    <t xml:space="preserve">WSTG-CLNT-03</t>
  </si>
  <si>
    <t xml:space="preserve">CWE-80</t>
  </si>
  <si>
    <t xml:space="preserve">https://owasp.org/www-project-web-security-testing-guide/latest/4-Web_Application_Security_Testing/11-Client-side_Testing/03-Testing_for_HTML_Injection</t>
  </si>
  <si>
    <t xml:space="preserve">AV-WEB-43</t>
  </si>
  <si>
    <t xml:space="preserve">Username / account enumeration</t>
  </si>
  <si>
    <t xml:space="preserve">Login-, registratie- of resetfuncties reageren verschillend (bericht, statuscode, timing) voor bestaande en niet-bestaande accounts.</t>
  </si>
  <si>
    <t xml:space="preserve">Opbouw van geldige gebruikerslijsten voor password spraying en phishing.</t>
  </si>
  <si>
    <t xml:space="preserve">Vergelijk responses en responstijden voor bekende en onbekende gebruikersnamen op alle auth-gerelateerde endpoints (WSTG-IDNT-04).</t>
  </si>
  <si>
    <t xml:space="preserve">Generieke foutmeldingen, constante responstijden, rate limiting en CAPTCHA op enumeratiegevoelige functies.</t>
  </si>
  <si>
    <t xml:space="preserve">Alarmeer op veel verschillende gebruikersnamen vanaf een bron binnen korte tijd.</t>
  </si>
  <si>
    <t xml:space="preserve">WSTG-IDNT-04</t>
  </si>
  <si>
    <t xml:space="preserve">T1589.002, T1087</t>
  </si>
  <si>
    <t xml:space="preserve">CWE-204, CWE-203</t>
  </si>
  <si>
    <t xml:space="preserve">AV-NET-06, AV-WEB-12</t>
  </si>
  <si>
    <t xml:space="preserve">https://owasp.org/www-project-web-security-testing-guide/latest/4-Web_Application_Security_Testing/03-Identity_Management_Testing/04-Testing_for_Account_Enumeration_and_Guessable_User_Account</t>
  </si>
  <si>
    <t xml:space="preserve">AV-WEB-44</t>
  </si>
  <si>
    <t xml:space="preserve">Weak password policy</t>
  </si>
  <si>
    <t xml:space="preserve">Korte of simpele wachtwoorden worden geaccepteerd, geen screening tegen gelekte wachtwoorden, geen beperking op hergebruik.</t>
  </si>
  <si>
    <t xml:space="preserve">Succesvolle brute force, spraying en credential stuffing.</t>
  </si>
  <si>
    <t xml:space="preserve">Probeer zwakke wachtwoorden bij registratie/wijziging en controleer lengte-, complexiteits- en breach-checks (WSTG-ATHN-07).</t>
  </si>
  <si>
    <t xml:space="preserve">Minimaal 12-14 tekens, screening tegen breach-lijsten (NIST SP 800-63B), geen geforceerde periodieke rotatie zonder aanleiding, MFA.</t>
  </si>
  <si>
    <t xml:space="preserve">Periodieke audit van wachtwoordhashes (offline, met toestemming) en monitoring van spraying.</t>
  </si>
  <si>
    <t xml:space="preserve">WSTG-ATHN-07</t>
  </si>
  <si>
    <t xml:space="preserve">T1110</t>
  </si>
  <si>
    <t xml:space="preserve">CWE-521</t>
  </si>
  <si>
    <t xml:space="preserve">Password attacks</t>
  </si>
  <si>
    <t xml:space="preserve">AV-AD-19, AV-WEB-12</t>
  </si>
  <si>
    <t xml:space="preserve">NIST SP 800-63B</t>
  </si>
  <si>
    <t xml:space="preserve">https://cheatsheetseries.owasp.org/cheatsheets/Authentication_Cheat_Sheet.html</t>
  </si>
  <si>
    <t xml:space="preserve">Insecure password reset / recovery flow</t>
  </si>
  <si>
    <t xml:space="preserve">Reset-tokens zijn voorspelbaar, niet gebonden aan de gebruiker, niet verlopend, lekken via Referer/Host-header of worden niet geinvalideerd na gebruik; beveiligingsvragen zijn raadbaar.</t>
  </si>
  <si>
    <t xml:space="preserve">Accountovername zonder kennis van het huidige wachtwoord.</t>
  </si>
  <si>
    <t xml:space="preserve">Analyseer token-entropie en -levensduur, hergebruik, binding aan account, Host-header-poisoning en logica van de flow (WSTG-ATHN-09).</t>
  </si>
  <si>
    <t xml:space="preserve">Cryptografisch willekeurige, kortlevende eenmalige tokens gebonden aan het account; invalidatie na gebruik; notificatie; geen beveiligingsvragen.</t>
  </si>
  <si>
    <t xml:space="preserve">Alarmeer op veel resetaanvragen per account of bron.</t>
  </si>
  <si>
    <t xml:space="preserve">WSTG-ATHN-09</t>
  </si>
  <si>
    <t xml:space="preserve">T1098</t>
  </si>
  <si>
    <t xml:space="preserve">CWE-640</t>
  </si>
  <si>
    <t xml:space="preserve">AV-WEB-29, CVE-2023-7028</t>
  </si>
  <si>
    <t xml:space="preserve">https://cheatsheetseries.owasp.org/cheatsheets/Forgot_Password_Cheat_Sheet.html</t>
  </si>
  <si>
    <t xml:space="preserve">AV-WEB-46</t>
  </si>
  <si>
    <t xml:space="preserve">MFA bypass / weak MFA implementation</t>
  </si>
  <si>
    <t xml:space="preserve">OTP-codes zijn te raden (geen rate limiting), de MFA-stap kan worden overgeslagen (direct naar post-auth endpoints), response-manipulatie keurt goed, of MFA ontbreekt op alternatieve kanalen (API, legacy).</t>
  </si>
  <si>
    <t xml:space="preserve">Omzeiling van de tweede factor en accountovername met alleen een wachtwoord.</t>
  </si>
  <si>
    <t xml:space="preserve">Toets brute force op OTP, stap-overslaan, response-tampering, herbruikbare codes en MFA-dekking van alle inlogkanalen (WSTG-ATHN-11).</t>
  </si>
  <si>
    <t xml:space="preserve">Server-side state-machine voor de auth-flow, rate limiting en lockout op OTP, eenmalige codes, MFA op alle kanalen, phishing-resistente MFA (FIDO2) waar mogelijk.</t>
  </si>
  <si>
    <t xml:space="preserve">Alarmeer op veel OTP-pogingen en op sessies die de MFA-stap niet doorlopen.</t>
  </si>
  <si>
    <t xml:space="preserve">WSTG-ATHN-11</t>
  </si>
  <si>
    <t xml:space="preserve">T1621, T1111</t>
  </si>
  <si>
    <t xml:space="preserve">CWE-287, CWE-307</t>
  </si>
  <si>
    <t xml:space="preserve">AV-SE-06, AV-SE-07, AV-CLD-09</t>
  </si>
  <si>
    <t xml:space="preserve">https://cheatsheetseries.owasp.org/cheatsheets/Multifactor_Authentication_Cheat_Sheet.html</t>
  </si>
  <si>
    <t xml:space="preserve">AV-WEB-47</t>
  </si>
  <si>
    <t xml:space="preserve">Insecure cookie attributes</t>
  </si>
  <si>
    <t xml:space="preserve">Sessiecookies missen Secure, HttpOnly of SameSite, hebben een te ruim Domain/Path of een te lange levensduur.</t>
  </si>
  <si>
    <t xml:space="preserve">Grotere impact van XSS en netwerkonderschepping; CSRF-risico; sessiediefstal.</t>
  </si>
  <si>
    <t xml:space="preserve">Inspecteer Set-Cookie-headers van alle sessie- en auth-cookies op attributen en scope (WSTG-SESS-02).</t>
  </si>
  <si>
    <t xml:space="preserve">Secure; HttpOnly; SameSite=Lax/Strict; __Host-prefix; minimale levensduur en scope.</t>
  </si>
  <si>
    <t xml:space="preserve">Header-scan in CI.</t>
  </si>
  <si>
    <t xml:space="preserve">WSTG-SESS-02</t>
  </si>
  <si>
    <t xml:space="preserve">T1539</t>
  </si>
  <si>
    <t xml:space="preserve">CWE-1004, CWE-614, CWE-1275</t>
  </si>
  <si>
    <t xml:space="preserve">https://cheatsheetseries.owasp.org/cheatsheets/Session_Management_Cheat_Sheet.html</t>
  </si>
  <si>
    <t xml:space="preserve">Information disclosure (source maps, backups, .git, directory listing, banners)</t>
  </si>
  <si>
    <t xml:space="preserve">Blootgestelde .git/.svn-mappen, backup- en configbestanden, source maps, directory listing, Swagger/actuator-endpoints en gedetailleerde versiebanners lekken implementatiedetails of secrets.</t>
  </si>
  <si>
    <t xml:space="preserve">Versnelde exploitatie, lekkage van credentials/API-keys, broncode-analyse door aanvallers.</t>
  </si>
  <si>
    <t xml:space="preserve">Fuzz op bekende paden (.git/HEAD, .env, *.bak, /actuator, /swagger), controleer listing en banners (WSTG-INFO-02, WSTG-CONF-04, WSTG-CONF-05).</t>
  </si>
  <si>
    <t xml:space="preserve">Verwijder/blokkeer ontwikkelartefacten en backups uit de webroot, schakel listing uit, minimaliseer banners, bescherm management-endpoints.</t>
  </si>
  <si>
    <t xml:space="preserve">Alarmeer op verzoeken naar .git/.env/backup-patronen; periodieke content-discovery-scan.</t>
  </si>
  <si>
    <t xml:space="preserve">API9:2023</t>
  </si>
  <si>
    <t xml:space="preserve">WSTG-INFO-02, WSTG-CONF-04, WSTG-CONF-05</t>
  </si>
  <si>
    <t xml:space="preserve">V13, V14</t>
  </si>
  <si>
    <t xml:space="preserve">T1592, T1552.001</t>
  </si>
  <si>
    <t xml:space="preserve">CWE-538, CWE-548, CWE-200</t>
  </si>
  <si>
    <t xml:space="preserve">Insecure Source Code Management</t>
  </si>
  <si>
    <t xml:space="preserve">AV-WEB-18, AV-WEB-24</t>
  </si>
  <si>
    <t xml:space="preserve">https://owasp.org/www-project-web-security-testing-guide/latest/4-Web_Application_Security_Testing/02-Configuration_and_Deployment_Management_Testing/04-Review_Old_Backup_and_Unreferenced_Files_for_Sensitive_Information</t>
  </si>
  <si>
    <t xml:space="preserve">AV-WEB-49</t>
  </si>
  <si>
    <t xml:space="preserve">Dangerous HTTP methods / verb tampering</t>
  </si>
  <si>
    <t xml:space="preserve">PUT/DELETE/TRACE/WebDAV zijn ingeschakeld of autorisatie wordt alleen op specifieke methods afgedwongen, waardoor een andere method de controle omzeilt.</t>
  </si>
  <si>
    <t xml:space="preserve">Uploaden/verwijderen van bestanden, omzeiling van autorisatie, cross-site tracing.</t>
  </si>
  <si>
    <t xml:space="preserve">Enumereer toegestane methods (OPTIONS) en herhaal geautoriseerde verzoeken met alternatieve methods/overrides (WSTG-CONF-06, WSTG-INPV-03).</t>
  </si>
  <si>
    <t xml:space="preserve">Beperk methods tot wat nodig is, dwing autorisatie method-onafhankelijk af, schakel TRACE/WebDAV uit, blokkeer X-HTTP-Method-Override.</t>
  </si>
  <si>
    <t xml:space="preserve">Alarmeer op ongebruikelijke methods naar applicatie-endpoints.</t>
  </si>
  <si>
    <t xml:space="preserve">WSTG-CONF-06, WSTG-INPV-03</t>
  </si>
  <si>
    <t xml:space="preserve">CWE-650, CWE-749</t>
  </si>
  <si>
    <t xml:space="preserve">AV-WEB-02, CVE-2025-24813</t>
  </si>
  <si>
    <t xml:space="preserve">https://owasp.org/www-project-web-security-testing-guide/latest/4-Web_Application_Security_Testing/02-Configuration_and_Deployment_Management_Testing/06-Test_HTTP_Methods</t>
  </si>
  <si>
    <t xml:space="preserve">AV-WEB-50</t>
  </si>
  <si>
    <t xml:space="preserve">Insufficient logging &amp; alerting (application)</t>
  </si>
  <si>
    <t xml:space="preserve">Detection</t>
  </si>
  <si>
    <t xml:space="preserve">Defense evasion</t>
  </si>
  <si>
    <t xml:space="preserve">Security-relevante gebeurtenissen (logins, mislukte autorisatie, inputvalidatiefouten, admin-acties) worden niet, onvolledig of zonder context gelogd en er zijn geen alerts.</t>
  </si>
  <si>
    <t xml:space="preserve">Aanvallen en misbruik blijven onopgemerkt; forensisch onderzoek is beperkt.</t>
  </si>
  <si>
    <t xml:space="preserve">Voer tijdens de test herkenbare acties uit (mislukte logins, IDOR-pogingen, injectie) en verifieer met de klant of deze in logging en alerting zichtbaar zijn.</t>
  </si>
  <si>
    <t xml:space="preserve">Log auth-, autorisatie- en validatiegebeurtenissen gestructureerd met correlatie-id's, centraliseer in SIEM, definieer alerts en bewaartermijnen; geen gevoelige data in logs.</t>
  </si>
  <si>
    <t xml:space="preserve">Meet dekking door purple-team-stijl verificatie van testacties in het SIEM.</t>
  </si>
  <si>
    <t xml:space="preserve">A09:2025</t>
  </si>
  <si>
    <t xml:space="preserve">WSTG-CONF (geen specifieke test)</t>
  </si>
  <si>
    <t xml:space="preserve">T1562.008</t>
  </si>
  <si>
    <t xml:space="preserve">CWE-778, CWE-223</t>
  </si>
  <si>
    <t xml:space="preserve">D7</t>
  </si>
  <si>
    <t xml:space="preserve">AV-CLD-08</t>
  </si>
  <si>
    <t xml:space="preserve">https://cheatsheetseries.owasp.org/cheatsheets/Logging_Cheat_Sheet.html</t>
  </si>
  <si>
    <t xml:space="preserve">AV-WEB-51</t>
  </si>
  <si>
    <t xml:space="preserve">Missing integrity controls (SRI, unsigned updates, third-party scripts)</t>
  </si>
  <si>
    <t xml:space="preserve">Externe scripts/CSS worden geladen zonder Subresource Integrity, auto-update- of plugin-mechanismen verifieren geen handtekeningen, en CI/CD-artefacten worden niet gesigneerd.</t>
  </si>
  <si>
    <t xml:space="preserve">Supply-chain-compromittering via CDN/third-party (bv. Magecart-achtige skimming) of via gemanipuleerde updates.</t>
  </si>
  <si>
    <t xml:space="preserve">Inventariseer externe resources en controleer SRI-hashes, CSP en signature-verificatie van update-/pluginmechanismen.</t>
  </si>
  <si>
    <t xml:space="preserve">SRI en strikte CSP voor externe resources, self-hosting van kritieke scripts, ondertekende updates/artefacten en verificatie bij installatie.</t>
  </si>
  <si>
    <t xml:space="preserve">Monitor wijzigingen in third-party scripts; CSP-rapportage op onbekende script-bronnen.</t>
  </si>
  <si>
    <t xml:space="preserve">A08:2025, A03:2025</t>
  </si>
  <si>
    <t xml:space="preserve">WSTG-CLNT-06</t>
  </si>
  <si>
    <t xml:space="preserve">V3, V15</t>
  </si>
  <si>
    <t xml:space="preserve">T1195.001, T1195.002</t>
  </si>
  <si>
    <t xml:space="preserve">CWE-353, CWE-494, CWE-829</t>
  </si>
  <si>
    <t xml:space="preserve">AV-WEB-23, AV-CLD-19</t>
  </si>
  <si>
    <t xml:space="preserve">https://cheatsheetseries.owasp.org/cheatsheets/Third_Party_Javascript_Management_Cheat_Sheet.html</t>
  </si>
  <si>
    <t xml:space="preserve">AV-WEB-52</t>
  </si>
  <si>
    <t xml:space="preserve">postMessage / JSONP / cross-origin messaging weaknesses</t>
  </si>
  <si>
    <t xml:space="preserve">window.postMessage-listeners valideren de origin niet of verwerken data onveilig; JSONP-endpoints of cross-site script inclusion lekken gegevens aan derden.</t>
  </si>
  <si>
    <t xml:space="preserve">Cross-origin lekkage van tokens/data en DOM-XSS via berichtverwerking.</t>
  </si>
  <si>
    <t xml:space="preserve">Inventariseer message-listeners en JSONP-endpoints in de client-code en toets origin-validatie en sink-gebruik (WSTG-CLNT-11, WSTG-CLNT-13).</t>
  </si>
  <si>
    <t xml:space="preserve">Valideer event.origin tegen een allowlist, behandel berichtdata als onvertrouwd, vervang JSONP door CORS met allowlist.</t>
  </si>
  <si>
    <t xml:space="preserve">Client-side telemetry; code review in CI op onveilige listeners.</t>
  </si>
  <si>
    <t xml:space="preserve">WSTG-CLNT-11, WSTG-CLNT-13</t>
  </si>
  <si>
    <t xml:space="preserve">CWE-346, CWE-79</t>
  </si>
  <si>
    <t xml:space="preserve">AV-WEB-26, AV-WEB-41</t>
  </si>
  <si>
    <t xml:space="preserve">https://portswigger.net/web-security/dom-based/controlling-the-web-message-source</t>
  </si>
  <si>
    <t xml:space="preserve">AV-WEB-53</t>
  </si>
  <si>
    <t xml:space="preserve">Sensitive data in client-side storage</t>
  </si>
  <si>
    <t xml:space="preserve">Access/refresh tokens, PII of secrets worden in localStorage/sessionStorage/IndexedDB bewaard, waardoor elke XSS ze kan uitlezen en ze persistent op het apparaat achterblijven.</t>
  </si>
  <si>
    <t xml:space="preserve">Tokendiefstal en accountovername bij XSS of lokale toegang.</t>
  </si>
  <si>
    <t xml:space="preserve">Inspecteer browser storage na inloggen en beoordeel de gevoeligheid en levensduur van opgeslagen waarden (WSTG-CLNT-12).</t>
  </si>
  <si>
    <t xml:space="preserve">Bewaar sessietokens in HttpOnly-cookies (met SameSite), minimaliseer client-side opslag, korte tokenlevensduur en refresh-rotatie.</t>
  </si>
  <si>
    <t xml:space="preserve">Niet server-side detecteerbaar; audit tijdens code review.</t>
  </si>
  <si>
    <t xml:space="preserve">WSTG-CLNT-12</t>
  </si>
  <si>
    <t xml:space="preserve">V7, V14</t>
  </si>
  <si>
    <t xml:space="preserve">T1539, T1528</t>
  </si>
  <si>
    <t xml:space="preserve">CWE-922, CWE-312</t>
  </si>
  <si>
    <t xml:space="preserve">AV-WEB-14, AV-WEB-47</t>
  </si>
  <si>
    <t xml:space="preserve">https://cheatsheetseries.owasp.org/cheatsheets/HTML5_Security_Cheat_Sheet.html</t>
  </si>
  <si>
    <t xml:space="preserve">API</t>
  </si>
  <si>
    <t xml:space="preserve">Broken object level authorization (BOLA)</t>
  </si>
  <si>
    <t xml:space="preserve">Endpoints met object-id's zonder autorisatiecheck geven toegang tot andermans objecten.</t>
  </si>
  <si>
    <t xml:space="preserve">Ongeautoriseerde toegang tot data van andere gebruikers.</t>
  </si>
  <si>
    <t xml:space="preserve">Wissel object-id's tussen accounts en controleer server-side autorisatie (WSTG-ATHZ).</t>
  </si>
  <si>
    <t xml:space="preserve">Autorisatiecheck op elk object per request; onvoorspelbare id's.</t>
  </si>
  <si>
    <t xml:space="preserve">Alarmeer op toegang tot object-id's buiten het bereik van de token.</t>
  </si>
  <si>
    <t xml:space="preserve">CWE-639</t>
  </si>
  <si>
    <t xml:space="preserve">AV-API-02</t>
  </si>
  <si>
    <t xml:space="preserve">Broken authentication</t>
  </si>
  <si>
    <t xml:space="preserve">Zwakke of onjuist geimplementeerde authenticatie op API-endpoints.</t>
  </si>
  <si>
    <t xml:space="preserve">Tokencompromittering en impersonatie.</t>
  </si>
  <si>
    <t xml:space="preserve">Controleer token-uitgifte, -validatie en endpoint-dekking (WSTG-ATHN).</t>
  </si>
  <si>
    <t xml:space="preserve">Sterke authenticatie, correcte tokenvalidatie, MFA waar passend.</t>
  </si>
  <si>
    <t xml:space="preserve">Monitor op authenticatie-anomalieen en tokenmisbruik.</t>
  </si>
  <si>
    <t xml:space="preserve">WSTG-ATHN-04, WSTG-ATHN-10</t>
  </si>
  <si>
    <t xml:space="preserve">CWE-287</t>
  </si>
  <si>
    <t xml:space="preserve">AV-WEB-12, AV-WEB-14, AV-API-12</t>
  </si>
  <si>
    <t xml:space="preserve">AV-API-03</t>
  </si>
  <si>
    <t xml:space="preserve">Broken object property level authorization</t>
  </si>
  <si>
    <t xml:space="preserve">Onvoldoende autorisatie op property-niveau (excessive data exposure / mass assignment).</t>
  </si>
  <si>
    <t xml:space="preserve">Uitlezen of overschrijven van niet-toegestane velden.</t>
  </si>
  <si>
    <t xml:space="preserve">Controleer of respons- en request-velden per rol worden beperkt (WSTG-ATHZ).</t>
  </si>
  <si>
    <t xml:space="preserve">Expliciete allowlist van velden bij lezen en schrijven.</t>
  </si>
  <si>
    <t xml:space="preserve">Monitor op schrijfacties naar gevoelige properties.</t>
  </si>
  <si>
    <t xml:space="preserve">API3:2023</t>
  </si>
  <si>
    <t xml:space="preserve">WSTG-INPV-20</t>
  </si>
  <si>
    <t xml:space="preserve">CWE-915</t>
  </si>
  <si>
    <t xml:space="preserve">Mass Assignment</t>
  </si>
  <si>
    <t xml:space="preserve">AV-API-11</t>
  </si>
  <si>
    <t xml:space="preserve">Unrestricted resource consumption</t>
  </si>
  <si>
    <t xml:space="preserve">Availability</t>
  </si>
  <si>
    <t xml:space="preserve">Ontbrekende limieten op verzoeken of resources.</t>
  </si>
  <si>
    <t xml:space="preserve">Denial-of-service en verhoogde kosten.</t>
  </si>
  <si>
    <t xml:space="preserve">Controleer rate-limiting, paginering en resourcequota (WSTG-BUSL).</t>
  </si>
  <si>
    <t xml:space="preserve">Rate-limiting, quota, payload- en time-out-limieten.</t>
  </si>
  <si>
    <t xml:space="preserve">Alarmeer op verbruikspieken per client/token.</t>
  </si>
  <si>
    <t xml:space="preserve">API4:2023</t>
  </si>
  <si>
    <t xml:space="preserve">T1499</t>
  </si>
  <si>
    <t xml:space="preserve">CWE-770</t>
  </si>
  <si>
    <t xml:space="preserve">AV-WEB-32, AV-AI-06</t>
  </si>
  <si>
    <t xml:space="preserve">AV-API-05</t>
  </si>
  <si>
    <t xml:space="preserve">Broken function level authorization</t>
  </si>
  <si>
    <t xml:space="preserve">Functies zonder rolcontrole zijn bereikbaar voor lagere rollen.</t>
  </si>
  <si>
    <t xml:space="preserve">Toegang tot administratieve of bevoorrechte functies.</t>
  </si>
  <si>
    <t xml:space="preserve">Benader functies met verschillende rollen en controleer enforcement (WSTG-ATHZ).</t>
  </si>
  <si>
    <t xml:space="preserve">Deny-by-default per functie; centrale autorisatielaag.</t>
  </si>
  <si>
    <t xml:space="preserve">Alarmeer op bevoorrechte functie-aanroepen door lage rollen.</t>
  </si>
  <si>
    <t xml:space="preserve">CWE-285</t>
  </si>
  <si>
    <t xml:space="preserve">AV-API-06</t>
  </si>
  <si>
    <t xml:space="preserve">Unrestricted access to sensitive business flows</t>
  </si>
  <si>
    <t xml:space="preserve">Gevoelige bedrijfsflows zonder misbruikbescherming (bv. bulk-aankoop, spam).</t>
  </si>
  <si>
    <t xml:space="preserve">Geautomatiseerd misbruik met bedrijfsschade.</t>
  </si>
  <si>
    <t xml:space="preserve">Identificeer gevoelige flows en toets anti-automatiseringsmaatregelen (WSTG-BUSL).</t>
  </si>
  <si>
    <t xml:space="preserve">Detecteer automatisering, voeg frictie toe, limiteer flows.</t>
  </si>
  <si>
    <t xml:space="preserve">Gedragsanalyse op flow-gebruik.</t>
  </si>
  <si>
    <t xml:space="preserve">WSTG-BUSL-07</t>
  </si>
  <si>
    <t xml:space="preserve">AV-WEB-22, AV-WEB-34</t>
  </si>
  <si>
    <t xml:space="preserve">AV-API-07</t>
  </si>
  <si>
    <t xml:space="preserve">Server-side request forgery (API)</t>
  </si>
  <si>
    <t xml:space="preserve">API haalt op basis van gebruikersinvoer onbedoelde bestemmingen op.</t>
  </si>
  <si>
    <t xml:space="preserve">Interne netwerktoegang en metadata-diefstal.</t>
  </si>
  <si>
    <t xml:space="preserve">Controleer validatie van gebruikersgestuurde URL's server-side (WSTG-INPV).</t>
  </si>
  <si>
    <t xml:space="preserve">Allowlist bestemmingen; blokkeer interne ranges.</t>
  </si>
  <si>
    <t xml:space="preserve">Egress-filtering en alarmering op interne calls.</t>
  </si>
  <si>
    <t xml:space="preserve">API7:2023</t>
  </si>
  <si>
    <t xml:space="preserve">AV-WEB-07, AV-CLD-05</t>
  </si>
  <si>
    <t xml:space="preserve">AV-API-08</t>
  </si>
  <si>
    <t xml:space="preserve">Security misconfiguration (API)</t>
  </si>
  <si>
    <t xml:space="preserve">Onveilige defaults, CORS-fouten of ontbrekende hardening op API-niveau.</t>
  </si>
  <si>
    <t xml:space="preserve">Uiteenlopende blootstelling en toegang.</t>
  </si>
  <si>
    <t xml:space="preserve">Controleer CORS, methods, headers en foutafhandeling (WSTG-CONF).</t>
  </si>
  <si>
    <t xml:space="preserve">Hardening-baseline, strak CORS-beleid, minimaliseer methods.</t>
  </si>
  <si>
    <t xml:space="preserve">Config-scans en CORS-monitoring.</t>
  </si>
  <si>
    <t xml:space="preserve">WSTG-CONF-02, WSTG-CLNT-07</t>
  </si>
  <si>
    <t xml:space="preserve">CWE-16</t>
  </si>
  <si>
    <t xml:space="preserve">AV-WEB-26, AV-WEB-18</t>
  </si>
  <si>
    <t xml:space="preserve">AV-API-09</t>
  </si>
  <si>
    <t xml:space="preserve">Improper inventory management</t>
  </si>
  <si>
    <t xml:space="preserve">Onbekende, verouderde of ongedocumenteerde API-versies en -endpoints.</t>
  </si>
  <si>
    <t xml:space="preserve">Aanvalsoppervlak via shadow/legacy-endpoints.</t>
  </si>
  <si>
    <t xml:space="preserve">Inventariseer versies, hosts en endpoints en vergelijk met documentatie (WSTG-CONF).</t>
  </si>
  <si>
    <t xml:space="preserve">Actuele API-inventaris, deprecatiebeleid, retirement.</t>
  </si>
  <si>
    <t xml:space="preserve">Monitor verkeer naar niet-geinventariseerde endpoints.</t>
  </si>
  <si>
    <t xml:space="preserve">WSTG-INFO-04, WSTG-CONF-05</t>
  </si>
  <si>
    <t xml:space="preserve">CWE-1059</t>
  </si>
  <si>
    <t xml:space="preserve">AV-EXT-01, AV-EXT-07</t>
  </si>
  <si>
    <t xml:space="preserve">AV-API-10</t>
  </si>
  <si>
    <t xml:space="preserve">Unsafe consumption of APIs</t>
  </si>
  <si>
    <t xml:space="preserve">Data van derde-partij-API's wordt te vertrouwd verwerkt.</t>
  </si>
  <si>
    <t xml:space="preserve">Compromittering via upstream-services.</t>
  </si>
  <si>
    <t xml:space="preserve">Controleer validatie en isolatie van externe API-responses (WSTG-INPV).</t>
  </si>
  <si>
    <t xml:space="preserve">Valideer externe data, gebruik time-outs en isolatie.</t>
  </si>
  <si>
    <t xml:space="preserve">Monitor afwijkend gedrag van integraties.</t>
  </si>
  <si>
    <t xml:space="preserve">API10:2023</t>
  </si>
  <si>
    <t xml:space="preserve">T1195</t>
  </si>
  <si>
    <t xml:space="preserve">AV-CLD-19</t>
  </si>
  <si>
    <t xml:space="preserve">Missing input schema validation (type juggling, JSON injection, HPP)</t>
  </si>
  <si>
    <t xml:space="preserve">De API valideert request-bodies niet tegen een strikt schema: onverwachte types (array i.p.v. string), extra velden, dubbele parameters of genest JSON worden geaccepteerd en doorgegeven aan back-endlogica.</t>
  </si>
  <si>
    <t xml:space="preserve">Logica-omzeiling (bv. prijs/rol), injectie in downstream-systemen, crashes (DoS).</t>
  </si>
  <si>
    <t xml:space="preserve">Verander types, voeg onverwachte velden toe, dupliceer parameters en vergelijk server-side gedrag met de OpenAPI-specificatie (WSTG-INPV-04).</t>
  </si>
  <si>
    <t xml:space="preserve">Strikte schema-validatie (OpenAPI/JSON Schema) met additionalProperties: false, canonicalisatie van parameters, typesterke deserialisatie.</t>
  </si>
  <si>
    <t xml:space="preserve">Alarmeer op schema-validatiefouten en afwijkende request-structuren.</t>
  </si>
  <si>
    <t xml:space="preserve">API3:2023, API8:2023</t>
  </si>
  <si>
    <t xml:space="preserve">WSTG-INPV-04</t>
  </si>
  <si>
    <t xml:space="preserve">CWE-20, CWE-235</t>
  </si>
  <si>
    <t xml:space="preserve">HTTP Parameter Pollution</t>
  </si>
  <si>
    <t xml:space="preserve">https://cheatsheetseries.owasp.org/cheatsheets/REST_Security_Cheat_Sheet.html</t>
  </si>
  <si>
    <t xml:space="preserve">AV-API-12</t>
  </si>
  <si>
    <t xml:space="preserve">Insufficient authentication on internal / machine-to-machine APIs</t>
  </si>
  <si>
    <t xml:space="preserve">Lateral movement</t>
  </si>
  <si>
    <t xml:space="preserve">Interne of service-to-service API's vertrouwen op netwerklocatie, statische gedeelde API-keys of ontbrekende mTLS, waardoor elke host in het segment (of een gelekte key) volledige toegang heeft.</t>
  </si>
  <si>
    <t xml:space="preserve">Laterale beweging en data-toegang vanuit een gecompromitteerde component of via een gelekte key.</t>
  </si>
  <si>
    <t xml:space="preserve">Benader interne API's vanaf een andere host/pod zonder credentials of met gelekte keys; controleer key-rotatie, scoping en mTLS.</t>
  </si>
  <si>
    <t xml:space="preserve">mTLS of kortlevende workload-identiteiten (SPIFFE/OIDC), per-client scopes, key-rotatie, netwerkbeleid als extra laag.</t>
  </si>
  <si>
    <t xml:space="preserve">Alarmeer op API-calls vanaf onverwachte workloads/IP's en op gebruik van verlopen keys.</t>
  </si>
  <si>
    <t xml:space="preserve">WSTG-ATHN-10</t>
  </si>
  <si>
    <t xml:space="preserve">V4, V6</t>
  </si>
  <si>
    <t xml:space="preserve">T1078, T1552</t>
  </si>
  <si>
    <t xml:space="preserve">CWE-306, CWE-798</t>
  </si>
  <si>
    <t xml:space="preserve">API Key Leaks</t>
  </si>
  <si>
    <t xml:space="preserve">AV-CLD-02, AV-NET-15</t>
  </si>
  <si>
    <t xml:space="preserve">https://cheatsheetseries.owasp.org/cheatsheets/Microservices_Security_Cheat_Sheet.html</t>
  </si>
  <si>
    <t xml:space="preserve">AV-NET-01</t>
  </si>
  <si>
    <t xml:space="preserve">Internal network</t>
  </si>
  <si>
    <t xml:space="preserve">Network enumeration &amp; host discovery</t>
  </si>
  <si>
    <t xml:space="preserve">Info</t>
  </si>
  <si>
    <t xml:space="preserve">Ontdekken van hosts, poorten en services binnen de scope.</t>
  </si>
  <si>
    <t xml:space="preserve">Bouwt de kaart van het aanvalsoppervlak.</t>
  </si>
  <si>
    <t xml:space="preserve">Voer scoped host- en servicediscovery uit conform de rules of engagement.</t>
  </si>
  <si>
    <t xml:space="preserve">Netwerksegmentatie en minimalisatie van blootgestelde services.</t>
  </si>
  <si>
    <t xml:space="preserve">IDS/NDR-detectie op scanpatronen.</t>
  </si>
  <si>
    <t xml:space="preserve">T1046, T1595, T1018</t>
  </si>
  <si>
    <t xml:space="preserve">Network Discovery</t>
  </si>
  <si>
    <t xml:space="preserve">AV-EXT-01, AV-AD-22</t>
  </si>
  <si>
    <t xml:space="preserve">AV-NET-02</t>
  </si>
  <si>
    <t xml:space="preserve">LLMNR/NBT-NS/mDNS poisoning &amp; ADIDNS wildcard abuse</t>
  </si>
  <si>
    <t xml:space="preserve">Adversary-in-the-middle</t>
  </si>
  <si>
    <t xml:space="preserve">Misbruik van fallback-naamresolutie (LLMNR, NBT-NS, mDNS) om verkeer om te leiden en NetNTLM-hashes op te vangen; als die protocollen uitstaan kan een geauthenticeerde gebruiker vaak alsnog een wildcard-record in AD-integrated DNS aanmaken met hetzelfde effect.</t>
  </si>
  <si>
    <t xml:space="preserve">Onderschepping van authenticatiemateriaal.</t>
  </si>
  <si>
    <t xml:space="preserve">Stel vast of legacy-naamresolutieprotocollen actief zijn in het segment.</t>
  </si>
  <si>
    <t xml:space="preserve">Schakel LLMNR/NBT-NS/mDNS uit via GPO; segmenteer; dwing veilige resolutie af; blokkeer aanmaak van wildcard-DNS-records (ADIDNS) door gewone gebruikers en dwing SMB/LDAP signing af zodat relay niet lukt.</t>
  </si>
  <si>
    <t xml:space="preserve">Alarmeer op onverwachte responder-activiteit.</t>
  </si>
  <si>
    <t xml:space="preserve">T1557.001</t>
  </si>
  <si>
    <t xml:space="preserve">Active Directory Attack</t>
  </si>
  <si>
    <t xml:space="preserve">Active Directory</t>
  </si>
  <si>
    <t xml:space="preserve">AV-NET-03, AV-NET-10, AV-AD-18, AV-NET-08, CVE-2025-24054</t>
  </si>
  <si>
    <t xml:space="preserve">AV-NET-03</t>
  </si>
  <si>
    <t xml:space="preserve">NTLM relay</t>
  </si>
  <si>
    <t xml:space="preserve">Doorsturen van onderschepte authenticatie naar hosts zonder signing.</t>
  </si>
  <si>
    <t xml:space="preserve">Authenticatie als slachtoffer op andere systemen.</t>
  </si>
  <si>
    <t xml:space="preserve">Controleer of SMB/LDAP-signing wordt afgedwongen op doelsystemen.</t>
  </si>
  <si>
    <t xml:space="preserve">Dwing signing af, schakel legacy uit, segmenteer.</t>
  </si>
  <si>
    <t xml:space="preserve">Detecteer authenticaties met afwijkende bron/keten.</t>
  </si>
  <si>
    <t xml:space="preserve">T1557</t>
  </si>
  <si>
    <t xml:space="preserve">AV-NET-08, AV-AD-14, AV-AD-17, AV-NET-10, CVE-2019-1040, CVE-2025-33073, CVE-2024-21410</t>
  </si>
  <si>
    <t xml:space="preserve">AV-NET-04</t>
  </si>
  <si>
    <t xml:space="preserve">Service/version exploitation (unpatched)</t>
  </si>
  <si>
    <t xml:space="preserve">Exploitation</t>
  </si>
  <si>
    <t xml:space="preserve">Bekende kwetsbaarheden in ongepatchte netwerkservices.</t>
  </si>
  <si>
    <t xml:space="preserve">Toegang tot of controle over de host.</t>
  </si>
  <si>
    <t xml:space="preserve">Identificeer versies en vergelijk met bekende adviezen binnen scope.</t>
  </si>
  <si>
    <t xml:space="preserve">Patchmanagement, minimaliseer blootgestelde services.</t>
  </si>
  <si>
    <t xml:space="preserve">Vulnerability-scanning en exploit-signature-detectie.</t>
  </si>
  <si>
    <t xml:space="preserve">T1190, T1210</t>
  </si>
  <si>
    <t xml:space="preserve">AV-NET-21, CVE-2017-0144, CVE-2019-0708, CVE-2020-0796, CVE-2025-59287, CVE-2026-33824</t>
  </si>
  <si>
    <t xml:space="preserve">AV-NET-05</t>
  </si>
  <si>
    <t xml:space="preserve">Default / weak credentials</t>
  </si>
  <si>
    <t xml:space="preserve">Vendor-defaults of zwakke wachtwoorden op services en apparaten.</t>
  </si>
  <si>
    <t xml:space="preserve">Directe toegang tot systemen.</t>
  </si>
  <si>
    <t xml:space="preserve">Controleer op default- en zwakke credentials binnen scope.</t>
  </si>
  <si>
    <t xml:space="preserve">Verwijder defaults, sterk wachtwoordbeleid, MFA.</t>
  </si>
  <si>
    <t xml:space="preserve">Alarmeer op logins met default-accounts.</t>
  </si>
  <si>
    <t xml:space="preserve">T1078, T1110</t>
  </si>
  <si>
    <t xml:space="preserve">AV-NET-12, AV-NET-14, AV-NET-19, AV-WEB-44</t>
  </si>
  <si>
    <t xml:space="preserve">AV-NET-06</t>
  </si>
  <si>
    <t xml:space="preserve">Password spraying</t>
  </si>
  <si>
    <t xml:space="preserve">Een klein aantal veelgebruikte wachtwoorden tegen veel accounts.</t>
  </si>
  <si>
    <t xml:space="preserve">Accountcompromittering zonder lockout te triggeren.</t>
  </si>
  <si>
    <t xml:space="preserve">Controleer lockout-, throttling- en detectiebeleid (binnen RoE).</t>
  </si>
  <si>
    <t xml:space="preserve">MFA, slim lockout-beleid, detectie van spray-patronen.</t>
  </si>
  <si>
    <t xml:space="preserve">Alarmeer op veel accounts met enkele mislukte pogingen.</t>
  </si>
  <si>
    <t xml:space="preserve">T1110.003</t>
  </si>
  <si>
    <t xml:space="preserve">CWE-307</t>
  </si>
  <si>
    <t xml:space="preserve">Password Spraying</t>
  </si>
  <si>
    <t xml:space="preserve">AV-WEB-43, AV-AD-19, AV-EXT-06, AV-CLD-09</t>
  </si>
  <si>
    <t xml:space="preserve">AV-NET-07</t>
  </si>
  <si>
    <t xml:space="preserve">Cleartext protocol interception</t>
  </si>
  <si>
    <t xml:space="preserve">Sniffing</t>
  </si>
  <si>
    <t xml:space="preserve">Onversleutelde protocollen laten meelezen van credentials toe.</t>
  </si>
  <si>
    <t xml:space="preserve">Onderschepping van gevoelige gegevens.</t>
  </si>
  <si>
    <t xml:space="preserve">Inventariseer onversleuteld verkeer binnen scope.</t>
  </si>
  <si>
    <t xml:space="preserve">Dwing versleuteling af; verwijder legacy-protocollen.</t>
  </si>
  <si>
    <t xml:space="preserve">NDR-detectie op cleartext-credentialverkeer.</t>
  </si>
  <si>
    <t xml:space="preserve">V12</t>
  </si>
  <si>
    <t xml:space="preserve">T1040</t>
  </si>
  <si>
    <t xml:space="preserve">CWE-319</t>
  </si>
  <si>
    <t xml:space="preserve">Network Sniffing</t>
  </si>
  <si>
    <t xml:space="preserve">AV-NET-11, AV-NET-18, AV-WEB-20</t>
  </si>
  <si>
    <t xml:space="preserve">AV-NET-08</t>
  </si>
  <si>
    <t xml:space="preserve">SMB signing disabled</t>
  </si>
  <si>
    <t xml:space="preserve">Ontbrekende SMB-signing maakt relay- en MitM-aanvallen mogelijk.</t>
  </si>
  <si>
    <t xml:space="preserve">Faciliteert NTLM-relay en verkeersmanipulatie.</t>
  </si>
  <si>
    <t xml:space="preserve">Controleer of SMB-signing vereist is op hosts binnen scope.</t>
  </si>
  <si>
    <t xml:space="preserve">Vereis SMB-signing domainbreed.</t>
  </si>
  <si>
    <t xml:space="preserve">Inventariseer hosts zonder verplichte signing.</t>
  </si>
  <si>
    <t xml:space="preserve">AV-NET-03, AV-AD-14, AV-AD-17, CVE-2025-33073</t>
  </si>
  <si>
    <t xml:space="preserve">AV-NET-09</t>
  </si>
  <si>
    <t xml:space="preserve">SNMP misconfiguration</t>
  </si>
  <si>
    <t xml:space="preserve">Zwakke community strings of blootgestelde SNMP-informatie.</t>
  </si>
  <si>
    <t xml:space="preserve">Informatielekkage en soms configuratiewijziging.</t>
  </si>
  <si>
    <t xml:space="preserve">Controleer op default community strings en blootstelling (binnen scope).</t>
  </si>
  <si>
    <t xml:space="preserve">SNMPv3 met authenticatie, beperk toegang.</t>
  </si>
  <si>
    <t xml:space="preserve">Monitor SNMP-verkeer van onverwachte bronnen.</t>
  </si>
  <si>
    <t xml:space="preserve">T1602</t>
  </si>
  <si>
    <t xml:space="preserve">AV-NET-12, CVE-2025-20352</t>
  </si>
  <si>
    <t xml:space="preserve">AV-NET-10</t>
  </si>
  <si>
    <t xml:space="preserve">IPv6 / DHCPv6 spoofing (mitm6) &amp; WPAD abuse</t>
  </si>
  <si>
    <t xml:space="preserve">Windows-hosts vragen standaard DHCPv6 aan; een aanvaller op het segment deelt zichzelf uit als DNS-server en vangt via WPAD/DNS-spoofing authenticatie op die naar LDAP(S)/SMB gerelayed kan worden.</t>
  </si>
  <si>
    <t xml:space="preserve">NTLM-relay naar LDAP (computeraccount aanmaken, RBCD) tot en met domeincompromittering.</t>
  </si>
  <si>
    <t xml:space="preserve">Stel vast of IPv6 actief maar onbeheerd is en of clients DHCPv6/WPAD gebruiken; voer alleen passieve of expliciet goedgekeurde actieve tests uit (RoE).</t>
  </si>
  <si>
    <t xml:space="preserve">Beheer IPv6 (RA Guard, DHCPv6 Guard) of schakel het bewust uit op clients, schakel WPAD uit, dwing LDAP signing/channel binding en SMB signing af.</t>
  </si>
  <si>
    <t xml:space="preserve">Alarmeer op onverwachte DHCPv6/RA-bronnen en WPAD-aanvragen naar onbekende hosts.</t>
  </si>
  <si>
    <t xml:space="preserve">T1557.003, T1557.001</t>
  </si>
  <si>
    <t xml:space="preserve">CWE-290</t>
  </si>
  <si>
    <t xml:space="preserve">Active Directory Attack - mitm6</t>
  </si>
  <si>
    <t xml:space="preserve">AV-NET-02, AV-NET-03, AV-AD-17</t>
  </si>
  <si>
    <t xml:space="preserve">https://blog.fox-it.com/2018/01/11/mitm6-compromising-ipv4-networks-via-ipv6/</t>
  </si>
  <si>
    <t xml:space="preserve">AV-NET-11</t>
  </si>
  <si>
    <t xml:space="preserve">ARP spoofing / layer-2 attacks</t>
  </si>
  <si>
    <t xml:space="preserve">Ontbrekende Dynamic ARP Inspection, DHCP snooping en port security laten ARP-cache-poisoning, DHCP-spoofing en VLAN-hopping toe op toegangsswitches.</t>
  </si>
  <si>
    <t xml:space="preserve">Onderschepping en manipulatie van verkeer binnen het segment; downgrade naar cleartext.</t>
  </si>
  <si>
    <t xml:space="preserve">Beoordeel switchconfiguratie (DAI, DHCP snooping, port security, native VLAN) en voer alleen beperkte, goedgekeurde PoC's uit.</t>
  </si>
  <si>
    <t xml:space="preserve">DAI, DHCP snooping, port security, 802.1X, geen ongebruikte poorten in productie-VLAN's, versleuteling van gevoelig verkeer.</t>
  </si>
  <si>
    <t xml:space="preserve">Alarmeer op ARP-anomalieen (dubbele MAC/IP-koppelingen) via NDR/switch-logging.</t>
  </si>
  <si>
    <t xml:space="preserve">T1557.002</t>
  </si>
  <si>
    <t xml:space="preserve">AV-NET-07, AV-NET-20</t>
  </si>
  <si>
    <t xml:space="preserve">https://attack.mitre.org/techniques/T1557/002/</t>
  </si>
  <si>
    <t xml:space="preserve">AV-NET-12</t>
  </si>
  <si>
    <t xml:space="preserve">Exposed management interfaces (IPMI/BMC, iLO, iDRAC, web admin)</t>
  </si>
  <si>
    <t xml:space="preserve">Out-of-band-beheerinterfaces en webconsoles van servers, switches, storage en hypervisors zijn vanuit gebruikers-VLAN's bereikbaar, vaak met default credentials, verouderde firmware of IPMI 2.0 (RAKP-hashlekkage, cipher 0).</t>
  </si>
  <si>
    <t xml:space="preserve">Volledige controle over hardware (console, virtual media, power) buiten het OS om; persistente toegang.</t>
  </si>
  <si>
    <t xml:space="preserve">Inventariseer beheerinterfaces per segment, controleer bereikbaarheid vanuit niet-beheerzones, default credentials, IPMI-versie/cipher-suites en firmwareversie.</t>
  </si>
  <si>
    <t xml:space="preserve">Isoleer beheer in een apart OOB-VLAN met jump hosts en MFA, verwijder defaults, schakel IPMI-over-LAN uit waar mogelijk, firmware-updates.</t>
  </si>
  <si>
    <t xml:space="preserve">Alarmeer op logins op beheerinterfaces vanaf niet-beheernetwerken.</t>
  </si>
  <si>
    <t xml:space="preserve">T1021, T1078.001, T1110</t>
  </si>
  <si>
    <t xml:space="preserve">CWE-1188, CWE-284</t>
  </si>
  <si>
    <t xml:space="preserve">Insecure Management Interface</t>
  </si>
  <si>
    <t xml:space="preserve">CVE-2013-4786, AV-NET-05, AV-NET-15</t>
  </si>
  <si>
    <t xml:space="preserve">https://www.rapid7.com/blog/post/2013/07/02/a-penetration-testers-guide-to-ipmi/</t>
  </si>
  <si>
    <t xml:space="preserve">AV-NET-13</t>
  </si>
  <si>
    <t xml:space="preserve">Insecure network shares (anonymous / overly permissive SMB &amp; NFS)</t>
  </si>
  <si>
    <t xml:space="preserve">Fileshares zijn leesbaar (of schrijfbaar) voor Everyone/Authenticated Users of anonieme gebruikers; NFS-exports zonder root_squash of met no_root_squash; shares bevatten configs, scripts, backups en wachtwoorden.</t>
  </si>
  <si>
    <t xml:space="preserve">Datalek, credential-vondst (vaak de snelste route naar domain admin), plaatsing van kwaadaardige bestanden (LNK/SCF voor hash-capture).</t>
  </si>
  <si>
    <t xml:space="preserve">Enumereer shares en exports als anonieme en als laaggeprivilegieerde gebruiker, scan bestandsinhoud op credentials en gevoelige data (binnen scope).</t>
  </si>
  <si>
    <t xml:space="preserve">Least-privilege share- en NTFS-rechten, verwijder anonieme toegang, root_squash en host-restricties op NFS, opschonen van credentials in bestanden, DLP/classificatie.</t>
  </si>
  <si>
    <t xml:space="preserve">Alarmeer op grootschalige share-enumeratie en massale bestandsreads door een enkele gebruiker.</t>
  </si>
  <si>
    <t xml:space="preserve">T1135, T1039, T1552.001</t>
  </si>
  <si>
    <t xml:space="preserve">CWE-732, CWE-284</t>
  </si>
  <si>
    <t xml:space="preserve">Methodology and Resources - Network Discovery</t>
  </si>
  <si>
    <t xml:space="preserve">AV-AD-26, AV-HOST-04</t>
  </si>
  <si>
    <t xml:space="preserve">https://attack.mitre.org/techniques/T1135/</t>
  </si>
  <si>
    <t xml:space="preserve">AV-NET-14</t>
  </si>
  <si>
    <t xml:space="preserve">Exposed databases &amp; unauthenticated services (Redis, MongoDB, Elasticsearch, MSSQL)</t>
  </si>
  <si>
    <t xml:space="preserve">Databases, caches en message brokers luisteren op alle interfaces zonder authenticatie of met zwakke/default credentials (bv. sa, postgres, redis zonder requirepass, Elasticsearch zonder security).</t>
  </si>
  <si>
    <t xml:space="preserve">Datalek en vaak code-uitvoering op de host (xp_cmdshell, Redis module/config-write, MongoDB scripting).</t>
  </si>
  <si>
    <t xml:space="preserve">Scan op databaseservices, test anonieme toegang en default credentials, beoordeel versie en netwerkblootstelling.</t>
  </si>
  <si>
    <t xml:space="preserve">Bind op localhost/beheerinterfaces, authenticatie en TLS verplicht, firewall per bron, least-privilege accounts, patchbeleid.</t>
  </si>
  <si>
    <t xml:space="preserve">Alarmeer op verbindingen naar databases vanaf niet-applicatiehosts.</t>
  </si>
  <si>
    <t xml:space="preserve">T1190, T1078.001, T1213</t>
  </si>
  <si>
    <t xml:space="preserve">CWE-306, CWE-1188</t>
  </si>
  <si>
    <t xml:space="preserve">CVE-2025-49844, CVE-2025-14847, AV-NET-05</t>
  </si>
  <si>
    <t xml:space="preserve">https://attack.mitre.org/techniques/T1190/</t>
  </si>
  <si>
    <t xml:space="preserve">AV-NET-15</t>
  </si>
  <si>
    <t xml:space="preserve">Insufficient network segmentation (flat network)</t>
  </si>
  <si>
    <t xml:space="preserve">Architecture</t>
  </si>
  <si>
    <t xml:space="preserve">Werkplekken, servers, OT/IoT, beheer en gasten delen (routeerbare) segmenten zonder filtering, waardoor een gecompromitteerd endpoint direct kritieke systemen bereikt.</t>
  </si>
  <si>
    <t xml:space="preserve">Snelle laterale beweging en ransomware-verspreiding; blast radius van een enkel incident is het hele netwerk.</t>
  </si>
  <si>
    <t xml:space="preserve">Test bereikbaarheid van kritieke systemen (DC's, databases, backup, OT, beheer) vanuit representatieve segmenten; beoordeel firewallregels en VLAN-ontwerp.</t>
  </si>
  <si>
    <t xml:space="preserve">Zonering (gebruikers, servers, beheer, OT, DMZ, gasten) met default-deny tussen zones, microsegmentatie voor kritieke assets, host-firewalls.</t>
  </si>
  <si>
    <t xml:space="preserve">NDR/flow-monitoring op oost-west-verkeer tussen zones; alarmeer op SMB/RDP tussen werkplekken.</t>
  </si>
  <si>
    <t xml:space="preserve">T1021, T1570, T1210</t>
  </si>
  <si>
    <t xml:space="preserve">CWE-923</t>
  </si>
  <si>
    <t xml:space="preserve">Network Pivoting Techniques</t>
  </si>
  <si>
    <t xml:space="preserve">Tunneling</t>
  </si>
  <si>
    <t xml:space="preserve">AV-NET-12, AV-NET-17, AV-WIFI-07</t>
  </si>
  <si>
    <t xml:space="preserve">CIS Controls v8: 12.2</t>
  </si>
  <si>
    <t xml:space="preserve">https://www.cisecurity.org/controls/v8</t>
  </si>
  <si>
    <t xml:space="preserve">AV-NET-16</t>
  </si>
  <si>
    <t xml:space="preserve">Insufficient egress filtering (C2 / exfiltration possible)</t>
  </si>
  <si>
    <t xml:space="preserve">Command and control</t>
  </si>
  <si>
    <t xml:space="preserve">Uitgaand verkeer vanaf werkplekken en servers is niet beperkt tot noodzakelijke bestemmingen/protocollen (direct internet, DNS naar externe resolvers, onbeperkt 443), waardoor C2-kanalen en data-exfiltratie onopgemerkt blijven.</t>
  </si>
  <si>
    <t xml:space="preserve">Vrije command-and-control en exfiltratie; DNS/ICMP-tunneling mogelijk.</t>
  </si>
  <si>
    <t xml:space="preserve">Test vanuit representatieve segmenten welke poorten/protocollen naar internet open staan (incl. DNS-tunneling en directe IP-verbindingen) en of een proxy verplicht is.</t>
  </si>
  <si>
    <t xml:space="preserve">Default-deny egress met proxy/allowlisting, interne DNS-resolvers afdwingen, TLS-inspectie waar passend, geen directe internettoegang voor servers.</t>
  </si>
  <si>
    <t xml:space="preserve">Alarmeer op lange/regelmatige verbindingen naar onbekende bestemmingen, DNS-anomalieen en grote uitgaande volumes.</t>
  </si>
  <si>
    <t xml:space="preserve">T1071, T1572, T1090, T1048</t>
  </si>
  <si>
    <t xml:space="preserve">https://attack.mitre.org/techniques/T1572/</t>
  </si>
  <si>
    <t xml:space="preserve">AV-NET-17</t>
  </si>
  <si>
    <t xml:space="preserve">Exposed remote access services (RDP/VNC/SSH) with weak configuration</t>
  </si>
  <si>
    <t xml:space="preserve">RDP zonder NLA, VNC zonder of met zwak wachtwoord, SSH met wachtwoordauthenticatie/root-login, en remote access tools (AnyDesk, TeamViewer, ScreenConnect) breed beschikbaar binnen het netwerk.</t>
  </si>
  <si>
    <t xml:space="preserve">Brute force en credential-hergebruik voor laterale beweging; shadow-IT remote access als persistentiekanaal.</t>
  </si>
  <si>
    <t xml:space="preserve">Inventariseer remote-access-services per segment, controleer NLA, encryptie, authenticatiemethoden en lockout.</t>
  </si>
  <si>
    <t xml:space="preserve">NLA en MFA op RDP, SSH met keys en zonder root-login, VNC alleen via tunnel, allowlisting van remote-access-tools, jump hosts.</t>
  </si>
  <si>
    <t xml:space="preserve">Alarmeer op RDP/SSH-logins tussen werkplekken en op installatie van onbekende remote-access-software.</t>
  </si>
  <si>
    <t xml:space="preserve">T1021.001, T1021.004, T1219, T1110</t>
  </si>
  <si>
    <t xml:space="preserve">CWE-287, CWE-306</t>
  </si>
  <si>
    <t xml:space="preserve">CVE-2019-0708, CVE-2024-1709, AV-NET-05</t>
  </si>
  <si>
    <t xml:space="preserve">https://attack.mitre.org/techniques/T1021/001/</t>
  </si>
  <si>
    <t xml:space="preserve">AV-NET-18</t>
  </si>
  <si>
    <t xml:space="preserve">Legacy protocols enabled (SMBv1, Telnet/FTP, TLS 1.0/1.1, SSLv3)</t>
  </si>
  <si>
    <t xml:space="preserve">Verouderde protocollen en versies zijn nog actief op servers, printers en appliances, met bekende kwetsbaarheden (EternalBlue op SMBv1), cleartext-authenticatie of zwakke cryptografie.</t>
  </si>
  <si>
    <t xml:space="preserve">Exploitatie van bekende kwetsbaarheden, onderschepping van credentials, downgrade-aanvallen.</t>
  </si>
  <si>
    <t xml:space="preserve">Scan op SMBv1, Telnet, FTP, oude TLS-versies en cipher suites; koppel aan bekende CVE's binnen scope.</t>
  </si>
  <si>
    <t xml:space="preserve">Schakel SMBv1 uit (GPO), vervang Telnet/FTP door SSH/SFTP, TLS 1.2+ met moderne suites, vervang of isoleer apparaten die dit niet ondersteunen.</t>
  </si>
  <si>
    <t xml:space="preserve">Periodieke protocolscans; alarmeer op SMBv1-negotiatie en cleartext-logins in NDR.</t>
  </si>
  <si>
    <t xml:space="preserve">A02:2025, A04:2025</t>
  </si>
  <si>
    <t xml:space="preserve">T1210, T1040</t>
  </si>
  <si>
    <t xml:space="preserve">CWE-1104, CWE-327, CWE-319</t>
  </si>
  <si>
    <t xml:space="preserve">CVE-2017-0144, AV-NET-07, AV-AD-18</t>
  </si>
  <si>
    <t xml:space="preserve">https://learn.microsoft.com/en-us/windows-server/storage/file-server/troubleshoot/detect-enable-and-disable-smbv1-v2-v3</t>
  </si>
  <si>
    <t xml:space="preserve">AV-NET-19</t>
  </si>
  <si>
    <t xml:space="preserve">Printer / MFP abuse (LDAP pass-back, stored credentials, PJL)</t>
  </si>
  <si>
    <t xml:space="preserve">Multifunctionals met default admin-wachtwoord bevatten LDAP/SMB-scan-to-folder-credentials; door het LDAP-adres te wijzigen (pass-back) worden die credentials in cleartext naar de aanvaller gestuurd; PJL/PostScript geeft toegang tot het bestandssysteem en opgeslagen scans.</t>
  </si>
  <si>
    <t xml:space="preserve">Verkrijgen van (vaak geprivilegieerde) domeincredentials en gevoelige documenten.</t>
  </si>
  <si>
    <t xml:space="preserve">Inventariseer printers, controleer default credentials en de aanwezigheid van opgeslagen LDAP/SMB-accounts; voer pass-back alleen uit binnen RoE.</t>
  </si>
  <si>
    <t xml:space="preserve">Unieke admin-wachtwoorden, least-privilege scan-accounts (geen domain admin), LDAPS met certificaatvalidatie, printers in apart VLAN, firmware-updates.</t>
  </si>
  <si>
    <t xml:space="preserve">Alarmeer op LDAP-binds van printeraccounts naar niet-DC-hosts.</t>
  </si>
  <si>
    <t xml:space="preserve">T1557, T1552, T1078.001</t>
  </si>
  <si>
    <t xml:space="preserve">CWE-1188, CWE-522</t>
  </si>
  <si>
    <t xml:space="preserve">AV-NET-05, AV-NET-12</t>
  </si>
  <si>
    <t xml:space="preserve">http://hacking-printers.net/wiki/index.php/Main_Page</t>
  </si>
  <si>
    <t xml:space="preserve">AV-NET-20</t>
  </si>
  <si>
    <t xml:space="preserve">No network access control (802.1X / NAC) on wired or wireless</t>
  </si>
  <si>
    <t xml:space="preserve">Elke fysiek aangesloten of draadloos verbonden apparaat krijgt een adres in een productie-VLAN; geen 802.1X, MAB-only met MAC-spoofing mogelijk, of NAC alleen in monitoring-mode.</t>
  </si>
  <si>
    <t xml:space="preserve">Rogue devices (drop boxes, implants) en meegebrachte laptops krijgen direct toegang tot het interne netwerk.</t>
  </si>
  <si>
    <t xml:space="preserve">Sluit een onbekend apparaat aan op toegangspoorten (vergaderzalen, printers, VoIP) en bepaal verkregen toegang; test MAC-spoofing van toegestane apparaten (RoE).</t>
  </si>
  <si>
    <t xml:space="preserve">802.1X met certificaten (EAP-TLS), MAB alleen met profiling en beperkt VLAN, poortlockdown van ongebruikte poorten, VoIP/printer-VLAN's gescheiden.</t>
  </si>
  <si>
    <t xml:space="preserve">NAC-alerts op nieuwe MAC-adressen en profiling-mismatch.</t>
  </si>
  <si>
    <t xml:space="preserve">T1200, T1557</t>
  </si>
  <si>
    <t xml:space="preserve">CWE-306</t>
  </si>
  <si>
    <t xml:space="preserve">AV-PHY-03, AV-PHY-08, AV-WIFI-05</t>
  </si>
  <si>
    <t xml:space="preserve">https://attack.mitre.org/techniques/T1200/</t>
  </si>
  <si>
    <t xml:space="preserve">AV-NET-21</t>
  </si>
  <si>
    <t xml:space="preserve">End-of-life / unsupported systems</t>
  </si>
  <si>
    <t xml:space="preserve">Besturingssystemen, databases of appliances zonder leveranciersondersteuning (bv. Windows Server 2012/2012 R2, Windows 10 na okt 2025, oude ESXi/NetScaler-firmware) draaien in productie zonder compenserende maatregelen.</t>
  </si>
  <si>
    <t xml:space="preserve">Onherstelbare, publiek bekende kwetsbaarheden; vaak directe exploitatie tot SYSTEM/root.</t>
  </si>
  <si>
    <t xml:space="preserve">Inventariseer versies via scans en CMDB en vergelijk met EOL-data; beoordeel isolatie en compenserende maatregelen.</t>
  </si>
  <si>
    <t xml:space="preserve">Migreren/vervangen, ESU waar tijdelijk nodig, strikte isolatie (geen internet, aparte zone), virtual patching, verwijderen uit het domein waar mogelijk.</t>
  </si>
  <si>
    <t xml:space="preserve">Vulnerability management met EOL-signalering; alarmeer op verkeer naar EOL-hosts vanaf werkplekken.</t>
  </si>
  <si>
    <t xml:space="preserve">T1210, T1068</t>
  </si>
  <si>
    <t xml:space="preserve">Public exploits</t>
  </si>
  <si>
    <t xml:space="preserve">AV-NET-04, CVE-2017-0144, CVE-2019-0708</t>
  </si>
  <si>
    <t xml:space="preserve">https://endoflife.date/</t>
  </si>
  <si>
    <t xml:space="preserve">AV-NET-22</t>
  </si>
  <si>
    <t xml:space="preserve">Virtualization / hypervisor management exposure (vCenter, ESXi, Hyper-V, Proxmox)</t>
  </si>
  <si>
    <t xml:space="preserve">Hypervisor-beheerinterfaces zijn bereikbaar vanuit gebruikerssegmenten, gekoppeld aan AD (ESXi Admins-groep), ongepatcht of met lokale accounts zonder MFA; VM-escape en snapshot-diefstal zijn mogelijk.</t>
  </si>
  <si>
    <t xml:space="preserve">Compromittering van alle virtuele machines tegelijk (incl. DC's via VMDK-diefstal), ransomware op hypervisorniveau.</t>
  </si>
  <si>
    <t xml:space="preserve">Controleer netwerkblootstelling, versies, AD-koppeling/groepsnamen, SSH/shell-toegang en lockdown-mode van hypervisors en vCenter.</t>
  </si>
  <si>
    <t xml:space="preserve">Beheer alleen via beheerzone met MFA, patchen, lockdown mode, geen AD-groepsnaamgebaseerde admin zonder beveiliging, immutable backups van VM's.</t>
  </si>
  <si>
    <t xml:space="preserve">Alarmeer op logins op vCenter/ESXi vanaf niet-beheernetwerken en op massale snapshot-/export-acties.</t>
  </si>
  <si>
    <t xml:space="preserve">T1021, T1078, T1611</t>
  </si>
  <si>
    <t xml:space="preserve">CVE-2021-21972, CVE-2024-37085, CVE-2025-22224, CVE-2026-59310</t>
  </si>
  <si>
    <t xml:space="preserve">https://www.cisa.gov/news-events/cybersecurity-advisories/aa23-039a</t>
  </si>
  <si>
    <t xml:space="preserve">AV-NET-23</t>
  </si>
  <si>
    <t xml:space="preserve">Backup infrastructure exposure (Veeam, Commvault, NAS-backups)</t>
  </si>
  <si>
    <t xml:space="preserve">Backupservers draaien in het domein met geprivilegieerde service-accounts, zijn breed bereikbaar, ongepatcht of hebben backups die door domeinaccounts verwijderd/versleuteld kunnen worden.</t>
  </si>
  <si>
    <t xml:space="preserve">Ransomware-actoren verwijderen of versleutelen backups en halen credentials uit de backupconsole; herstel wordt onmogelijk.</t>
  </si>
  <si>
    <t xml:space="preserve">Beoordeel netwerkblootstelling, versies, domeinlidmaatschap, rechten van backup-accounts en immutabiliteit van backups.</t>
  </si>
  <si>
    <t xml:space="preserve">Backupserver buiten het productiedomein of in aparte tier, immutable/offline kopieen (3-2-1-1-0), least-privilege service-accounts, MFA op console, patchen.</t>
  </si>
  <si>
    <t xml:space="preserve">Alarmeer op verwijdering van backup-jobs/repositories en op logins op de backupconsole buiten beheerwindows.</t>
  </si>
  <si>
    <t xml:space="preserve">T1490, T1078, T1552</t>
  </si>
  <si>
    <t xml:space="preserve">CVE-2024-40711, AV-NET-15</t>
  </si>
  <si>
    <t xml:space="preserve">https://www.veeam.com/kb4649</t>
  </si>
  <si>
    <t xml:space="preserve">AV-EXT-01</t>
  </si>
  <si>
    <t xml:space="preserve">External network</t>
  </si>
  <si>
    <t xml:space="preserve">External attack surface &amp; OSINT enumeration</t>
  </si>
  <si>
    <t xml:space="preserve">In kaart brengen van domeinen, subdomeinen, IP-ranges, cloudassets, certificaten, medewerkers en technologie via passieve bronnen (CT-logs, DNS, Shodan/Censys, breach-data, social media).</t>
  </si>
  <si>
    <t xml:space="preserve">Bepaalt het aanvalsoppervlak en onbekende/vergeten assets (shadow IT).</t>
  </si>
  <si>
    <t xml:space="preserve">Voer passieve en lichte actieve enumeratie uit; vergelijk gevonden assets met de inventaris van de klant en rapporteer onbekende assets.</t>
  </si>
  <si>
    <t xml:space="preserve">Asset-inventaris en attack-surface-management (ASM), decommissioning-proces, beperking van publieke informatie.</t>
  </si>
  <si>
    <t xml:space="preserve">Beperkt; monitor CT-logs en ASM-tooling voor nieuwe assets.</t>
  </si>
  <si>
    <t xml:space="preserve">WSTG-INFO-01, WSTG-INFO-02</t>
  </si>
  <si>
    <t xml:space="preserve">T1595, T1593, T1596, T1590</t>
  </si>
  <si>
    <t xml:space="preserve">AV-NET-01, AV-WEB-28</t>
  </si>
  <si>
    <t xml:space="preserve">https://github.com/OWASP/amass</t>
  </si>
  <si>
    <t xml:space="preserve">AV-EXT-02</t>
  </si>
  <si>
    <t xml:space="preserve">Exposed administrative / remote access services on the perimeter</t>
  </si>
  <si>
    <t xml:space="preserve">RDP, SSH, SMB, databases, beheerinterfaces van firewalls/appliances, Kubernetes-API's of Docker-API's zijn direct vanaf internet bereikbaar.</t>
  </si>
  <si>
    <t xml:space="preserve">Brute force, credential stuffing en directe exploitatie van beheerinterfaces; ransomware-initial access.</t>
  </si>
  <si>
    <t xml:space="preserve">Portscan en servicefingerprinting op de externe ranges; toets authenticatie-eisen, lockout en versies (RoE).</t>
  </si>
  <si>
    <t xml:space="preserve">Beheer alleen via VPN/ZTNA met MFA, allowlisting van bron-IP's, verwijder onnodige services, WAF/reverse proxy voor webbeheer.</t>
  </si>
  <si>
    <t xml:space="preserve">Alarmeer op externe loginpogingen op beheerservices; ASM-scans.</t>
  </si>
  <si>
    <t xml:space="preserve">T1133, T1190, T1110</t>
  </si>
  <si>
    <t xml:space="preserve">CWE-284, CWE-1327</t>
  </si>
  <si>
    <t xml:space="preserve">AV-NET-17, CVE-2024-0012, CVE-2026-20079</t>
  </si>
  <si>
    <t xml:space="preserve">https://www.cisa.gov/resources-tools/services/cyber-hygiene-services</t>
  </si>
  <si>
    <t xml:space="preserve">AV-EXT-03</t>
  </si>
  <si>
    <t xml:space="preserve">E-mail spoofing (missing/weak SPF, DKIM, DMARC)</t>
  </si>
  <si>
    <t xml:space="preserve">SPF ontbreekt of is te ruim (+all, te veel includes), DKIM ontbreekt, DMARC staat op p=none of ontbreekt, waardoor e-mails namens het domein vervalst kunnen worden; ook subdomeinen zonder beleid en MTA-STS/TLS-RPT ontbreken.</t>
  </si>
  <si>
    <t xml:space="preserve">Geloofwaardige phishing en CEO-fraude namens de organisatie richting medewerkers, klanten en partners.</t>
  </si>
  <si>
    <t xml:space="preserve">Analyseer SPF/DKIM/DMARC/MTA-STS-records en test (met toestemming) of een vervalste mail de inbox bereikt.</t>
  </si>
  <si>
    <t xml:space="preserve">SPF met -all, DKIM op alle verzendende systemen, DMARC p=reject (gefaseerd), beleid voor subdomeinen, MTA-STS en TLS-RPT, inkomende DMARC-handhaving.</t>
  </si>
  <si>
    <t xml:space="preserve">DMARC-aggregaatrapporten monitoren; alarmeer op inkomende mail met eigen domein als afzender die DMARC faalt.</t>
  </si>
  <si>
    <t xml:space="preserve">T1566, T1672</t>
  </si>
  <si>
    <t xml:space="preserve">CWE-290, CWE-346</t>
  </si>
  <si>
    <t xml:space="preserve">Phishing Methodology</t>
  </si>
  <si>
    <t xml:space="preserve">AV-SE-01, AV-SE-02</t>
  </si>
  <si>
    <t xml:space="preserve">NCSC-NL / Forum Standaardisatie: SPF, DKIM, DMARC, STARTTLS, DANE</t>
  </si>
  <si>
    <t xml:space="preserve">https://internet.nl/</t>
  </si>
  <si>
    <t xml:space="preserve">DNS misconfiguration (zone transfer, dangling records, missing DNSSEC)</t>
  </si>
  <si>
    <t xml:space="preserve">AXFR naar willekeurige clients toegestaan, verweesde records naar externe diensten of oude IP's, ontbrekende DNSSEC/CAA, interne hostnamen in publieke zones.</t>
  </si>
  <si>
    <t xml:space="preserve">Volledige inventaris van hosts voor aanvallers, subdomain takeover, DNS-spoofing van het domein.</t>
  </si>
  <si>
    <t xml:space="preserve">Test zone transfer op alle autoritatieve nameservers, enumereer records en controleer DNSSEC/CAA en dangling records.</t>
  </si>
  <si>
    <t xml:space="preserve">AXFR alleen naar secundaire servers, opschonen van records, DNSSEC en CAA, scheiding van interne en externe zones (split-horizon).</t>
  </si>
  <si>
    <t xml:space="preserve">Alarmeer op AXFR-verzoeken van onbekende bronnen; periodieke DNS-audit.</t>
  </si>
  <si>
    <t xml:space="preserve">WSTG-INFO-02, WSTG-CONF-10</t>
  </si>
  <si>
    <t xml:space="preserve">T1590.002, T1584.001</t>
  </si>
  <si>
    <t xml:space="preserve">CWE-200, CWE-284</t>
  </si>
  <si>
    <t xml:space="preserve">AV-EXT-05</t>
  </si>
  <si>
    <t xml:space="preserve">VPN / remote access gateway weaknesses</t>
  </si>
  <si>
    <t xml:space="preserve">SSL-VPN's en remote-access-gateways (Fortinet, Citrix NetScaler, Ivanti, Palo Alto, Cisco ASA, SonicWall, Check Point) zonder MFA, met verouderde firmware met bekende exploits, blootgestelde beheerpoorten of zwakke lokale accounts.</t>
  </si>
  <si>
    <t xml:space="preserve">Directe toegang tot het interne netwerk met een enkel gelekt wachtwoord of via een publieke exploit; dit is de meest voorkomende ransomware-initial access.</t>
  </si>
  <si>
    <t xml:space="preserve">Fingerprint versie en build, vergelijk met KEV/leveranciersadviezen, test MFA-dekking (incl. legacy-realms), lockout en blootstelling van beheerinterfaces.</t>
  </si>
  <si>
    <t xml:space="preserve">MFA voor alle gebruikers, patchen binnen dagen bij KEV-vermeldingen, beheerinterface niet aan internet, certificaatgebaseerde clientauthenticatie, logging en integriteitscontroles van de appliance.</t>
  </si>
  <si>
    <t xml:space="preserve">Alarmeer op VPN-logins vanaf nieuwe landen/ASN's, meerdere gebruikers vanaf een IP en op configuratiewijzigingen van de appliance.</t>
  </si>
  <si>
    <t xml:space="preserve">T1133, T1078, T1190</t>
  </si>
  <si>
    <t xml:space="preserve">CWE-287, CWE-1104</t>
  </si>
  <si>
    <t xml:space="preserve">CVE-2018-13379, CVE-2023-4966, CVE-2024-21887, CVE-2024-3400, CVE-2025-20333, CVE-2025-5777</t>
  </si>
  <si>
    <t xml:space="preserve">Verwante CVE's zonder eigen rij: CVE-2026-19490</t>
  </si>
  <si>
    <t xml:space="preserve">https://www.cisa.gov/known-exploited-vulnerabilities-catalog</t>
  </si>
  <si>
    <t xml:space="preserve">AV-EXT-06</t>
  </si>
  <si>
    <t xml:space="preserve">Leaked credentials &amp; breach data exposure</t>
  </si>
  <si>
    <t xml:space="preserve">Credentials van medewerkers komen voor in publieke datalekken, infostealer-logs of code-repositories; wachtwoordhergebruik tussen prive en zakelijk maakt ze bruikbaar op VPN, M365 of webmail.</t>
  </si>
  <si>
    <t xml:space="preserve">Geldige toegang zonder exploitatie; vaak gecombineerd met MFA-fatigue of ontbrekende MFA.</t>
  </si>
  <si>
    <t xml:space="preserve">Zoek (binnen RoE en wettelijke kaders) in breach-/stealer-databronnen naar het domein en valideer alleen met toestemming via password spraying of een enkele login.</t>
  </si>
  <si>
    <t xml:space="preserve">Credential-screening tegen breach-lijsten, MFA, wachtwoordmanager, monitoring van stealer-logs, incident-proces voor gelekte credentials.</t>
  </si>
  <si>
    <t xml:space="preserve">Alarmeer op logins met gelekte credentials (identity protection) en op impossible travel.</t>
  </si>
  <si>
    <t xml:space="preserve">T1589.001, T1586, T1078</t>
  </si>
  <si>
    <t xml:space="preserve">CWE-521, CWE-522</t>
  </si>
  <si>
    <t xml:space="preserve">AV-NET-06, AV-WEB-44, AV-CLD-09</t>
  </si>
  <si>
    <t xml:space="preserve">https://haveibeenpwned.com/</t>
  </si>
  <si>
    <t xml:space="preserve">AV-EXT-07</t>
  </si>
  <si>
    <t xml:space="preserve">Exposed test / staging / development environments</t>
  </si>
  <si>
    <t xml:space="preserve">Acceptatie-, test- en ontwikkelomgevingen zijn publiek bereikbaar met productiedata, zwakkere beveiliging, debug-modi, default accounts of oude codeversies; vaak buiten monitoring.</t>
  </si>
  <si>
    <t xml:space="preserve">Datalek van productie-achtige data en een makkelijke springplank (gedeelde credentials, netwerkkoppeling) naar productie.</t>
  </si>
  <si>
    <t xml:space="preserve">Enumereer subdomeinen/hosts met test/dev/acc/uat-naamgeving, beoordeel beveiliging, data en koppelingen met productie.</t>
  </si>
  <si>
    <t xml:space="preserve">Geen productiedata in niet-productie, IP-allowlisting/VPN, dezelfde baseline en monitoring als productie, decommissioning.</t>
  </si>
  <si>
    <t xml:space="preserve">ASM-tooling op nieuwe hosts; logging van niet-productieomgevingen centraal.</t>
  </si>
  <si>
    <t xml:space="preserve">WSTG-CONF-05</t>
  </si>
  <si>
    <t xml:space="preserve">T1190, T1133</t>
  </si>
  <si>
    <t xml:space="preserve">CWE-284, CWE-1188</t>
  </si>
  <si>
    <t xml:space="preserve">AV-WEB-18, AV-WEB-48</t>
  </si>
  <si>
    <t xml:space="preserve">https://owasp.org/www-project-web-security-testing-guide/latest/4-Web_Application_Security_Testing/02-Configuration_and_Deployment_Management_Testing/05-Enumerate_Infrastructure_and_Application_Admin_Interfaces</t>
  </si>
  <si>
    <t xml:space="preserve">AV-AD-01</t>
  </si>
  <si>
    <t xml:space="preserve">Kerberoasting</t>
  </si>
  <si>
    <t xml:space="preserve">Service-tickets voor SPN-accounts worden offline op zwak wachtwoord gekraakt.</t>
  </si>
  <si>
    <t xml:space="preserve">Compromittering van service-accounts, vaak met hoge rechten.</t>
  </si>
  <si>
    <t xml:space="preserve">Inventariseer SPN-accounts en beoordeel wachtwoordsterkte/beleid.</t>
  </si>
  <si>
    <t xml:space="preserve">(g)MSA's, sterke wachtwoorden (25+ tekens voor service-accounts), minimaliseer SPN's; schakel RC4 (Kerberos encryption types) uit zodat alleen AES-tickets worden uitgegeven.</t>
  </si>
  <si>
    <t xml:space="preserve">Alarmeer op ongebruikelijke service-ticketaanvragen.</t>
  </si>
  <si>
    <t xml:space="preserve">T1558.003</t>
  </si>
  <si>
    <t xml:space="preserve">Active Directory Attack - Kerberoast</t>
  </si>
  <si>
    <t xml:space="preserve">AV-AD-19, AV-AD-20</t>
  </si>
  <si>
    <t xml:space="preserve">AV-AD-02</t>
  </si>
  <si>
    <t xml:space="preserve">AS-REP roasting</t>
  </si>
  <si>
    <t xml:space="preserve">Accounts zonder pre-authenticatie leveren krakbaar materiaal op.</t>
  </si>
  <si>
    <t xml:space="preserve">Offline kraken van gebruikerswachtwoorden.</t>
  </si>
  <si>
    <t xml:space="preserve">Inventariseer accounts met pre-auth uitgeschakeld.</t>
  </si>
  <si>
    <t xml:space="preserve">Vereis Kerberos pre-authenticatie; sterke wachtwoorden.</t>
  </si>
  <si>
    <t xml:space="preserve">Alarmeer op AS-REP-aanvragen voor dergelijke accounts.</t>
  </si>
  <si>
    <t xml:space="preserve">T1558.004</t>
  </si>
  <si>
    <t xml:space="preserve">Active Directory Attack - ASREPRoast</t>
  </si>
  <si>
    <t xml:space="preserve">AV-AD-19</t>
  </si>
  <si>
    <t xml:space="preserve">AV-AD-03</t>
  </si>
  <si>
    <t xml:space="preserve">OS credential dumping</t>
  </si>
  <si>
    <t xml:space="preserve">Extractie van credentials uit geheugen of lokale stores op een host.</t>
  </si>
  <si>
    <t xml:space="preserve">Hergebruik van credentials voor verdere toegang.</t>
  </si>
  <si>
    <t xml:space="preserve">Beoordeel bescherming van credential-stores en LSASS (post-exploitatie, binnen scope).</t>
  </si>
  <si>
    <t xml:space="preserve">Credential Guard, LAPS, least privilege, EDR.</t>
  </si>
  <si>
    <t xml:space="preserve">EDR-detectie op geheugentoegang tot credential-processen.</t>
  </si>
  <si>
    <t xml:space="preserve">T1003</t>
  </si>
  <si>
    <t xml:space="preserve">Active Directory Attack - Credential Dumping</t>
  </si>
  <si>
    <t xml:space="preserve">AV-HOST-06, AV-AD-21, AV-HOST-04, CVE-2021-36934</t>
  </si>
  <si>
    <t xml:space="preserve">AV-AD-04</t>
  </si>
  <si>
    <t xml:space="preserve">DCSync</t>
  </si>
  <si>
    <t xml:space="preserve">Misbruik van replicatierechten om password-hashes op te vragen bij de DC.</t>
  </si>
  <si>
    <t xml:space="preserve">Verkrijgen van hashes tot en met domain-admin.</t>
  </si>
  <si>
    <t xml:space="preserve">Beoordeel wie replicatierechten (DS-Replication) bezit.</t>
  </si>
  <si>
    <t xml:space="preserve">Beperk replicatierechten; monitor delegaties.</t>
  </si>
  <si>
    <t xml:space="preserve">Alarmeer op replicatie vanaf niet-DC-hosts.</t>
  </si>
  <si>
    <t xml:space="preserve">T1003.006</t>
  </si>
  <si>
    <t xml:space="preserve">Active Directory Attack - DCSync</t>
  </si>
  <si>
    <t xml:space="preserve">AV-AD-08, AV-AD-17, AV-CLD-13, CVE-2020-1472</t>
  </si>
  <si>
    <t xml:space="preserve">AV-AD-05</t>
  </si>
  <si>
    <t xml:space="preserve">Pass-the-hash</t>
  </si>
  <si>
    <t xml:space="preserve">Authenticatie met een NTLM-hash zonder het wachtwoord te kennen.</t>
  </si>
  <si>
    <t xml:space="preserve">Laterale beweging met gecompromitteerde credentials.</t>
  </si>
  <si>
    <t xml:space="preserve">Beoordeel segmentatie en hergebruik van lokale admin-credentials.</t>
  </si>
  <si>
    <t xml:space="preserve">LAPS, tiering, beperk lokaal admin-hergebruik.</t>
  </si>
  <si>
    <t xml:space="preserve">Detecteer NTLM-auth-patronen tussen werkstations.</t>
  </si>
  <si>
    <t xml:space="preserve">T1550.002</t>
  </si>
  <si>
    <t xml:space="preserve">Active Directory Attack - Pass the Hash</t>
  </si>
  <si>
    <t xml:space="preserve">AV-AD-21, AV-AD-18, AV-AD-03</t>
  </si>
  <si>
    <t xml:space="preserve">AV-AD-06</t>
  </si>
  <si>
    <t xml:space="preserve">Pass-the-ticket</t>
  </si>
  <si>
    <t xml:space="preserve">Hergebruik van Kerberos-tickets voor toegang tot resources.</t>
  </si>
  <si>
    <t xml:space="preserve">Laterale beweging en toegang tot diensten.</t>
  </si>
  <si>
    <t xml:space="preserve">Beoordeel ticket-levensduur en hostbescherming.</t>
  </si>
  <si>
    <t xml:space="preserve">Korte ticketlevensduur, tiering, credential-hygiene.</t>
  </si>
  <si>
    <t xml:space="preserve">Alarmeer op ticketgebruik vanaf onverwachte hosts.</t>
  </si>
  <si>
    <t xml:space="preserve">T1550.003</t>
  </si>
  <si>
    <t xml:space="preserve">Active Directory Attack - Pass the Ticket</t>
  </si>
  <si>
    <t xml:space="preserve">AV-AD-05, AV-AD-11</t>
  </si>
  <si>
    <t xml:space="preserve">AV-AD-07</t>
  </si>
  <si>
    <t xml:space="preserve">Delegation abuse</t>
  </si>
  <si>
    <t xml:space="preserve">Misbruik van (un)constrained of resource-based delegation voor impersonatie.</t>
  </si>
  <si>
    <t xml:space="preserve">Impersonatie van bevoorrechte accounts.</t>
  </si>
  <si>
    <t xml:space="preserve">Inventariseer delegatie-instellingen en risicovolle configuraties.</t>
  </si>
  <si>
    <t xml:space="preserve">Minimaliseer delegatie; markeer gevoelige accounts als niet-delegeerbaar.</t>
  </si>
  <si>
    <t xml:space="preserve">Monitor wijzigingen aan delegatie-attributen.</t>
  </si>
  <si>
    <t xml:space="preserve">T1134, T1484</t>
  </si>
  <si>
    <t xml:space="preserve">Active Directory Attack - Delegation</t>
  </si>
  <si>
    <t xml:space="preserve">AV-AD-16, AV-AD-17, CVE-2021-42287</t>
  </si>
  <si>
    <t xml:space="preserve">AV-AD-08</t>
  </si>
  <si>
    <t xml:space="preserve">ACL / ACE abuse</t>
  </si>
  <si>
    <t xml:space="preserve">Misbruik van rechten in object-ACL's voor escalatiepaden.</t>
  </si>
  <si>
    <t xml:space="preserve">Overname van objecten of accounts via rechtenketen.</t>
  </si>
  <si>
    <t xml:space="preserve">Analyseer ACL-paden (bv. via attack-path-mapping) binnen scope.</t>
  </si>
  <si>
    <t xml:space="preserve">Least privilege op AD-objecten; opschonen van gevaarlijke ACE's.</t>
  </si>
  <si>
    <t xml:space="preserve">Monitor wijzigingen aan gevoelige object-ACL's.</t>
  </si>
  <si>
    <t xml:space="preserve">T1098, T1484.001</t>
  </si>
  <si>
    <t xml:space="preserve">Active Directory Attack - ACL</t>
  </si>
  <si>
    <t xml:space="preserve">AV-AD-15, AV-AD-23, AV-AD-25, AV-AD-20</t>
  </si>
  <si>
    <t xml:space="preserve">AV-AD-09</t>
  </si>
  <si>
    <t xml:space="preserve">ADCS misconfiguration (ESC1-ESC16)</t>
  </si>
  <si>
    <t xml:space="preserve">Kwetsbare certificaat-templates, CA-configuratie of certificaat-mapping (ESC1 t/m ESC16: o.a. enrollee-supplied SAN, Any Purpose/Agent EKU, schrijfbare templates/CA-ACL's, NTLM-relay naar web enrollment (ESC8), weak certificate mapping (ESC9/10), EKUwu (ESC15) en uitgeschakelde security extension (ESC16)) laten escalatie toe.</t>
  </si>
  <si>
    <t xml:space="preserve">Verkrijgen van authenticatie-certificaten voor bevoorrechte accounts.</t>
  </si>
  <si>
    <t xml:space="preserve">Beoordeel template-permissies, CA-configuratie en mapping-instellingen op bekende misconfiguraties (bv. met Certipy 'find -vulnerable'), inclusief ESC8-blootstelling van HTTP-enrollment zonder EPA.</t>
  </si>
  <si>
    <t xml:space="preserve">Herstel template-permissies; schakel gevaarlijke opties uit (enrollee supplies subject, Any Purpose EKU); EPA/HTTPS-only of uitschakelen van web enrollment; StrongCertificateBindingEnforcement = 2; patch CVE-2022-26923 en CVE-2024-49019; audit CA-rechten (ManageCA/ManageCertificates).</t>
  </si>
  <si>
    <t xml:space="preserve">Monitor certificaataanvragen voor gevoelige identiteiten.</t>
  </si>
  <si>
    <t xml:space="preserve">T1649</t>
  </si>
  <si>
    <t xml:space="preserve">Active Directory Attack - Certificate Services</t>
  </si>
  <si>
    <t xml:space="preserve">CVE-2022-26923, CVE-2024-49019, AV-AD-14, AV-AD-15</t>
  </si>
  <si>
    <t xml:space="preserve">Certipy ESC1-ESC16; SpecterOps 'Certified Pre-Owned'</t>
  </si>
  <si>
    <t xml:space="preserve">AV-AD-10</t>
  </si>
  <si>
    <t xml:space="preserve">GPP cpassword / SYSVOL credential exposure</t>
  </si>
  <si>
    <t xml:space="preserve">Versleutelde wachtwoorden in Group Policy Preferences zijn te ontsleutelen.</t>
  </si>
  <si>
    <t xml:space="preserve">Verkrijgen van (vaak lokale admin) credentials.</t>
  </si>
  <si>
    <t xml:space="preserve">Controleer SYSVOL op GPP-bestanden met cpassword.</t>
  </si>
  <si>
    <t xml:space="preserve">Verwijder GPP-cpassword; gebruik LAPS.</t>
  </si>
  <si>
    <t xml:space="preserve">Audit SYSVOL-toegang en GPP-inhoud.</t>
  </si>
  <si>
    <t xml:space="preserve">T1552.006</t>
  </si>
  <si>
    <t xml:space="preserve">Active Directory Attack - GPP Passwords</t>
  </si>
  <si>
    <t xml:space="preserve">AV-AD-26, AV-AD-23</t>
  </si>
  <si>
    <t xml:space="preserve">AV-AD-11</t>
  </si>
  <si>
    <t xml:space="preserve">Golden ticket</t>
  </si>
  <si>
    <t xml:space="preserve">Persistence</t>
  </si>
  <si>
    <t xml:space="preserve">Vervalste TGT's op basis van de krbtgt-sleutel voor domainbrede toegang.</t>
  </si>
  <si>
    <t xml:space="preserve">Persistente, bevoorrechte toegang tot het domein.</t>
  </si>
  <si>
    <t xml:space="preserve">Beoordeel krbtgt-hygiene en rotatiebeleid (post-DA, binnen scope).</t>
  </si>
  <si>
    <t xml:space="preserve">Roteer krbtgt periodiek; beperk DA-toegang.</t>
  </si>
  <si>
    <t xml:space="preserve">Alarmeer op TGT's met afwijkende levensduur/eigenschappen.</t>
  </si>
  <si>
    <t xml:space="preserve">T1558.001</t>
  </si>
  <si>
    <t xml:space="preserve">Active Directory Attack - Golden Ticket</t>
  </si>
  <si>
    <t xml:space="preserve">AV-AD-04, AV-AD-27</t>
  </si>
  <si>
    <t xml:space="preserve">AV-AD-12</t>
  </si>
  <si>
    <t xml:space="preserve">Silver ticket</t>
  </si>
  <si>
    <t xml:space="preserve">Vervalste service-tickets voor een specifieke dienst.</t>
  </si>
  <si>
    <t xml:space="preserve">Gerichte, persistente toegang tot een service.</t>
  </si>
  <si>
    <t xml:space="preserve">Beoordeel service-accounthygiene en monitoring.</t>
  </si>
  <si>
    <t xml:space="preserve">Sterke service-accountwachtwoorden; monitoring.</t>
  </si>
  <si>
    <t xml:space="preserve">Detecteer service-tickets zonder bijbehorende TGT.</t>
  </si>
  <si>
    <t xml:space="preserve">T1558.002</t>
  </si>
  <si>
    <t xml:space="preserve">Active Directory Attack - Silver Ticket</t>
  </si>
  <si>
    <t xml:space="preserve">AV-AD-13</t>
  </si>
  <si>
    <t xml:space="preserve">Attack-path / trust enumeration</t>
  </si>
  <si>
    <t xml:space="preserve">In kaart brengen van rechten, sessies en trusts voor escalatiepaden.</t>
  </si>
  <si>
    <t xml:space="preserve">Onthult efficiente routes naar hoge privileges.</t>
  </si>
  <si>
    <t xml:space="preserve">Verzamel en analyseer AD-relaties (bv. via graph-tooling) binnen scope.</t>
  </si>
  <si>
    <t xml:space="preserve">Verklein aanvalspaden; tiering; opschonen rechten.</t>
  </si>
  <si>
    <t xml:space="preserve">Monitor grootschalige LDAP-enumeratie.</t>
  </si>
  <si>
    <t xml:space="preserve">T1482, T1087, T1069</t>
  </si>
  <si>
    <t xml:space="preserve">Active Directory Attack - BloodHound</t>
  </si>
  <si>
    <t xml:space="preserve">AV-AD-20, AV-AD-22, AV-AD-27</t>
  </si>
  <si>
    <t xml:space="preserve">AV-AD-14</t>
  </si>
  <si>
    <t xml:space="preserve">Coerced authentication (PetitPotam, PrinterBug, DFSCoerce) to relay</t>
  </si>
  <si>
    <t xml:space="preserve">Via RPC-interfaces (MS-EFSR, MS-RPRN, MS-DFSNM, MS-FSRVP) kan een server of DC worden gedwongen zich te authenticeren bij een aanvallershost; de machineaccount-authenticatie wordt gerelayed naar AD CS (ESC8), LDAP (RBCD/shadow credentials) of SMB.</t>
  </si>
  <si>
    <t xml:space="preserve">Domeincompromittering via relay van DC-/servercredentials zonder gebruikersinteractie.</t>
  </si>
  <si>
    <t xml:space="preserve">Controleer of coercion-interfaces bereikbaar zijn en of relay-doelen (AD CS web enrollment, LDAP zonder signing, SMB zonder signing) bestaan; voer relay alleen uit binnen RoE.</t>
  </si>
  <si>
    <t xml:space="preserve">Patch (CVE-2021-36942 e.a.), Print Spooler uit op DC's/servers, RPC-filters, EPA en HTTPS op AD CS, LDAP/SMB signing afdwingen, NTLM uitfaseren.</t>
  </si>
  <si>
    <t xml:space="preserve">Alarmeer op machineaccount-authenticatie vanaf onverwachte bronnen en op EFSRPC/RPRN-aanroepen van werkplekken naar DC's.</t>
  </si>
  <si>
    <t xml:space="preserve">T1187, T1557</t>
  </si>
  <si>
    <t xml:space="preserve">Active Directory Attack - Coerced Authentication</t>
  </si>
  <si>
    <t xml:space="preserve">AV-NET-03, AV-AD-09, CVE-2021-36942, CVE-2025-33073</t>
  </si>
  <si>
    <t xml:space="preserve">https://github.com/p0dalirius/Coercer</t>
  </si>
  <si>
    <t xml:space="preserve">AV-AD-15</t>
  </si>
  <si>
    <t xml:space="preserve">Shadow credentials (msDS-KeyCredentialLink abuse)</t>
  </si>
  <si>
    <t xml:space="preserve">Schrijfrechten op het attribuut msDS-KeyCredentialLink van een gebruiker of computer laten een aanvaller een eigen certificaat/sleutel koppelen en via PKINIT een TGT en NT-hash van dat account verkrijgen.</t>
  </si>
  <si>
    <t xml:space="preserve">Overname van gebruikers- en computeraccounts (inclusief DC's bij relay) zonder wachtwoordwijziging, dus onopvallend.</t>
  </si>
  <si>
    <t xml:space="preserve">Analyseer wie GenericWrite/WriteProperty op KeyCredentialLink heeft (BloodHound) en of PKINIT (AD CS) beschikbaar is.</t>
  </si>
  <si>
    <t xml:space="preserve">Opschonen van ACL's, monitoring op wijzigingen van msDS-KeyCredentialLink, Protected Users voor gevoelige accounts.</t>
  </si>
  <si>
    <t xml:space="preserve">Alarmeer op Event 5136 (attribuutwijziging KeyCredentialLink) en op PKINIT-logons vanaf onverwachte hosts.</t>
  </si>
  <si>
    <t xml:space="preserve">T1098, T1558</t>
  </si>
  <si>
    <t xml:space="preserve">Active Directory Attack - Shadow Credentials</t>
  </si>
  <si>
    <t xml:space="preserve">AV-AD-08, AV-AD-09</t>
  </si>
  <si>
    <t xml:space="preserve">https://posts.specterops.io/shadow-credentials-abusing-key-trust-account-mapping-for-takeover-8ee1a53566ab</t>
  </si>
  <si>
    <t xml:space="preserve">AV-AD-16</t>
  </si>
  <si>
    <t xml:space="preserve">MachineAccountQuota &gt; 0 (users can add computers)</t>
  </si>
  <si>
    <t xml:space="preserve">Standaard mag elke domeingebruiker tien computeraccounts aanmaken; die accounts hebben een bekend wachtwoord en SPN's en zijn bouwstenen voor RBCD, noPac en relay-aanvallen.</t>
  </si>
  <si>
    <t xml:space="preserve">Vergemakkelijkt escalatie via resource-based constrained delegation en sAMAccountName-spoofing.</t>
  </si>
  <si>
    <t xml:space="preserve">Lees ms-DS-MachineAccountQuota uit en controleer of gebruikers computers aan het domein kunnen toevoegen.</t>
  </si>
  <si>
    <t xml:space="preserve">Zet MachineAccountQuota op 0 en delegeer het joinen aan een specifieke groep; monitor computeraccount-aanmaak.</t>
  </si>
  <si>
    <t xml:space="preserve">Alarmeer op Event 4741 (computeraccount aangemaakt) door niet-beheerders.</t>
  </si>
  <si>
    <t xml:space="preserve">T1136.002</t>
  </si>
  <si>
    <t xml:space="preserve">Active Directory Attack - Machine Account Quota</t>
  </si>
  <si>
    <t xml:space="preserve">AV-AD-07, CVE-2021-42287</t>
  </si>
  <si>
    <t xml:space="preserve">https://learn.microsoft.com/en-us/troubleshoot/windows-server/active-directory/default-workstation-numbers-join-domain</t>
  </si>
  <si>
    <t xml:space="preserve">AV-AD-17</t>
  </si>
  <si>
    <t xml:space="preserve">LDAP signing / channel binding not enforced</t>
  </si>
  <si>
    <t xml:space="preserve">DC's accepteren ongesigneerde LDAP-binds en LDAPS zonder channel binding, waardoor NTLM-authenticatie naar LDAP(S) gerelayed kan worden (mitm6, coercion) om objecten en ACL's te wijzigen.</t>
  </si>
  <si>
    <t xml:space="preserve">Aanmaak van computeraccounts, RBCD, shadow credentials of DCSync-rechten via relay; domeincompromittering.</t>
  </si>
  <si>
    <t xml:space="preserve">Controleer LDAP server signing requirements en LDAPS channel binding (registry/GPO) op alle DC's; test een ongesigneerde bind.</t>
  </si>
  <si>
    <t xml:space="preserve">LDAP signing = Require en LDAP channel binding = Always op alle DC's (na audit van Event 2889/3039), NTLM-uitfasering.</t>
  </si>
  <si>
    <t xml:space="preserve">Events 2889 (ongesigneerde binds) en 3039/3040 (channel binding) op DC's monitoren.</t>
  </si>
  <si>
    <t xml:space="preserve">T1557, T1098</t>
  </si>
  <si>
    <t xml:space="preserve">Active Directory Attack - NTLM Relay</t>
  </si>
  <si>
    <t xml:space="preserve">AV-NET-03, AV-NET-08, AV-NET-10, AV-AD-14</t>
  </si>
  <si>
    <t xml:space="preserve">https://support.microsoft.com/en-us/topic/2020-ldap-channel-binding-and-ldap-signing-requirements-for-windows-ef185fb8-00f7-167d-744c-f299a66fc00a</t>
  </si>
  <si>
    <t xml:space="preserve">AV-AD-18</t>
  </si>
  <si>
    <t xml:space="preserve">NTLMv1 / LM authentication allowed</t>
  </si>
  <si>
    <t xml:space="preserve">LmCompatibilityLevel lager dan 5 laat NTLMv1 (en soms LM) toe; opgevangen NetNTLMv1-responses zijn met rainbow tables naar de NT-hash te herleiden en bruikbaar voor pass-the-hash; ook relay naar LDAP wordt makkelijker.</t>
  </si>
  <si>
    <t xml:space="preserve">Herleiden van NT-hashes (incl. computeraccounts) uit netwerkverkeer; domeincompromittering.</t>
  </si>
  <si>
    <t xml:space="preserve">Lees LmCompatibilityLevel uit GPO/registry en controleer (passief) op NTLMv1-authenticatie in het netwerk; test met responder-achtige tooling alleen binnen RoE.</t>
  </si>
  <si>
    <t xml:space="preserve">LmCompatibilityLevel = 5 (NTLMv2 only) via GPO, NTLM-auditing en uitfasering, Kerberos afdwingen, legacy-apparaten isoleren.</t>
  </si>
  <si>
    <t xml:space="preserve">NTLM-audit (Event 4624 met LmPackageName NTLM V1) centraal monitoren.</t>
  </si>
  <si>
    <t xml:space="preserve">T1557, T1110.002, T1550.002</t>
  </si>
  <si>
    <t xml:space="preserve">Active Directory Attack - NTLMv1</t>
  </si>
  <si>
    <t xml:space="preserve">AV-NET-02, AV-NET-03, AV-NET-18</t>
  </si>
  <si>
    <t xml:space="preserve">https://learn.microsoft.com/en-us/previous-versions/windows/it-pro/windows-10/security/threat-protection/security-policy-settings/network-security-lan-manager-authentication-level</t>
  </si>
  <si>
    <t xml:space="preserve">Weak domain password policy &amp; password hygiene</t>
  </si>
  <si>
    <t xml:space="preserve">Default domain policy met korte lengte, geen fine-grained policies voor beheerders/service-accounts, wachtwoorden die nooit verlopen, veel gebruikers met hetzelfde (seizoens)wachtwoord en geen breach-screening; aangetoond via offline analyse van de NTDS-hashes.</t>
  </si>
  <si>
    <t xml:space="preserve">Succesvolle spraying/cracking van een groot deel van de accounts, inclusief geprivilegieerde.</t>
  </si>
  <si>
    <t xml:space="preserve">Lees de (fine-grained) policies uit; analyseer met toestemming NTDS-hashes op lengte, hergebruik, gelekte wachtwoorden en gedeelde hashes (statistiek rapporteren, geen wachtwoorden).</t>
  </si>
  <si>
    <t xml:space="preserve">Minimaal 14+ tekens, langere eisen voor beheerders, breach-screening (Entra Password Protection/filter), gMSA voor services, Protected Users, wachtwoordmanager.</t>
  </si>
  <si>
    <t xml:space="preserve">Periodieke hash-audit; alarmeer op spraying-patronen.</t>
  </si>
  <si>
    <t xml:space="preserve">T1110, T1078.002</t>
  </si>
  <si>
    <t xml:space="preserve">Methodology and Resources - Hash Cracking</t>
  </si>
  <si>
    <t xml:space="preserve">AV-NET-06, AV-WEB-44, AV-AD-01</t>
  </si>
  <si>
    <t xml:space="preserve">https://learn.microsoft.com/en-us/entra/identity/authentication/concept-password-ban-bad-on-premises</t>
  </si>
  <si>
    <t xml:space="preserve">AV-AD-20</t>
  </si>
  <si>
    <t xml:space="preserve">Excessive privileged group membership / no tiering</t>
  </si>
  <si>
    <t xml:space="preserve">Te veel (service-)accounts in Domain Admins/Enterprise Admins/Administrators, gevaarlijke built-in groepen (Backup Operators, Server Operators, Account Operators, DnsAdmins) bevolkt, beheerders loggen in op werkplekken met DA-accounts, geen Protected Users en geen tiering/PAW's.</t>
  </si>
  <si>
    <t xml:space="preserve">Elke gecompromitteerde werkplek of service kan direct of via credentialdiefstal naar domain admin leiden.</t>
  </si>
  <si>
    <t xml:space="preserve">Inventariseer geprivilegieerde groepen (incl. genest), AdminCount-objecten, sessies van beheerders op werkplekken (BloodHound) en gebruik van Protected Users/PAW's.</t>
  </si>
  <si>
    <t xml:space="preserve">Tiering (Enterprise Access Model), aparte beheeraccounts per tier, PAW's, Protected Users, opschonen van groepen, gMSA voor services, JIT/PIM.</t>
  </si>
  <si>
    <t xml:space="preserve">Alarmeer op wijzigingen in geprivilegieerde groepen (4728/4732/4756) en op DA-logons op werkplekken.</t>
  </si>
  <si>
    <t xml:space="preserve">T1078.002, T1098</t>
  </si>
  <si>
    <t xml:space="preserve">CWE-250, CWE-269</t>
  </si>
  <si>
    <t xml:space="preserve">AV-AD-03, AV-AD-05, AV-AD-13</t>
  </si>
  <si>
    <t xml:space="preserve">Microsoft Enterprise Access Model</t>
  </si>
  <si>
    <t xml:space="preserve">https://learn.microsoft.com/en-us/security/privileged-access-workstations/privileged-access-access-model</t>
  </si>
  <si>
    <t xml:space="preserve">AV-AD-21</t>
  </si>
  <si>
    <t xml:space="preserve">Shared local administrator passwords (no LAPS)</t>
  </si>
  <si>
    <t xml:space="preserve">Het lokale administrator-wachtwoord is op veel werkplekken/servers gelijk (image/GPO), waardoor een enkele gedumpte hash via pass-the-hash toegang geeft tot alle hosts.</t>
  </si>
  <si>
    <t xml:space="preserve">Domeinbrede laterale beweging en credentialdiefstal vanaf elke host.</t>
  </si>
  <si>
    <t xml:space="preserve">Controleer of LAPS (Windows LAPS/legacy) is uitgerold en of lokale admin-hashes tussen hosts overeenkomen (met toestemming, bv. via SAM-dumps of PtH-check).</t>
  </si>
  <si>
    <t xml:space="preserve">Windows LAPS op alle domeinleden, uniek wachtwoord per host, lokale admin-logon via netwerk beperken (UAC-token-filter, deny network logon voor lokale accounts).</t>
  </si>
  <si>
    <t xml:space="preserve">Alarmeer op succesvolle NTLM-logons met lokale accounts tussen hosts (4624 type 3, lokale SID).</t>
  </si>
  <si>
    <t xml:space="preserve">T1550.002, T1078.003</t>
  </si>
  <si>
    <t xml:space="preserve">CWE-798, CWE-1392</t>
  </si>
  <si>
    <t xml:space="preserve">AV-AD-05, AV-AD-03</t>
  </si>
  <si>
    <t xml:space="preserve">https://learn.microsoft.com/en-us/windows-server/identity/laps/laps-overview</t>
  </si>
  <si>
    <t xml:space="preserve">AV-AD-22</t>
  </si>
  <si>
    <t xml:space="preserve">Anonymous LDAP / null session / Pre-Windows 2000 Compatible Access</t>
  </si>
  <si>
    <t xml:space="preserve">Anonieme LDAP-binds of null sessions op DC's/fileservers geven zonder credentials gebruikers-, groeps- en beleidsinformatie; 'Pre-Windows 2000 Compatible Access' bevat Authenticated Users of Everyone.</t>
  </si>
  <si>
    <t xml:space="preserve">Volledige enumeratie van het domein zonder account (basis voor spraying en gerichte aanvallen).</t>
  </si>
  <si>
    <t xml:space="preserve">Voer anonieme LDAP-queries en null-session-enumeratie uit tegen DC's; controleer het lidmaatschap van Pre-Windows 2000 Compatible Access en RestrictAnonymous-instellingen.</t>
  </si>
  <si>
    <t xml:space="preserve">Anonieme LDAP uit (dsHeuristics), RestrictAnonymous/RestrictAnonymousSAM, verwijder Authenticated Users/Everyone uit Pre-Windows 2000 Compatible Access.</t>
  </si>
  <si>
    <t xml:space="preserve">Alarmeer op anonieme LDAP-binds en SAMR-enumeratie vanaf niet-beheerhosts.</t>
  </si>
  <si>
    <t xml:space="preserve">T1087.002, T1069.002, T1018</t>
  </si>
  <si>
    <t xml:space="preserve">CWE-306, CWE-200</t>
  </si>
  <si>
    <t xml:space="preserve">Active Directory Attack - Enumeration</t>
  </si>
  <si>
    <t xml:space="preserve">AV-AD-13, AV-NET-01</t>
  </si>
  <si>
    <t xml:space="preserve">https://learn.microsoft.com/en-us/windows-server/identity/ad-ds/plan/security-best-practices/appendix-b--privileged-accounts-and-groups-in-active-directory</t>
  </si>
  <si>
    <t xml:space="preserve">AV-AD-23</t>
  </si>
  <si>
    <t xml:space="preserve">GPO misconfiguration / writable Group Policy Objects</t>
  </si>
  <si>
    <t xml:space="preserve">Niet-beheerders kunnen GPO's bewerken of koppelen (GenericWrite/WriteDacl op GPO's/OU's), GPO's met onveilige instellingen (scheduled tasks, scripts, lokale groepen, 'Everyone' in Restricted Groups) of niet-beveiligde SYSVOL-scripts.</t>
  </si>
  <si>
    <t xml:space="preserve">Code-uitvoering als SYSTEM op alle computers waarop de GPO van toepassing is, inclusief DC's.</t>
  </si>
  <si>
    <t xml:space="preserve">Analyseer GPO-ACL's en koppelingen (BloodHound/Group3r), controleer schrijfrechten op SYSVOL-scripts en gevaarlijke instellingen.</t>
  </si>
  <si>
    <t xml:space="preserve">Least privilege op GPO's en OU's, change management voor GPO's, opschonen van SYSVOL-rechten, AGPM/versiebeheer.</t>
  </si>
  <si>
    <t xml:space="preserve">Alarmeer op GPO-wijzigingen (5136/5137) door niet-beheerders en op wijzigingen in SYSVOL-scripts.</t>
  </si>
  <si>
    <t xml:space="preserve">T1484.001, T1053.005</t>
  </si>
  <si>
    <t xml:space="preserve">Active Directory Attack - GPO Abuse</t>
  </si>
  <si>
    <t xml:space="preserve">AV-AD-08, AV-AD-10</t>
  </si>
  <si>
    <t xml:space="preserve">https://github.com/Group3r/Group3r</t>
  </si>
  <si>
    <t xml:space="preserve">AV-AD-24</t>
  </si>
  <si>
    <t xml:space="preserve">SCCM / MECM misconfiguration (NAA credentials, PXE, site takeover)</t>
  </si>
  <si>
    <t xml:space="preserve">Network Access Account- en task-sequence-credentials zijn uit clients/PXE-media te halen, de site-database/SMS Provider is via relay (coerced authentication van de site server) over te nemen, en client push accounts zijn overgeprivilegieerd.</t>
  </si>
  <si>
    <t xml:space="preserve">Verkrijgen van (vaak geprivilegieerde) domeincredentials en de mogelijkheid om software/scripts als SYSTEM naar alle beheerde systemen te pushen.</t>
  </si>
  <si>
    <t xml:space="preserve">Inventariseer SCCM-rollen en accounts, controleer PXE-media/wachtwoord, NAA-gebruik en rechten, relay-mogelijkheden naar MSSQL/SMB van de site server (RoE).</t>
  </si>
  <si>
    <t xml:space="preserve">Enhanced HTTP/eHTTP en geen NAA, PXE met wachtwoord, least-privilege site- en push-accounts, SMB/MSSQL-signing (EPA) op site systems, isolatie van SCCM-infrastructuur als Tier 0.</t>
  </si>
  <si>
    <t xml:space="preserve">Alarmeer op onbekende clients die de site database benaderen en op nieuwe admin users in de SCCM-console.</t>
  </si>
  <si>
    <t xml:space="preserve">T1072, T1552, T1557</t>
  </si>
  <si>
    <t xml:space="preserve">CWE-522, CWE-269</t>
  </si>
  <si>
    <t xml:space="preserve">Active Directory Attack - SCCM</t>
  </si>
  <si>
    <t xml:space="preserve">AV-AD-14, AV-NET-03</t>
  </si>
  <si>
    <t xml:space="preserve">Misconfiguration Manager (SpecterOps) TAKEOVER/CRED/ELEVATE</t>
  </si>
  <si>
    <t xml:space="preserve">https://misconfigurationmanager.com/</t>
  </si>
  <si>
    <t xml:space="preserve">AV-AD-25</t>
  </si>
  <si>
    <t xml:space="preserve">dMSA abuse (BadSuccessor) on Windows Server 2025</t>
  </si>
  <si>
    <t xml:space="preserve">Met het recht om delegated Managed Service Accounts (dMSA) aan te maken of te bewerken in een OU kan een aanvaller de 'migratie' van een willekeurig account (incl. Domain Admin) simuleren en diens rechten en sleutels overnemen; vereist minimaal een Windows Server 2025 DC.</t>
  </si>
  <si>
    <t xml:space="preserve">Escalatie naar elk account in het domein vanaf beperkte OU-rechten.</t>
  </si>
  <si>
    <t xml:space="preserve">Controleer op Server 2025 DC's, inventariseer wie CreateChild/Write op dMSA-objecten in OU's heeft (BloodHound) en of de patch (CVE-2025-53779) is geinstalleerd.</t>
  </si>
  <si>
    <t xml:space="preserve">Patch (augustus 2025 e.v.), beperk het aanmaken van dMSA's tot beheerders, audit OU-rechten.</t>
  </si>
  <si>
    <t xml:space="preserve">Alarmeer op aanmaak van dMSA's (Event 5137 objectClass msDS-DelegatedManagedServiceAccount) en wijzigingen van msDS-ManagedAccountPrecededByLink.</t>
  </si>
  <si>
    <t xml:space="preserve">Active Directory Attack - BadSuccessor</t>
  </si>
  <si>
    <t xml:space="preserve">CVE-2025-53779, AV-AD-08</t>
  </si>
  <si>
    <t xml:space="preserve">https://www.akamai.com/blog/security-research/abusing-dmsa-for-privilege-escalation-in-active-directory</t>
  </si>
  <si>
    <t xml:space="preserve">AV-AD-26</t>
  </si>
  <si>
    <t xml:space="preserve">Credentials in AD attributes, SYSVOL scripts and shares</t>
  </si>
  <si>
    <t xml:space="preserve">Wachtwoorden in description/info/userPassword-attributen van AD-objecten, in logon-/installatiescripts op SYSVOL/NETLOGON, in unattend.xml of in configuratiebestanden op fileshares.</t>
  </si>
  <si>
    <t xml:space="preserve">Directe toegang tot (service-)accounts zonder kraken; vaak de kortste route naar beheerrechten.</t>
  </si>
  <si>
    <t xml:space="preserve">Doorzoek AD-attributen, SYSVOL en bereikbare shares op wachtwoordpatronen (met toestemming); controleer rechten op gevonden accounts.</t>
  </si>
  <si>
    <t xml:space="preserve">Opschonen en roteren, secret management (gMSA, vault), geen credentials in scripts, periodieke scans.</t>
  </si>
  <si>
    <t xml:space="preserve">Periodieke geautomatiseerde scans van SYSVOL/shares en attributen op credential-patronen.</t>
  </si>
  <si>
    <t xml:space="preserve">T1552.001, T1552.006, T1078</t>
  </si>
  <si>
    <t xml:space="preserve">CWE-798, CWE-522</t>
  </si>
  <si>
    <t xml:space="preserve">Active Directory Attack - Credentials in SYSVOL</t>
  </si>
  <si>
    <t xml:space="preserve">AV-AD-10, AV-NET-13</t>
  </si>
  <si>
    <t xml:space="preserve">https://adsecurity.org/?p=2288</t>
  </si>
  <si>
    <t xml:space="preserve">AV-AD-27</t>
  </si>
  <si>
    <t xml:space="preserve">Domain / forest trust abuse (SID filtering, SID history)</t>
  </si>
  <si>
    <t xml:space="preserve">Trusts zonder SID-filtering/quarantine, met selective authentication uit, of bidirectionele trusts naar minder beveiligde domeinen laten escalatie via SID history, inter-realm tickets of trust-account-misbruik toe.</t>
  </si>
  <si>
    <t xml:space="preserve">Compromittering van een child- of partnerdomein leidt tot compromittering van het hele forest of de vertrouwende organisatie.</t>
  </si>
  <si>
    <t xml:space="preserve">Inventariseer trusts, richting, SID-filtering, selective authentication en kwetsbare paden over trusts heen (BloodHound).</t>
  </si>
  <si>
    <t xml:space="preserve">SID-filtering en selective authentication op externe trusts, child-domeinen als Tier 0 beschouwen, trusts opschonen.</t>
  </si>
  <si>
    <t xml:space="preserve">Alarmeer op inter-realm TGT's met SID history (Event 4769 met vreemde SID's).</t>
  </si>
  <si>
    <t xml:space="preserve">T1134.005, T1482, T1550.003</t>
  </si>
  <si>
    <t xml:space="preserve">Active Directory Attack - Trusts</t>
  </si>
  <si>
    <t xml:space="preserve">AV-AD-11, AV-AD-13</t>
  </si>
  <si>
    <t xml:space="preserve">https://adsecurity.org/?p=1640</t>
  </si>
  <si>
    <t xml:space="preserve">AV-CLD-01</t>
  </si>
  <si>
    <t xml:space="preserve">Cloud</t>
  </si>
  <si>
    <t xml:space="preserve">IAM over-permissioning</t>
  </si>
  <si>
    <t xml:space="preserve">Identity</t>
  </si>
  <si>
    <t xml:space="preserve">Te ruime rollen en policies geven meer rechten dan nodig.</t>
  </si>
  <si>
    <t xml:space="preserve">Escalatie en brede toegang bij compromittering.</t>
  </si>
  <si>
    <t xml:space="preserve">Analyseer effectieve permissies en zoek escalatiepaden binnen scope.</t>
  </si>
  <si>
    <t xml:space="preserve">Least privilege, permission-boundaries, periodieke review.</t>
  </si>
  <si>
    <t xml:space="preserve">Alarmeer op gebruik van ongebruikelijke permissies.</t>
  </si>
  <si>
    <t xml:space="preserve">T1078.004</t>
  </si>
  <si>
    <t xml:space="preserve">Cloud - AWS/Azure/GCP</t>
  </si>
  <si>
    <t xml:space="preserve">AV-CLD-11, AV-CLD-12, AV-CLD-16</t>
  </si>
  <si>
    <t xml:space="preserve">AV-CLD-02</t>
  </si>
  <si>
    <t xml:space="preserve">Exposed secrets / keys</t>
  </si>
  <si>
    <t xml:space="preserve">Access keys of secrets in code, config, images of metadata.</t>
  </si>
  <si>
    <t xml:space="preserve">Directe, geauthenticeerde toegang tot cloud-resources.</t>
  </si>
  <si>
    <t xml:space="preserve">Zoek naar secrets in repos, images en config binnen scope.</t>
  </si>
  <si>
    <t xml:space="preserve">Secret-management, key-rotatie, scanning in CI.</t>
  </si>
  <si>
    <t xml:space="preserve">Alarmeer op key-gebruik vanaf onverwachte locaties.</t>
  </si>
  <si>
    <t xml:space="preserve">T1552, T1552.001</t>
  </si>
  <si>
    <t xml:space="preserve">CWE-798</t>
  </si>
  <si>
    <t xml:space="preserve">Cloud - Secrets</t>
  </si>
  <si>
    <t xml:space="preserve">AV-CLD-14, AV-HOST-04, AV-MOB-05, AV-API-12</t>
  </si>
  <si>
    <t xml:space="preserve">AV-CLD-03</t>
  </si>
  <si>
    <t xml:space="preserve">Public storage exposure</t>
  </si>
  <si>
    <t xml:space="preserve">Buckets/blobs, shares, snapshots of images publiek of te ruim toegankelijk (ook via SAS-tokens/presigned URL's zonder vervaldatum).</t>
  </si>
  <si>
    <t xml:space="preserve">Datalek van opgeslagen gegevens.</t>
  </si>
  <si>
    <t xml:space="preserve">Inventariseer toegangsbeleid van opslag binnen scope.</t>
  </si>
  <si>
    <t xml:space="preserve">Block-public-access, least privilege, encryptie.</t>
  </si>
  <si>
    <t xml:space="preserve">Config-monitoring op publieke opslag.</t>
  </si>
  <si>
    <t xml:space="preserve">T1530</t>
  </si>
  <si>
    <t xml:space="preserve">CWE-732</t>
  </si>
  <si>
    <t xml:space="preserve">Cloud - Storage</t>
  </si>
  <si>
    <t xml:space="preserve">AV-CLD-18, AV-NET-13</t>
  </si>
  <si>
    <t xml:space="preserve">AV-CLD-04</t>
  </si>
  <si>
    <t xml:space="preserve">Cloud service &amp; infra discovery</t>
  </si>
  <si>
    <t xml:space="preserve">Enumeratie van accounts, services en resources.</t>
  </si>
  <si>
    <t xml:space="preserve">Bouwt de kaart van het cloud-aanvalsoppervlak.</t>
  </si>
  <si>
    <t xml:space="preserve">Enumereer resources via geautoriseerde toegang binnen scope.</t>
  </si>
  <si>
    <t xml:space="preserve">Minimaliseer metadata-blootstelling; monitor enumeratie.</t>
  </si>
  <si>
    <t xml:space="preserve">Alarmeer op brede describe/list-activiteit.</t>
  </si>
  <si>
    <t xml:space="preserve">T1526, T1580</t>
  </si>
  <si>
    <t xml:space="preserve">Cloud - Enumeration</t>
  </si>
  <si>
    <t xml:space="preserve">AV-CLD-05</t>
  </si>
  <si>
    <t xml:space="preserve">Instance metadata SSRF (IMDS)</t>
  </si>
  <si>
    <t xml:space="preserve">SSRF naar het metadata-endpoint levert tijdelijke credentials op.</t>
  </si>
  <si>
    <t xml:space="preserve">Verkrijgen van instance-rolcredentials.</t>
  </si>
  <si>
    <t xml:space="preserve">Controleer of applicaties SSRF naar metadata kunnen worden aangezet.</t>
  </si>
  <si>
    <t xml:space="preserve">Gebruik IMDSv2/session-based metadata; egress-controls.</t>
  </si>
  <si>
    <t xml:space="preserve">Monitor metadata-toegang vanuit applicatiecontext.</t>
  </si>
  <si>
    <t xml:space="preserve">T1552.005</t>
  </si>
  <si>
    <t xml:space="preserve">Server Side Request Forgery - Cloud</t>
  </si>
  <si>
    <t xml:space="preserve">AV-WEB-07, AV-API-07, CVE-2026-64849</t>
  </si>
  <si>
    <t xml:space="preserve">AV-CLD-06</t>
  </si>
  <si>
    <t xml:space="preserve">Privilege escalation via role chaining</t>
  </si>
  <si>
    <t xml:space="preserve">Koppelen van permissies/rollen om hogere rechten te bereiken.</t>
  </si>
  <si>
    <t xml:space="preserve">Escalatie naar bevoorrechte cloud-identiteiten.</t>
  </si>
  <si>
    <t xml:space="preserve">Analyseer assume-role- en policy-ketens binnen scope.</t>
  </si>
  <si>
    <t xml:space="preserve">Beperk pass-role/assume-role; least privilege.</t>
  </si>
  <si>
    <t xml:space="preserve">Alarmeer op ongebruikelijke role-assumptions.</t>
  </si>
  <si>
    <t xml:space="preserve">T1548</t>
  </si>
  <si>
    <t xml:space="preserve">Cloud - Privilege Escalation</t>
  </si>
  <si>
    <t xml:space="preserve">AV-CLD-01, AV-CLD-11, AV-CLD-16</t>
  </si>
  <si>
    <t xml:space="preserve">AV-CLD-07</t>
  </si>
  <si>
    <t xml:space="preserve">Container / Kubernetes misconfiguration</t>
  </si>
  <si>
    <t xml:space="preserve">Onveilige RBAC, privileged containers of blootgestelde API-server.</t>
  </si>
  <si>
    <t xml:space="preserve">Escalatie binnen het cluster of naar de node.</t>
  </si>
  <si>
    <t xml:space="preserve">Beoordeel RBAC, pod-security en API-server-blootstelling binnen scope.</t>
  </si>
  <si>
    <t xml:space="preserve">Least-privilege RBAC, pod-security-standaarden, netwerkbeleid.</t>
  </si>
  <si>
    <t xml:space="preserve">Audit clusterrol-bindings en privileged pods.</t>
  </si>
  <si>
    <t xml:space="preserve">T1610, T1611</t>
  </si>
  <si>
    <t xml:space="preserve">Cloud - Kubernetes</t>
  </si>
  <si>
    <t xml:space="preserve">AV-CLD-15, CVE-2025-1974, CVE-2024-21626</t>
  </si>
  <si>
    <t xml:space="preserve">CIS Kubernetes Benchmark</t>
  </si>
  <si>
    <t xml:space="preserve">Logging &amp; monitoring gaps</t>
  </si>
  <si>
    <t xml:space="preserve">Ontbrekende of onvolledige audit-trails en alerting.</t>
  </si>
  <si>
    <t xml:space="preserve">Aanvallen blijven onopgemerkt.</t>
  </si>
  <si>
    <t xml:space="preserve">Beoordeel dekking van cloud-audit-logging en alerting.</t>
  </si>
  <si>
    <t xml:space="preserve">Schakel centrale audit-logging in; definieer alerts.</t>
  </si>
  <si>
    <t xml:space="preserve">Meet log-dekking per account/regio.</t>
  </si>
  <si>
    <t xml:space="preserve">CWE-778</t>
  </si>
  <si>
    <t xml:space="preserve">Cloud - Logging</t>
  </si>
  <si>
    <t xml:space="preserve">CIS Benchmarks (logging)</t>
  </si>
  <si>
    <t xml:space="preserve">AV-CLD-09</t>
  </si>
  <si>
    <t xml:space="preserve">Weak identity controls (no MFA, legacy auth, Conditional Access gaps)</t>
  </si>
  <si>
    <t xml:space="preserve">Niet alle gebruikers (vooral beheerders, service- en gastaccounts) hebben MFA, legacy authentication (IMAP/POP/SMTP AUTH/basic) staat aan, Conditional Access heeft uitzonderingen of bevat alleen rapportage, geen phishing-resistente MFA voor beheerders.</t>
  </si>
  <si>
    <t xml:space="preserve">Accountovername met alleen een wachtwoord (spraying, gelekte credentials); omzeiling van MFA via legacy-protocollen.</t>
  </si>
  <si>
    <t xml:space="preserve">Beoordeel MFA-registratie en -afdwinging per rol, legacy-auth sign-ins, Conditional Access-beleid en uitzonderingen, Security Defaults.</t>
  </si>
  <si>
    <t xml:space="preserve">MFA voor iedereen, phishing-resistente MFA (FIDO2/WHfB) voor beheerders, legacy auth blokkeren, Conditional Access met device compliance en risicogebaseerd beleid, break-glass-accounts beveiligd.</t>
  </si>
  <si>
    <t xml:space="preserve">Identity Protection-risico's, sign-ins met legacy clients en MFA-failures centraal monitoren.</t>
  </si>
  <si>
    <t xml:space="preserve">T1078.004, T1110.003, T1556.006</t>
  </si>
  <si>
    <t xml:space="preserve">CWE-308, CWE-287</t>
  </si>
  <si>
    <t xml:space="preserve">Cloud - Azure Pentest</t>
  </si>
  <si>
    <t xml:space="preserve">AV-NET-06, AV-SE-06, AV-WEB-46</t>
  </si>
  <si>
    <t xml:space="preserve">CIS Microsoft 365 Foundations Benchmark</t>
  </si>
  <si>
    <t xml:space="preserve">https://learn.microsoft.com/en-us/entra/identity/conditional-access/overview</t>
  </si>
  <si>
    <t xml:space="preserve">AV-CLD-10</t>
  </si>
  <si>
    <t xml:space="preserve">OAuth consent phishing &amp; device code phishing</t>
  </si>
  <si>
    <t xml:space="preserve">Phishing</t>
  </si>
  <si>
    <t xml:space="preserve">Gebruikers kunnen zelf toestemming geven aan externe (kwaadaardige) applicaties (illicit consent grant), of worden via de device-code-flow verleid een aanvallerscode te autoriseren; beide leveren tokens op die MFA en wachtwoordwijzigingen overleven.</t>
  </si>
  <si>
    <t xml:space="preserve">Persistente toegang tot mail, bestanden en Graph-API namens het slachtoffer zonder credentials.</t>
  </si>
  <si>
    <t xml:space="preserve">Controleer user-consent-instellingen, bestaande enterprise applications met risicovolle permissies, en of de device-code-flow is beperkt via Conditional Access; simuleer alleen binnen RoE.</t>
  </si>
  <si>
    <t xml:space="preserve">User consent uitschakelen of beperken tot geverifieerde publishers met admin-consent-workflow, device code flow blokkeren via Conditional Access, app-governance.</t>
  </si>
  <si>
    <t xml:space="preserve">Alarmeer op nieuwe consent grants, device-code-authenticaties en applicaties met mail/files-permissies.</t>
  </si>
  <si>
    <t xml:space="preserve">T1528, T1566.002, T1550.001</t>
  </si>
  <si>
    <t xml:space="preserve">AV-SE-07, AV-WEB-30, AV-CLD-11</t>
  </si>
  <si>
    <t xml:space="preserve">https://learn.microsoft.com/en-us/entra/identity/enterprise-apps/protect-against-consent-phishing</t>
  </si>
  <si>
    <t xml:space="preserve">AV-CLD-11</t>
  </si>
  <si>
    <t xml:space="preserve">Over-privileged service principals / app registrations with credentials</t>
  </si>
  <si>
    <t xml:space="preserve">App registrations en service principals met Directory.ReadWrite.All, RoleManagement.ReadWrite.Directory of Application.ReadWrite.All, langlevende client secrets, en gebruikers die als owner secrets kunnen toevoegen; vergelijkbaar: IAM-rollen met iam:PassRole of sts:AssumeRole op *.</t>
  </si>
  <si>
    <t xml:space="preserve">Escalatie naar Global Administrator/account-admin via een app-identiteit; onopvallende persistentie.</t>
  </si>
  <si>
    <t xml:space="preserve">Inventariseer app-permissies (application vs delegated), owners, credentials en hun leeftijd; zoek escalatiepaden (AzureHound/Pmapper).</t>
  </si>
  <si>
    <t xml:space="preserve">Least-privilege permissies, certificaten i.p.v. secrets met korte levensduur, owner-opschoning, credential-rotatie, workload identity federation.</t>
  </si>
  <si>
    <t xml:space="preserve">Alarmeer op toevoegen van credentials aan apps en op rol-toekenning via service principals.</t>
  </si>
  <si>
    <t xml:space="preserve">T1098.001, T1098.003, T1078.004</t>
  </si>
  <si>
    <t xml:space="preserve">CWE-269, CWE-798</t>
  </si>
  <si>
    <t xml:space="preserve">AV-CLD-01, AV-CLD-06, AV-CLD-10</t>
  </si>
  <si>
    <t xml:space="preserve">https://learn.microsoft.com/en-us/entra/identity/role-based-access-control/best-practices</t>
  </si>
  <si>
    <t xml:space="preserve">AV-CLD-12</t>
  </si>
  <si>
    <t xml:space="preserve">Standing privileged access (no PIM / JIT, no break-glass hygiene)</t>
  </si>
  <si>
    <t xml:space="preserve">Beheerders zijn permanent Global Administrator/Owner i.p.v. eligible via Privileged Identity Management; beheer gebeurt met reguliere (synced) accounts; break-glass-accounts ontbreken of worden niet gemonitord.</t>
  </si>
  <si>
    <t xml:space="preserve">Grotere impact van elke accountcompromittering en geen goedkeurings-/auditspoor voor geprivilegieerd gebruik.</t>
  </si>
  <si>
    <t xml:space="preserve">Inventariseer permanente vs eligible rolhouders, cloud-only beheeraccounts, en break-glass-configuratie.</t>
  </si>
  <si>
    <t xml:space="preserve">PIM/JIT met goedkeuring en MFA, cloud-only beheeraccounts, maximaal 2-4 Global Admins, gemonitorde break-glass-accounts.</t>
  </si>
  <si>
    <t xml:space="preserve">Alarmeer op rolactivatie buiten kantooruren en op gebruik van break-glass-accounts.</t>
  </si>
  <si>
    <t xml:space="preserve">AV-CLD-01, AV-AD-20</t>
  </si>
  <si>
    <t xml:space="preserve">https://learn.microsoft.com/en-us/entra/id-governance/privileged-identity-management/pim-configure</t>
  </si>
  <si>
    <t xml:space="preserve">AV-CLD-13</t>
  </si>
  <si>
    <t xml:space="preserve">Hybrid identity (Entra Connect / AD FS) server compromise</t>
  </si>
  <si>
    <t xml:space="preserve">De Entra Connect-server bevat het MSOL_/AAD-connectoraccount (DCSync-rechten) en de cloud-sync-credentials; AD FS bevat de token-signing-sleutel (Golden SAML); deze servers staan vaak niet in Tier 0 en zijn beheerbaar door gewone serverbeheerders.</t>
  </si>
  <si>
    <t xml:space="preserve">Compromittering van zowel on-premises AD (DCSync) als de cloudtenant (Global Admin, Golden SAML).</t>
  </si>
  <si>
    <t xml:space="preserve">Inventariseer wie lokaal admin is op Entra Connect/AD FS-servers, de rechten van de connectoraccounts en de bescherming van de signing-sleutel.</t>
  </si>
  <si>
    <t xml:space="preserve">Behandel Entra Connect/AD FS als Tier 0, lokale admin beperken, Cloud Sync waar mogelijk, migratie van AD FS naar Entra ID-authenticatie, monitoring op token-signing-wijzigingen.</t>
  </si>
  <si>
    <t xml:space="preserve">Alarmeer op logons op sync-servers door niet-Tier-0-accounts en op replicatie door het connectoraccount vanaf andere hosts.</t>
  </si>
  <si>
    <t xml:space="preserve">T1003.006, T1606.002, T1484.002</t>
  </si>
  <si>
    <t xml:space="preserve">AV-AD-04, AV-AD-20, CVE-2025-53786</t>
  </si>
  <si>
    <t xml:space="preserve">https://learn.microsoft.com/en-us/entra/identity/hybrid/connect/how-to-connect-install-prerequisites#harden-your-microsoft-entra-connect-server</t>
  </si>
  <si>
    <t xml:space="preserve">AV-CLD-14</t>
  </si>
  <si>
    <t xml:space="preserve">CI/CD pipeline weaknesses (secrets, pwn requests, unprotected runners)</t>
  </si>
  <si>
    <t xml:space="preserve">Pipelines gebruiken langlevende secrets, draaien ongeverifieerde code uit pull requests met toegang tot secrets (pull_request_target), gebruiken onvastgepinde third-party actions, zelf-gehoste runners zonder isolatie, of hebben schrijfrechten op productie zonder review.</t>
  </si>
  <si>
    <t xml:space="preserve">Code-injectie in artefacten en deployments, diefstal van cloudcredentials, supply-chain-compromittering van afnemers.</t>
  </si>
  <si>
    <t xml:space="preserve">Review pipeline-definities op secret-gebruik, triggers, pinning (SHA), runner-isolatie en branch protection; test (met toestemming) of een PR-trigger secrets kan lekken.</t>
  </si>
  <si>
    <t xml:space="preserve">OIDC/workload identity i.p.v. secrets, pinning van actions op commit-SHA, geen secrets in PR-triggers van forks, ephemeral runners, branch protection en signed commits/artefacten (SLSA).</t>
  </si>
  <si>
    <t xml:space="preserve">Alarmeer op wijzigingen in workflow-bestanden, nieuwe deploy keys en runner-registraties.</t>
  </si>
  <si>
    <t xml:space="preserve">A03:2025, A08:2025</t>
  </si>
  <si>
    <t xml:space="preserve">T1195.002, T1552, T1072</t>
  </si>
  <si>
    <t xml:space="preserve">CWE-522, CWE-829</t>
  </si>
  <si>
    <t xml:space="preserve">Methodology and Resources - CI/CD</t>
  </si>
  <si>
    <t xml:space="preserve">AV-CLD-02, AV-CLD-19, CVE-2025-30066, CVE-2026-45321</t>
  </si>
  <si>
    <t xml:space="preserve">OWASP Top 10 CI/CD Security Risks; SLSA</t>
  </si>
  <si>
    <t xml:space="preserve">https://owasp.org/www-project-top-10-ci-cd-security-risks/</t>
  </si>
  <si>
    <t xml:space="preserve">AV-CLD-15</t>
  </si>
  <si>
    <t xml:space="preserve">Exposed container runtime / registry / Kubernetes components</t>
  </si>
  <si>
    <t xml:space="preserve">Docker API (2375/2376) zonder authenticatie, kubelet (10250) met anonymous auth, etcd zonder TLS/auth, dashboards zonder login, onbeveiligde registries met pullbare images die secrets bevatten, of privileged/host-mounted containers.</t>
  </si>
  <si>
    <t xml:space="preserve">Code-uitvoering op nodes, diefstal van cluster-secrets en registry-images, container-escape naar de host.</t>
  </si>
  <si>
    <t xml:space="preserve">Scan op runtime/control-plane-poorten, test anonieme toegang tot API's en registries, controleer image-inhoud op secrets en pod-security-instellingen.</t>
  </si>
  <si>
    <t xml:space="preserve">Geen API's zonder TLS+auth aan netwerk, kubelet anonymous-auth uit, RBAC least privilege, private registries met scanning, Pod Security Standards (restricted), netwerkbeleid.</t>
  </si>
  <si>
    <t xml:space="preserve">Audit-logging van de API-server; alarmeer op anonieme verzoeken en exec/attach-calls.</t>
  </si>
  <si>
    <t xml:space="preserve">T1610, T1611, T1525, T1552.007</t>
  </si>
  <si>
    <t xml:space="preserve">CWE-306, CWE-284</t>
  </si>
  <si>
    <t xml:space="preserve">Container - Kubernetes Pentest</t>
  </si>
  <si>
    <t xml:space="preserve">AV-CLD-07, CVE-2025-1974, CVE-2024-21626</t>
  </si>
  <si>
    <t xml:space="preserve">https://kubernetes.io/docs/concepts/security/</t>
  </si>
  <si>
    <t xml:space="preserve">AV-CLD-16</t>
  </si>
  <si>
    <t xml:space="preserve">Overly permissive cross-account / federated trust (assume-role, OIDC, ExternalId)</t>
  </si>
  <si>
    <t xml:space="preserve">IAM-rollen vertrouwen alle principals van een extern account, missen een ExternalId (confused deputy), OIDC-trusts (GitHub Actions) zonder repo/branch-conditie, of Entra B2B/cross-tenant-toegang zonder beperking.</t>
  </si>
  <si>
    <t xml:space="preserve">Een externe partij of iedereen met een GitHub-repo kan rollen in de productieomgeving aannemen.</t>
  </si>
  <si>
    <t xml:space="preserve">Analyseer trust policies, OIDC-subject-condities en cross-tenant-access-instellingen op te ruime principals en ontbrekende condities.</t>
  </si>
  <si>
    <t xml:space="preserve">Specifieke principals en condities (ExternalId, sub-claims op repo:branch), least-privilege rollen, periodieke review van trusts.</t>
  </si>
  <si>
    <t xml:space="preserve">Alarmeer op AssumeRole/token-uitgifte vanaf onbekende accounts/subjects.</t>
  </si>
  <si>
    <t xml:space="preserve">T1078.004, T1550.001</t>
  </si>
  <si>
    <t xml:space="preserve">CWE-284, CWE-863</t>
  </si>
  <si>
    <t xml:space="preserve">Cloud - AWS Pentest</t>
  </si>
  <si>
    <t xml:space="preserve">AV-CLD-06, AV-CLD-14</t>
  </si>
  <si>
    <t xml:space="preserve">https://docs.aws.amazon.com/IAM/latest/UserGuide/confused-deputy.html</t>
  </si>
  <si>
    <t xml:space="preserve">AV-CLD-17</t>
  </si>
  <si>
    <t xml:space="preserve">Overly permissive security groups / public management ports</t>
  </si>
  <si>
    <t xml:space="preserve">Security groups/NSG's staan 0.0.0.0/0 toe op SSH/RDP/databases/Kubernetes-API, publieke IP's op interne workloads, of ontbrekende NACL's en private endpoints.</t>
  </si>
  <si>
    <t xml:space="preserve">Brute force en exploitatie van workloads direct vanaf internet; laterale beweging binnen de VPC/VNet.</t>
  </si>
  <si>
    <t xml:space="preserve">Inventariseer regels met 0.0.0.0/0 of ::/0 op gevoelige poorten en koppel aan publieke IP's; verifieer met een externe scan.</t>
  </si>
  <si>
    <t xml:space="preserve">Default-deny inbound, bastion/SSM/Bastion Host, private endpoints, IaC-policies (OPA/Checkov) die publieke regels blokkeren.</t>
  </si>
  <si>
    <t xml:space="preserve">CSPM-alerts op publieke regels; flow logs op inkomend verkeer vanaf internet naar beheerpoorten.</t>
  </si>
  <si>
    <t xml:space="preserve">T1133, T1190</t>
  </si>
  <si>
    <t xml:space="preserve">AV-EXT-02, AV-NET-15</t>
  </si>
  <si>
    <t xml:space="preserve">CIS AWS/Azure/GCP Foundations Benchmark</t>
  </si>
  <si>
    <t xml:space="preserve">https://www.cisecurity.org/benchmark/amazon_web_services</t>
  </si>
  <si>
    <t xml:space="preserve">AV-CLD-18</t>
  </si>
  <si>
    <t xml:space="preserve">M365 oversharing (anyone links, Teams/SharePoint, Copilot data exposure)</t>
  </si>
  <si>
    <t xml:space="preserve">SharePoint/OneDrive staan 'Anyone'-links toe, sites zijn standaard leesbaar voor Everyone except external users, Teams/gasten hebben te ruime toegang, en Copilot/Search maakt alles wat technisch leesbaar is direct vindbaar.</t>
  </si>
  <si>
    <t xml:space="preserve">Datalek van gevoelige documenten (HR, finance, credentials in bestanden) naar alle medewerkers, gasten of internet.</t>
  </si>
  <si>
    <t xml:space="preserve">Inventariseer sharing-instellingen, Anyone-links, sites met brede permissies en doorzoek (als gewone gebruiker) naar gevoelige bestanden; beoordeel labels/DLP.</t>
  </si>
  <si>
    <t xml:space="preserve">Anyone-links uit of met vervaldatum, sharing-governance per site, sensitivity labels en DLP, Restricted SharePoint Search/oversharing-reviews voor Copilot-uitrol, gast-lifecycle.</t>
  </si>
  <si>
    <t xml:space="preserve">Alarmeer op massale downloads en op aanmaak van Anyone-links; periodieke access reviews.</t>
  </si>
  <si>
    <t xml:space="preserve">T1213.002, T1530</t>
  </si>
  <si>
    <t xml:space="preserve">CWE-732, CWE-200</t>
  </si>
  <si>
    <t xml:space="preserve">AV-CLD-03, AV-NET-13, AV-AI-02</t>
  </si>
  <si>
    <t xml:space="preserve">https://learn.microsoft.com/en-us/sharepoint/deploy-file-collaboration</t>
  </si>
  <si>
    <t xml:space="preserve">Software supply chain compromise (malicious packages, dependency confusion)</t>
  </si>
  <si>
    <t xml:space="preserve">Interne package-namen zijn vanaf publieke registries te claimen (dependency confusion), builds gebruiken onvastgepinde of typosquatted packages, en gecompromitteerde maintainer-accounts publiceren malware (bv. npm-wormen zoals Shai-Hulud, gekaapte GitHub Actions).</t>
  </si>
  <si>
    <t xml:space="preserve">Code-uitvoering op build-servers en werkplekken van ontwikkelaars, diefstal van cloud-/repo-tokens, verspreiding naar afnemers.</t>
  </si>
  <si>
    <t xml:space="preserve">Controleer registry-configuratie (scoped registries), lockfiles en pinning, SBOM en SCA-uitkomsten; test (met toestemming) of een interne packagenaam publiek claimbaar is.</t>
  </si>
  <si>
    <t xml:space="preserve">Private registry met scope-afdwinging en proxy-allowlist, lockfiles en integriteitshashes, SBOM, SCA met malware-detectie, minimale rechten van publish-tokens, 2FA op maintainer-accounts.</t>
  </si>
  <si>
    <t xml:space="preserve">Alarmeer op nieuwe/onverwachte packages en netwerkverbindingen vanaf build-agents.</t>
  </si>
  <si>
    <t xml:space="preserve">CWE-829, CWE-506</t>
  </si>
  <si>
    <t xml:space="preserve">Dependency Confusion</t>
  </si>
  <si>
    <t xml:space="preserve">AV-WEB-23, AV-WEB-51, AV-CLD-14, CVE-2026-45321</t>
  </si>
  <si>
    <t xml:space="preserve">SLSA; NIST SSDF</t>
  </si>
  <si>
    <t xml:space="preserve">https://slsa.dev/</t>
  </si>
  <si>
    <t xml:space="preserve">AV-MOB-01</t>
  </si>
  <si>
    <t xml:space="preserve">Mobile</t>
  </si>
  <si>
    <t xml:space="preserve">Insecure data storage</t>
  </si>
  <si>
    <t xml:space="preserve">Storage</t>
  </si>
  <si>
    <t xml:space="preserve">Gevoelige data onversleuteld of onveilig lokaal opgeslagen.</t>
  </si>
  <si>
    <t xml:space="preserve">Datalek bij toegang tot het apparaat.</t>
  </si>
  <si>
    <t xml:space="preserve">Beoordeel opslaglocaties en versleuteling (MASTG-aanpak).</t>
  </si>
  <si>
    <t xml:space="preserve">Gebruik veilige keystores; minimaliseer lokale opslag.</t>
  </si>
  <si>
    <t xml:space="preserve">Niet client-side detecteerbaar; audit tijdens review.</t>
  </si>
  <si>
    <t xml:space="preserve">CWE-312</t>
  </si>
  <si>
    <t xml:space="preserve">AV-MOB-10, AV-MOB-11</t>
  </si>
  <si>
    <t xml:space="preserve">OWASP Mobile Top 10 2024: M9; MASVS-STORAGE-1/2</t>
  </si>
  <si>
    <t xml:space="preserve">AV-MOB-02</t>
  </si>
  <si>
    <t xml:space="preserve">Insecure communication / no pinning</t>
  </si>
  <si>
    <t xml:space="preserve">Network</t>
  </si>
  <si>
    <t xml:space="preserve">Zwakke TLS-configuratie of ontbrekende certificate pinning.</t>
  </si>
  <si>
    <t xml:space="preserve">Onderschepping of manipulatie van verkeer.</t>
  </si>
  <si>
    <t xml:space="preserve">Beoordeel TLS-config en pinning (MASTG-aanpak).</t>
  </si>
  <si>
    <t xml:space="preserve">Moderne TLS; certificate/public-key pinning.</t>
  </si>
  <si>
    <t xml:space="preserve">Server-side TLS-monitoring.</t>
  </si>
  <si>
    <t xml:space="preserve">AV-WEB-20, AV-MOB-11</t>
  </si>
  <si>
    <t xml:space="preserve">OWASP Mobile Top 10 2024: M5; MASVS-NETWORK-1/2</t>
  </si>
  <si>
    <t xml:space="preserve">AV-MOB-03</t>
  </si>
  <si>
    <t xml:space="preserve">Insecure authentication/authorization</t>
  </si>
  <si>
    <t xml:space="preserve">Auth</t>
  </si>
  <si>
    <t xml:space="preserve">Client-side vertrouwde auth of zwakke sessie-/tokenafhandeling.</t>
  </si>
  <si>
    <t xml:space="preserve">Beoordeel of auth server-side wordt afgedwongen (MASTG-aanpak).</t>
  </si>
  <si>
    <t xml:space="preserve">Server-side autorisatie; veilige tokens; MFA.</t>
  </si>
  <si>
    <t xml:space="preserve">Server-side auth-anomaliedetectie.</t>
  </si>
  <si>
    <t xml:space="preserve">AV-WEB-12, AV-WEB-46</t>
  </si>
  <si>
    <t xml:space="preserve">OWASP Mobile Top 10 2024: M3; MASVS-AUTH-1/2/3</t>
  </si>
  <si>
    <t xml:space="preserve">AV-MOB-04</t>
  </si>
  <si>
    <t xml:space="preserve">Weak cryptography</t>
  </si>
  <si>
    <t xml:space="preserve">Verouderde algoritmes of onveilig sleutelbeheer in de app.</t>
  </si>
  <si>
    <t xml:space="preserve">Ontsleuteling of vervalsing van gevoelige data.</t>
  </si>
  <si>
    <t xml:space="preserve">Beoordeel algoritmekeuze en key-handling (MASTG-aanpak).</t>
  </si>
  <si>
    <t xml:space="preserve">Sterke, moderne algoritmes; platform-keystores.</t>
  </si>
  <si>
    <t xml:space="preserve">Audit tijdens code-/binaire review.</t>
  </si>
  <si>
    <t xml:space="preserve">V11</t>
  </si>
  <si>
    <t xml:space="preserve">OWASP Mobile Top 10 2024: M10; MASVS-CRYPTO-1/2</t>
  </si>
  <si>
    <t xml:space="preserve">AV-MOB-05</t>
  </si>
  <si>
    <t xml:space="preserve">Improper credential usage / hardcoded secrets</t>
  </si>
  <si>
    <t xml:space="preserve">Secrets</t>
  </si>
  <si>
    <t xml:space="preserve">Hardcoded API-keys of credentials in de app-binary.</t>
  </si>
  <si>
    <t xml:space="preserve">Extractie van secrets uit de gedistribueerde app.</t>
  </si>
  <si>
    <t xml:space="preserve">Analyseer de binary/resources op ingebedde secrets (MASTG-aanpak).</t>
  </si>
  <si>
    <t xml:space="preserve">Geen secrets in de client; server-side brokering.</t>
  </si>
  <si>
    <t xml:space="preserve">Monitor misbruik van uitgelekte keys.</t>
  </si>
  <si>
    <t xml:space="preserve">AV-CLD-02, AV-API-12</t>
  </si>
  <si>
    <t xml:space="preserve">OWASP Mobile Top 10 2024: M1; MASVS-STORAGE-1, MASVS-CODE</t>
  </si>
  <si>
    <t xml:space="preserve">AV-MOB-06</t>
  </si>
  <si>
    <t xml:space="preserve">Insufficient binary protection</t>
  </si>
  <si>
    <t xml:space="preserve">Resilience</t>
  </si>
  <si>
    <t xml:space="preserve">Ontbrekende obfuscatie/anti-tampering vergemakkelijkt reverse engineering.</t>
  </si>
  <si>
    <t xml:space="preserve">Analyse en manipulatie van app-logica.</t>
  </si>
  <si>
    <t xml:space="preserve">Beoordeel anti-tampering en root/jailbreak-detectie (MASTG-aanpak).</t>
  </si>
  <si>
    <t xml:space="preserve">Obfuscatie, integriteitschecks, root/jailbreak-detectie.</t>
  </si>
  <si>
    <t xml:space="preserve">Server-side integriteits-/attestation-checks.</t>
  </si>
  <si>
    <t xml:space="preserve">CWE-656</t>
  </si>
  <si>
    <t xml:space="preserve">OWASP Mobile Top 10 2024: M7; MASVS-RESILIENCE-1/2/3/4</t>
  </si>
  <si>
    <t xml:space="preserve">AV-MOB-07</t>
  </si>
  <si>
    <t xml:space="preserve">Platform interaction / IPC misuse</t>
  </si>
  <si>
    <t xml:space="preserve">Platform</t>
  </si>
  <si>
    <t xml:space="preserve">Onveilig geexporteerde componenten, deep links of IPC.</t>
  </si>
  <si>
    <t xml:space="preserve">Ongeautoriseerde acties via app-componenten.</t>
  </si>
  <si>
    <t xml:space="preserve">Beoordeel geexporteerde componenten en deep-link-afhandeling (MASTG-aanpak).</t>
  </si>
  <si>
    <t xml:space="preserve">Minimaliseer export; valideer IPC-invoer.</t>
  </si>
  <si>
    <t xml:space="preserve">Audit tijdens platform-review.</t>
  </si>
  <si>
    <t xml:space="preserve">CWE-926</t>
  </si>
  <si>
    <t xml:space="preserve">AV-MOB-09, AV-MOB-11</t>
  </si>
  <si>
    <t xml:space="preserve">OWASP Mobile Top 10 2024: M8/M4; MASVS-PLATFORM-1/2/3</t>
  </si>
  <si>
    <t xml:space="preserve">AV-MOB-08</t>
  </si>
  <si>
    <t xml:space="preserve">Inadequate supply chain security (third-party SDKs, build pipeline)</t>
  </si>
  <si>
    <t xml:space="preserve">De app bevat verouderde of onbetrouwbare third-party SDK's (analytics, ads, crash reporting) met bekende kwetsbaarheden of overmatige dataverzameling; signing keys of de build pipeline zijn onvoldoende beschermd.</t>
  </si>
  <si>
    <t xml:space="preserve">Datalek of code-uitvoering via een SDK; gemanipuleerde app-builds met geldige handtekening.</t>
  </si>
  <si>
    <t xml:space="preserve">Inventariseer SDK's en versies uit de binary (SCA), beoordeel permissies en netwerkbestemmingen van SDK's en de bescherming van signing keys (MASTG-aanpak).</t>
  </si>
  <si>
    <t xml:space="preserve">SBOM en SCA voor mobile, minimale SDK-set, Play App Signing/HSM voor keys, reproducible builds.</t>
  </si>
  <si>
    <t xml:space="preserve">Monitor netwerkbestemmingen van de app op onbekende SDK-endpoints.</t>
  </si>
  <si>
    <t xml:space="preserve">T1195.002</t>
  </si>
  <si>
    <t xml:space="preserve">CWE-1104, CWE-829</t>
  </si>
  <si>
    <t xml:space="preserve">OWASP Mobile Top 10 2024: M2; MASVS-CODE-3</t>
  </si>
  <si>
    <t xml:space="preserve">https://owasp.org/www-project-mobile-top-10/2023-risks/m2-inadequate-supply-chain-security.html</t>
  </si>
  <si>
    <t xml:space="preserve">AV-MOB-09</t>
  </si>
  <si>
    <t xml:space="preserve">Insufficient input/output validation (WebView JS bridges, intent injection, local SQLi)</t>
  </si>
  <si>
    <t xml:space="preserve">WebViews met JavaScript-bridges en file-access, onvoldoende gevalideerde deep links/intents, en lokale SQLite-queries met string-concatenatie laten injectie en ongeautoriseerde acties toe.</t>
  </si>
  <si>
    <t xml:space="preserve">Diefstal van lokale data en tokens, uitvoering van acties namens de gebruiker, lokale code-/query-injectie.</t>
  </si>
  <si>
    <t xml:space="preserve">Review WebView-instellingen (JavaScriptEnabled, addJavascriptInterface, allowFileAccess), intent-filters/deep-link-parameters en lokale queries; fuzz via adb/Frida (MASTG-aanpak).</t>
  </si>
  <si>
    <t xml:space="preserve">Minimaliseer WebView-rechten en bridges, valideer alle intent-/deep-link-invoer, parameterized local queries, App Links/Universal Links met verificatie.</t>
  </si>
  <si>
    <t xml:space="preserve">T1660</t>
  </si>
  <si>
    <t xml:space="preserve">CWE-20, CWE-749, CWE-89</t>
  </si>
  <si>
    <t xml:space="preserve">OWASP Mobile Top 10 2024: M4; MASVS-CODE-4, MASVS-PLATFORM-2</t>
  </si>
  <si>
    <t xml:space="preserve">https://mas.owasp.org/MASTG/</t>
  </si>
  <si>
    <t xml:space="preserve">AV-MOB-10</t>
  </si>
  <si>
    <t xml:space="preserve">Inadequate privacy controls (PII in logs, analytics, clipboard, screenshots)</t>
  </si>
  <si>
    <t xml:space="preserve">De app logt persoonsgegevens of tokens naar systeemlogs, stuurt PII naar analytics-partijen, laat gevoelige schermen toe in snapshots/screenshots, of vraagt meer permissies/data dan nodig.</t>
  </si>
  <si>
    <t xml:space="preserve">Privacyschending en datalek richting derden; compliance-risico (AVG).</t>
  </si>
  <si>
    <t xml:space="preserve">Monitor logcat/Console en netwerkverkeer op PII, controleer screenshot-/snapshot-bescherming, clipboard-gebruik en permissies (MASTG-aanpak).</t>
  </si>
  <si>
    <t xml:space="preserve">Dataminimalisatie, geen PII in logs, anonimisering richting analytics, FLAG_SECURE/snapshot-blur, permissies just-in-time.</t>
  </si>
  <si>
    <t xml:space="preserve">Niet detecteerbaar in productie; audit tijdens review.</t>
  </si>
  <si>
    <t xml:space="preserve">CWE-359, CWE-532</t>
  </si>
  <si>
    <t xml:space="preserve">OWASP Mobile Top 10 2024: M6; MASVS-PRIVACY</t>
  </si>
  <si>
    <t xml:space="preserve">https://mas.owasp.org/MASVS/controls/MASVS-PRIVACY-1/</t>
  </si>
  <si>
    <t xml:space="preserve">AV-MOB-11</t>
  </si>
  <si>
    <t xml:space="preserve">Security misconfiguration (debuggable, allowBackup, cleartext traffic, exported components)</t>
  </si>
  <si>
    <t xml:space="preserve">Productie-builds zijn debuggable, staan backups van app-data toe, laten cleartext HTTP toe (usesCleartextTraffic/NSAllowsArbitraryLoads), exporteren componenten zonder permissie of bevatten testcode/endpoints.</t>
  </si>
  <si>
    <t xml:space="preserve">Uitlezen van app-data via backup/debugger, onderschepping van verkeer, misbruik van componenten door andere apps.</t>
  </si>
  <si>
    <t xml:space="preserve">Analyseer manifest/Info.plist en build-flags, test backup-extractie en debugger-attach op een testdevice (MASTG-aanpak).</t>
  </si>
  <si>
    <t xml:space="preserve">Release-builds met debuggable=false, allowBackup=false of exclusies, cleartext uit, componenten alleen exporteren met permissies, verwijder testcode.</t>
  </si>
  <si>
    <t xml:space="preserve">Niet server-side detecteerbaar; controle in CI op manifest-instellingen.</t>
  </si>
  <si>
    <t xml:space="preserve">CWE-489, CWE-319, CWE-926</t>
  </si>
  <si>
    <t xml:space="preserve">AV-MOB-02, AV-MOB-07</t>
  </si>
  <si>
    <t xml:space="preserve">OWASP Mobile Top 10 2024: M8; MASVS-PLATFORM, MASVS-NETWORK-1</t>
  </si>
  <si>
    <t xml:space="preserve">AV-WIFI-01</t>
  </si>
  <si>
    <t xml:space="preserve">Wireless</t>
  </si>
  <si>
    <t xml:space="preserve">Rogue AP / evil twin</t>
  </si>
  <si>
    <t xml:space="preserve">Nagemaakt access point vangt verbindingen en credentials.</t>
  </si>
  <si>
    <t xml:space="preserve">Onderschepping van verkeer en credentials.</t>
  </si>
  <si>
    <t xml:space="preserve">Beoordeel client-configuratie en verificatie van netwerken (binnen scope).</t>
  </si>
  <si>
    <t xml:space="preserve">802.1X met servervalidatie; client-hardening.</t>
  </si>
  <si>
    <t xml:space="preserve">Rogue-AP-detectie via WIPS.</t>
  </si>
  <si>
    <t xml:space="preserve">AV-WIFI-05, AV-WIFI-08</t>
  </si>
  <si>
    <t xml:space="preserve">AV-WIFI-02</t>
  </si>
  <si>
    <t xml:space="preserve">WPA2 handshake capture &amp; offline crack</t>
  </si>
  <si>
    <t xml:space="preserve">Opvangen van de handshake om de PSK offline te kraken.</t>
  </si>
  <si>
    <t xml:space="preserve">Verkrijgen van de netwerk-PSK.</t>
  </si>
  <si>
    <t xml:space="preserve">Beoordeel PSK-sterkte en beleid (binnen scope/RoE).</t>
  </si>
  <si>
    <t xml:space="preserve">Sterke PSK of 802.1X; WPA3 waar mogelijk.</t>
  </si>
  <si>
    <t xml:space="preserve">Beperkt detecteerbaar; monitor deauth-activiteit.</t>
  </si>
  <si>
    <t xml:space="preserve">AV-WIFI-04, AV-WIFI-06, AV-WIFI-09</t>
  </si>
  <si>
    <t xml:space="preserve">AV-WIFI-03</t>
  </si>
  <si>
    <t xml:space="preserve">WEP/WPA weak encryption</t>
  </si>
  <si>
    <t xml:space="preserve">Verouderde encryptie is efficient te breken.</t>
  </si>
  <si>
    <t xml:space="preserve">Toegang tot het draadloze netwerk.</t>
  </si>
  <si>
    <t xml:space="preserve">Inventariseer gebruikte encryptiestandaarden binnen scope.</t>
  </si>
  <si>
    <t xml:space="preserve">Migreer naar WPA2-Enterprise/WPA3.</t>
  </si>
  <si>
    <t xml:space="preserve">Inventariseer legacy-encryptie via WIPS.</t>
  </si>
  <si>
    <t xml:space="preserve">AV-WIFI-09</t>
  </si>
  <si>
    <t xml:space="preserve">AV-WIFI-04</t>
  </si>
  <si>
    <t xml:space="preserve">PMKID attack</t>
  </si>
  <si>
    <t xml:space="preserve">Clientless verkrijgen van krakbaar materiaal van de AP.</t>
  </si>
  <si>
    <t xml:space="preserve">Offline kraken van de PSK zonder client.</t>
  </si>
  <si>
    <t xml:space="preserve">Beoordeel PSK-sterkte en AP-configuratie binnen scope.</t>
  </si>
  <si>
    <t xml:space="preserve">Sterke PSK; 802.1X; WPA3.</t>
  </si>
  <si>
    <t xml:space="preserve">Monitor ongebruikelijke associatiepogingen.</t>
  </si>
  <si>
    <t xml:space="preserve">AV-WIFI-05</t>
  </si>
  <si>
    <t xml:space="preserve">Enterprise (802.1X/EAP) attacks</t>
  </si>
  <si>
    <t xml:space="preserve">Misbruik van zwakke EAP-configuratie of ontbrekende servervalidatie.</t>
  </si>
  <si>
    <t xml:space="preserve">Onderschepping van enterprise-credentials.</t>
  </si>
  <si>
    <t xml:space="preserve">Beoordeel EAP-methode en client-servervalidatie binnen scope.</t>
  </si>
  <si>
    <t xml:space="preserve">Valideer servercertificaten; sterke EAP-methodes.</t>
  </si>
  <si>
    <t xml:space="preserve">Monitor afwijkende RADIUS-authenticaties.</t>
  </si>
  <si>
    <t xml:space="preserve">CWE-295</t>
  </si>
  <si>
    <t xml:space="preserve">AV-WIFI-01, AV-NET-20</t>
  </si>
  <si>
    <t xml:space="preserve">AV-WIFI-06</t>
  </si>
  <si>
    <t xml:space="preserve">WPS enabled / PIN brute force</t>
  </si>
  <si>
    <t xml:space="preserve">Wi-Fi Protected Setup is actief op access points; de 8-cijferige PIN is online (of offline via Pixie Dust) te kraken en levert de WPA-PSK op.</t>
  </si>
  <si>
    <t xml:space="preserve">Toegang tot het draadloze netwerk zonder kennis van de PSK.</t>
  </si>
  <si>
    <t xml:space="preserve">Inventariseer AP's met WPS actief (beacon/probe) en beoordeel of PIN-aanvallen mogelijk zijn (alleen PoC binnen RoE).</t>
  </si>
  <si>
    <t xml:space="preserve">WPS uitschakelen; 802.1X/WPA3 voor bedrijfsnetwerken.</t>
  </si>
  <si>
    <t xml:space="preserve">WIPS-monitoring op WPS-registratiepogingen.</t>
  </si>
  <si>
    <t xml:space="preserve">CWE-1391, CWE-287</t>
  </si>
  <si>
    <t xml:space="preserve">https://www.kb.cert.org/vuls/id/723755</t>
  </si>
  <si>
    <t xml:space="preserve">AV-WIFI-07</t>
  </si>
  <si>
    <t xml:space="preserve">Guest network segregation failure / missing client isolation</t>
  </si>
  <si>
    <t xml:space="preserve">Het gastennetwerk heeft routering naar interne segmenten (printers, beheer, AD), deelt het VLAN met bedrijfsapparaten, of client isolation ontbreekt zodat gasten elkaar en IoT-apparaten kunnen aanvallen.</t>
  </si>
  <si>
    <t xml:space="preserve">Een bezoeker of iemand op de parkeerplaats bereikt het interne netwerk; laterale beweging tussen draadloze clients.</t>
  </si>
  <si>
    <t xml:space="preserve">Verbind met het gastennetwerk en test bereikbaarheid van interne ranges, DNS/AD-services en andere clients.</t>
  </si>
  <si>
    <t xml:space="preserve">Gastennetwerk in eigen VLAN met internet-only ACL's, client isolation, bandbreedte- en tijdslimieten, captive portal met sponsoring.</t>
  </si>
  <si>
    <t xml:space="preserve">Alarmeer op verkeer van gast-VLAN naar interne ranges.</t>
  </si>
  <si>
    <t xml:space="preserve">T1021, T1557</t>
  </si>
  <si>
    <t xml:space="preserve">AV-NET-15, AV-NET-20</t>
  </si>
  <si>
    <t xml:space="preserve">https://attack.mitre.org/techniques/T1021/</t>
  </si>
  <si>
    <t xml:space="preserve">AV-WIFI-08</t>
  </si>
  <si>
    <t xml:space="preserve">Deauthentication / management frame attacks (no 802.11w)</t>
  </si>
  <si>
    <t xml:space="preserve">Protected Management Frames (802.11w) zijn niet verplicht, waardoor deauth-/disassociation-frames clients van het netwerk gooien (DoS) en handshakes of evil-twin-overgang forceren.</t>
  </si>
  <si>
    <t xml:space="preserve">Denial-of-service op Wi-Fi en facilitatie van handshake-capture en rogue-AP-aanvallen.</t>
  </si>
  <si>
    <t xml:space="preserve">Controleer in beacons of PMF (MFPC/MFPR) vereist is; voer deauth-tests alleen uit binnen een strikt RoE-venster.</t>
  </si>
  <si>
    <t xml:space="preserve">PMF verplicht (WPA3 of WPA2 met 802.11w required), WIPS.</t>
  </si>
  <si>
    <t xml:space="preserve">WIPS-alarmen op deauth-floods.</t>
  </si>
  <si>
    <t xml:space="preserve">T1498</t>
  </si>
  <si>
    <t xml:space="preserve">AV-WIFI-01, AV-WIFI-02</t>
  </si>
  <si>
    <t xml:space="preserve">https://www.wi-fi.org/discover-wi-fi/security</t>
  </si>
  <si>
    <t xml:space="preserve">WPA3 transition mode / downgrade weaknesses (Dragonblood)</t>
  </si>
  <si>
    <t xml:space="preserve">WPA3-SAE in transition mode met WPA2 op dezelfde SSID laat downgrade naar WPA2-handshake-capture toe; oudere SAE-implementaties zijn gevoelig voor side-channel/password-partitioning (Dragonblood) of ontbrekende H2E.</t>
  </si>
  <si>
    <t xml:space="preserve">Offline kraken van het wachtwoord ondanks WPA3-uitrol.</t>
  </si>
  <si>
    <t xml:space="preserve">Controleer AKM-suites per SSID (transition vs SAE-only), H2E-ondersteuning en firmwareversies van AP's.</t>
  </si>
  <si>
    <t xml:space="preserve">SAE-only SSID's met H2E, firmware-updates, sterke wachtwoorden of 802.1X.</t>
  </si>
  <si>
    <t xml:space="preserve">WIPS-monitoring op WPA2-associaties op WPA3-netwerken.</t>
  </si>
  <si>
    <t xml:space="preserve">T1557, T1110.002</t>
  </si>
  <si>
    <t xml:space="preserve">CWE-327, CWE-757</t>
  </si>
  <si>
    <t xml:space="preserve">AV-WIFI-02, AV-WIFI-03</t>
  </si>
  <si>
    <t xml:space="preserve">https://wpa3.mathyvanhoef.com/</t>
  </si>
  <si>
    <t xml:space="preserve">AV-SE-01</t>
  </si>
  <si>
    <t xml:space="preserve">Social engineering</t>
  </si>
  <si>
    <t xml:space="preserve">Spearphishing link</t>
  </si>
  <si>
    <t xml:space="preserve">Gerichte e-mail met kwaadaardige link naar een gecontroleerd doel.</t>
  </si>
  <si>
    <t xml:space="preserve">Credential-diefstal of payload-levering.</t>
  </si>
  <si>
    <t xml:space="preserve">Voer geautoriseerde phishing-simulatie uit conform RoE.</t>
  </si>
  <si>
    <t xml:space="preserve">Awareness-training, mailfiltering, MFA, URL-rewriting.</t>
  </si>
  <si>
    <t xml:space="preserve">Mail-gateway-detectie en klikrapportage.</t>
  </si>
  <si>
    <t xml:space="preserve">AV-SE-07, AV-SE-08, AV-EXT-03</t>
  </si>
  <si>
    <t xml:space="preserve">AV-SE-02</t>
  </si>
  <si>
    <t xml:space="preserve">Spearphishing attachment</t>
  </si>
  <si>
    <t xml:space="preserve">Gerichte e-mail met kwaadaardige bijlage.</t>
  </si>
  <si>
    <t xml:space="preserve">Uitvoering van payload bij openen.</t>
  </si>
  <si>
    <t xml:space="preserve">Voer geautoriseerde attachment-simulatie uit conform RoE.</t>
  </si>
  <si>
    <t xml:space="preserve">Attachment-sandboxing, macro-beperking, training.</t>
  </si>
  <si>
    <t xml:space="preserve">Sandbox-detonatie en EDR op openen.</t>
  </si>
  <si>
    <t xml:space="preserve">T1566.001</t>
  </si>
  <si>
    <t xml:space="preserve">AV-SE-11, CVE-2022-30190, CVE-2025-8088</t>
  </si>
  <si>
    <t xml:space="preserve">AV-SE-03</t>
  </si>
  <si>
    <t xml:space="preserve">Credential harvesting portal</t>
  </si>
  <si>
    <t xml:space="preserve">Nagemaakte inlogpagina vangt credentials.</t>
  </si>
  <si>
    <t xml:space="preserve">Accountovername.</t>
  </si>
  <si>
    <t xml:space="preserve">Meet credential-invoer in geautoriseerde simulatie (RoE).</t>
  </si>
  <si>
    <t xml:space="preserve">MFA, phishing-resistente auth (FIDO2), training.</t>
  </si>
  <si>
    <t xml:space="preserve">Detecteer logins vanaf ongebruikelijke context na campagne.</t>
  </si>
  <si>
    <t xml:space="preserve">T1598</t>
  </si>
  <si>
    <t xml:space="preserve">AV-SE-07, AV-CLD-09</t>
  </si>
  <si>
    <t xml:space="preserve">AV-SE-04</t>
  </si>
  <si>
    <t xml:space="preserve">Vishing / pretexting</t>
  </si>
  <si>
    <t xml:space="preserve">Telefonische of persoonlijke misleiding via een geloofwaardig voorwendsel.</t>
  </si>
  <si>
    <t xml:space="preserve">Verkrijgen van informatie of toegang.</t>
  </si>
  <si>
    <t xml:space="preserve">Voer geautoriseerde pretext-scenario's uit conform RoE.</t>
  </si>
  <si>
    <t xml:space="preserve">Verificatieprocedures, training, meldcultuur.</t>
  </si>
  <si>
    <t xml:space="preserve">Rapportage van verdachte contacten.</t>
  </si>
  <si>
    <t xml:space="preserve">T1598, T1566.004</t>
  </si>
  <si>
    <t xml:space="preserve">D1</t>
  </si>
  <si>
    <t xml:space="preserve">AV-SE-10, AV-SE-08, AV-PHY-09</t>
  </si>
  <si>
    <t xml:space="preserve">AV-SE-05</t>
  </si>
  <si>
    <t xml:space="preserve">User execution</t>
  </si>
  <si>
    <t xml:space="preserve">Het slachtoffer voert de geleverde actie/payload uit.</t>
  </si>
  <si>
    <t xml:space="preserve">Voet aan de grond op het endpoint.</t>
  </si>
  <si>
    <t xml:space="preserve">Meet uitvoeringsgraad in geautoriseerde campagne (RoE).</t>
  </si>
  <si>
    <t xml:space="preserve">Application control, macro-beleid, EDR, training.</t>
  </si>
  <si>
    <t xml:space="preserve">EDR-detectie op uitvoering na levering.</t>
  </si>
  <si>
    <t xml:space="preserve">T1204</t>
  </si>
  <si>
    <t xml:space="preserve">AV-SE-11, AV-HOST-06</t>
  </si>
  <si>
    <t xml:space="preserve">AV-SE-06</t>
  </si>
  <si>
    <t xml:space="preserve">MFA fatigue / prompt bombing</t>
  </si>
  <si>
    <t xml:space="preserve">Herhaalde MFA-prompts totdat het slachtoffer goedkeurt.</t>
  </si>
  <si>
    <t xml:space="preserve">Omzeiling van MFA en accountovername.</t>
  </si>
  <si>
    <t xml:space="preserve">Beoordeel MFA-type en anti-fatigue-maatregelen (RoE).</t>
  </si>
  <si>
    <t xml:space="preserve">Number-matching, phishing-resistente MFA, limieten.</t>
  </si>
  <si>
    <t xml:space="preserve">Alarmeer op herhaalde MFA-verzoeken.</t>
  </si>
  <si>
    <t xml:space="preserve">T1621</t>
  </si>
  <si>
    <t xml:space="preserve">AV-SE-07, AV-WEB-46, AV-CLD-09</t>
  </si>
  <si>
    <t xml:space="preserve">AV-SE-07</t>
  </si>
  <si>
    <t xml:space="preserve">Adversary-in-the-middle phishing (reverse-proxy, session token theft)</t>
  </si>
  <si>
    <t xml:space="preserve">Een reverse-proxy phishing-kit (Evilginx-achtig) staat tussen slachtoffer en de echte IdP en vangt credentials, MFA-codes en vooral de sessiecookie/tokens op, waarmee MFA wordt omzeild.</t>
  </si>
  <si>
    <t xml:space="preserve">Volledige accountovername ondanks MFA (TOTP/push/SMS); toegang tot M365/SSO-applicaties.</t>
  </si>
  <si>
    <t xml:space="preserve">Beoordeel het MFA-type en Conditional Access (device compliance, token protection); simuleer alleen met toestemming en zonder echte credentialopslag.</t>
  </si>
  <si>
    <t xml:space="preserve">Phishing-resistente MFA (FIDO2/passkeys/WHfB), Conditional Access op compliant devices, token binding/Token Protection, korte sessielevensduur, URL-filtering.</t>
  </si>
  <si>
    <t xml:space="preserve">Alarmeer op sessies waarvan IP/apparaat wijzigt na authenticatie en op logins vanaf hosting-ASN's.</t>
  </si>
  <si>
    <t xml:space="preserve">T1557, T1566.002, T1539, T1111</t>
  </si>
  <si>
    <t xml:space="preserve">CWE-287, CWE-308</t>
  </si>
  <si>
    <t xml:space="preserve">Client-side attacks</t>
  </si>
  <si>
    <t xml:space="preserve">AV-SE-03, AV-SE-06, AV-CLD-09, AV-WEB-46</t>
  </si>
  <si>
    <t xml:space="preserve">https://learn.microsoft.com/en-us/entra/identity/conditional-access/concept-token-protection</t>
  </si>
  <si>
    <t xml:space="preserve">AV-SE-08</t>
  </si>
  <si>
    <t xml:space="preserve">QR-code phishing (quishing) &amp; callback phishing (TOAD)</t>
  </si>
  <si>
    <t xml:space="preserve">Phishing via QR-codes in e-mail/PDF/posters (omzeilt URL-filtering, verplaatst naar mobiel zonder EDR) of via e-mails met een telefoonnummer waarna de aanvaller het slachtoffer telefonisch naar remote-access-software of een betaling leidt.</t>
  </si>
  <si>
    <t xml:space="preserve">Credentialdiefstal op mobiele apparaten, installatie van remote-access-tools, financiele fraude.</t>
  </si>
  <si>
    <t xml:space="preserve">Voer geautoriseerde simulaties uit met QR-codes en callback-scenario's conform RoE; meet scan-/belgedrag.</t>
  </si>
  <si>
    <t xml:space="preserve">Awareness, QR-code-scanning in mail-security, MDM met URL-filtering op mobiel, verificatieprocedures voor telefonische verzoeken, blokkeren van ongeautoriseerde remote-access-software.</t>
  </si>
  <si>
    <t xml:space="preserve">Mail-gateway-detectie van QR-codes; alarmeer op installatie van remote-access-tools.</t>
  </si>
  <si>
    <t xml:space="preserve">T1566.002, T1566.004, T1219</t>
  </si>
  <si>
    <t xml:space="preserve">AV-SE-01, AV-SE-04</t>
  </si>
  <si>
    <t xml:space="preserve">https://attack.mitre.org/techniques/T1566/004/</t>
  </si>
  <si>
    <t xml:space="preserve">AV-SE-09</t>
  </si>
  <si>
    <t xml:space="preserve">Smishing &amp; messaging-platform phishing (Teams, WhatsApp, LinkedIn)</t>
  </si>
  <si>
    <t xml:space="preserve">Phishing via SMS, WhatsApp, LinkedIn of externe Teams-tenants (external access) met links of bestanden; omzeilt e-mailbeveiliging en wordt minder gewantrouwd.</t>
  </si>
  <si>
    <t xml:space="preserve">Credentialdiefstal en malware-levering buiten de gecontroleerde mailketen.</t>
  </si>
  <si>
    <t xml:space="preserve">Beoordeel Teams external access/federatie-instellingen en MDM-beleid; simuleer alleen binnen RoE en met goedkeuring van HR/juridisch.</t>
  </si>
  <si>
    <t xml:space="preserve">Beperk Teams-federatie tot allowlist, awareness voor niet-e-mailkanalen, MDM met link-filtering, meldproces.</t>
  </si>
  <si>
    <t xml:space="preserve">Alarmeer op berichten/bestanden van externe tenants en op meldingen van medewerkers.</t>
  </si>
  <si>
    <t xml:space="preserve">T1566.003, T1660</t>
  </si>
  <si>
    <t xml:space="preserve">AV-SE-01, AV-CLD-18</t>
  </si>
  <si>
    <t xml:space="preserve">https://learn.microsoft.com/en-us/microsoftteams/trusted-organizations-external-meetings-chat</t>
  </si>
  <si>
    <t xml:space="preserve">AV-SE-10</t>
  </si>
  <si>
    <t xml:space="preserve">Help-desk social engineering (password / MFA reset)</t>
  </si>
  <si>
    <t xml:space="preserve">De aanvaller belt de servicedesk als medewerker (met OSINT-details) en laat een wachtwoord of MFA-methode resetten; verificatie is zwak (geboortedatum, personeelsnummer) of ontbreekt voor geprivilegieerde accounts.</t>
  </si>
  <si>
    <t xml:space="preserve">Accountovername inclusief MFA-registratie, vaak van beheerders (Scattered Spider-achtige aanvallen).</t>
  </si>
  <si>
    <t xml:space="preserve">Voer geautoriseerde pretext-calls uit conform RoE en beoordeel de identiteitsverificatieprocedure van de servicedesk.</t>
  </si>
  <si>
    <t xml:space="preserve">Sterke identiteitsverificatie (video/ID-check, callback naar geregistreerd nummer, manager-goedkeuring), geen reset van beheerdersaccounts via de servicedesk, Temporary Access Pass met korte geldigheid, logging.</t>
  </si>
  <si>
    <t xml:space="preserve">Alarmeer op MFA-methode-wijzigingen en wachtwoordresets kort voor geprivilegieerd gebruik.</t>
  </si>
  <si>
    <t xml:space="preserve">T1598, T1078, T1556.006</t>
  </si>
  <si>
    <t xml:space="preserve">CWE-287, CWE-640</t>
  </si>
  <si>
    <t xml:space="preserve">AV-SE-04, AV-WEB-45, AV-CLD-09</t>
  </si>
  <si>
    <t xml:space="preserve">https://www.cisa.gov/news-events/cybersecurity-advisories/aa23-320a</t>
  </si>
  <si>
    <t xml:space="preserve">AV-SE-11</t>
  </si>
  <si>
    <t xml:space="preserve">Malicious document / archive delivery (macro, LNK, ISO, HTML smuggling)</t>
  </si>
  <si>
    <t xml:space="preserve">Payloads worden geleverd via Office-macro's, LNK/HTA/JS in ISO/ZIP/RAR (Mark-of-the-Web-omzeiling), HTML smuggling of misbruik van archiver-/viewerkwetsbaarheden; afhankelijk van macro-beleid, MotW-handhaving en application control.</t>
  </si>
  <si>
    <t xml:space="preserve">Code-uitvoering op het endpoint en initial access (ransomware, infostealers).</t>
  </si>
  <si>
    <t xml:space="preserve">Beoordeel macro-beleid, MotW-handhaving, attachment-filtering en application control; test (in RoE) of representatieve, onschadelijke payloads de gebruiker bereiken en uitvoeren.</t>
  </si>
  <si>
    <t xml:space="preserve">Macro's uit internet blokkeren (standaard sinds 2022), ASR-regels, application control (WDAC/AppLocker), blokkeren van ISO/IMG/LNK-bijlagen, patchen van archivers (WinRAR/7-Zip), MotW-respecterende tooling.</t>
  </si>
  <si>
    <t xml:space="preserve">EDR-detectie op Office-childprocessen, LNK-uitvoering en scripts uit gebruikersmappen.</t>
  </si>
  <si>
    <t xml:space="preserve">T1566.001, T1204.002, T1553.005, T1027.006</t>
  </si>
  <si>
    <t xml:space="preserve">AV-SE-02, AV-SE-05, CVE-2022-30190, CVE-2025-8088, CVE-2025-0411, CVE-2026-21510</t>
  </si>
  <si>
    <t xml:space="preserve">https://learn.microsoft.com/en-us/defender-endpoint/attack-surface-reduction-rules-reference</t>
  </si>
  <si>
    <t xml:space="preserve">AV-PHY-01</t>
  </si>
  <si>
    <t xml:space="preserve">Physical</t>
  </si>
  <si>
    <t xml:space="preserve">Tailgating / facility access</t>
  </si>
  <si>
    <t xml:space="preserve">Physical access</t>
  </si>
  <si>
    <t xml:space="preserve">Meelopen door toegangspunten zonder eigen autorisatie.</t>
  </si>
  <si>
    <t xml:space="preserve">Fysieke toegang tot beveiligde zones.</t>
  </si>
  <si>
    <t xml:space="preserve">Voer geautoriseerde toegangstest uit conform RoE.</t>
  </si>
  <si>
    <t xml:space="preserve">Mantraps, badge-discipline, awareness.</t>
  </si>
  <si>
    <t xml:space="preserve">Bewaking en toegangslogs.</t>
  </si>
  <si>
    <t xml:space="preserve">AV-PHY-09, AV-PHY-06</t>
  </si>
  <si>
    <t xml:space="preserve">AV-PHY-02</t>
  </si>
  <si>
    <t xml:space="preserve">Badge cloning (RFID)</t>
  </si>
  <si>
    <t xml:space="preserve">Kopieren van toegangsbadges met zwakke technologie.</t>
  </si>
  <si>
    <t xml:space="preserve">Ongeautoriseerde fysieke toegang.</t>
  </si>
  <si>
    <t xml:space="preserve">Beoordeel badge-technologie en leesafstand binnen scope (RoE).</t>
  </si>
  <si>
    <t xml:space="preserve">Moderne, versleutelde badge-tech; multi-factor toegang.</t>
  </si>
  <si>
    <t xml:space="preserve">Anomaliedetectie in toegangslogs.</t>
  </si>
  <si>
    <t xml:space="preserve">AV-PHY-03</t>
  </si>
  <si>
    <t xml:space="preserve">Rogue device / hardware implant</t>
  </si>
  <si>
    <t xml:space="preserve">Plaatsing van een apparaat voor toegang of persistentie.</t>
  </si>
  <si>
    <t xml:space="preserve">Aanhoudende toegang tot het interne netwerk.</t>
  </si>
  <si>
    <t xml:space="preserve">Beoordeel port-security en fysieke controles binnen scope (RoE).</t>
  </si>
  <si>
    <t xml:space="preserve">Port-security/NAC, poortlockdown, inspecties.</t>
  </si>
  <si>
    <t xml:space="preserve">NAC-detectie op onbekende apparaten.</t>
  </si>
  <si>
    <t xml:space="preserve">T1200</t>
  </si>
  <si>
    <t xml:space="preserve">AV-NET-20, AV-PHY-08</t>
  </si>
  <si>
    <t xml:space="preserve">AV-PHY-04</t>
  </si>
  <si>
    <t xml:space="preserve">USB drop</t>
  </si>
  <si>
    <t xml:space="preserve">Achtergelaten media verleidt tot aansluiten.</t>
  </si>
  <si>
    <t xml:space="preserve">Payload-uitvoering bij aansluiten.</t>
  </si>
  <si>
    <t xml:space="preserve">Voer geautoriseerde media-drop uit conform RoE.</t>
  </si>
  <si>
    <t xml:space="preserve">USB-beleid/device-control, training.</t>
  </si>
  <si>
    <t xml:space="preserve">EDR-detectie op removable-media-uitvoering.</t>
  </si>
  <si>
    <t xml:space="preserve">T1091, T1200</t>
  </si>
  <si>
    <t xml:space="preserve">AV-SE-05, AV-HOST-06</t>
  </si>
  <si>
    <t xml:space="preserve">AV-PHY-05</t>
  </si>
  <si>
    <t xml:space="preserve">Lock / barrier bypass</t>
  </si>
  <si>
    <t xml:space="preserve">Omzeiling van mechanische of fysieke barrieres.</t>
  </si>
  <si>
    <t xml:space="preserve">Toegang tot afgeschermde ruimtes.</t>
  </si>
  <si>
    <t xml:space="preserve">Beoordeel fysieke barrieres binnen scope (RoE).</t>
  </si>
  <si>
    <t xml:space="preserve">Hoogwaardige sloten, defense-in-depth, monitoring.</t>
  </si>
  <si>
    <t xml:space="preserve">Alarm- en cameradekking.</t>
  </si>
  <si>
    <t xml:space="preserve">AV-PHY-06</t>
  </si>
  <si>
    <t xml:space="preserve">Unattended / unlocked workstations &amp; clean desk violations</t>
  </si>
  <si>
    <t xml:space="preserve">Werkplekken blijven ontgrendeld achter, wachtwoorden op notities, badges/tokens onbeheerd, gevoelige documenten op bureaus en printers.</t>
  </si>
  <si>
    <t xml:space="preserve">Directe toegang tot sessies en data door bezoekers of insiders; USB-gebaseerde aanvallen op ontgrendelde hosts.</t>
  </si>
  <si>
    <t xml:space="preserve">Voer een geautoriseerde ronde uit (clean desk walk-through) en registreer observaties zonder data te benaderen (RoE).</t>
  </si>
  <si>
    <t xml:space="preserve">Automatische schermvergrendeling (max. 5-10 min), awareness, clean-desk-beleid, badge-discipline, follow-me printing.</t>
  </si>
  <si>
    <t xml:space="preserve">Beveiligingsrondes en steekproeven.</t>
  </si>
  <si>
    <t xml:space="preserve">T1200, T1078</t>
  </si>
  <si>
    <t xml:space="preserve">AV-PHY-01, AV-HOST-06</t>
  </si>
  <si>
    <t xml:space="preserve">ISO 27001 A.7.7</t>
  </si>
  <si>
    <t xml:space="preserve">https://www.iso.org/standard/27001</t>
  </si>
  <si>
    <t xml:space="preserve">AV-PHY-07</t>
  </si>
  <si>
    <t xml:space="preserve">Dumpster diving / sensitive documents and media disposal</t>
  </si>
  <si>
    <t xml:space="preserve">Vertrouwelijke documenten, harde schijven, badges of apparatuur worden ongeshredderd/ongewist afgevoerd of liggen in open papierbakken en containers.</t>
  </si>
  <si>
    <t xml:space="preserve">Informatie voor pretexting, gelekte credentials en data op afgedankte media.</t>
  </si>
  <si>
    <t xml:space="preserve">Inspecteer (met toestemming) afvalstromen, papierbakken en afvoerprocedures voor media.</t>
  </si>
  <si>
    <t xml:space="preserve">Shredders/vergrendelde papierbakken, gecertificeerde datavernietiging, asset-afvoerproces.</t>
  </si>
  <si>
    <t xml:space="preserve">Audits op afvoerproces.</t>
  </si>
  <si>
    <t xml:space="preserve">T1589, T1592</t>
  </si>
  <si>
    <t xml:space="preserve">ISO 27001 A.7.10, A.7.14</t>
  </si>
  <si>
    <t xml:space="preserve">AV-PHY-08</t>
  </si>
  <si>
    <t xml:space="preserve">Accessible network ports &amp; devices in public areas</t>
  </si>
  <si>
    <t xml:space="preserve">Actieve netwerkpoorten in receptie/vergaderruimtes, VoIP-telefoons met doorlus-poort, printers en access points zijn fysiek toegankelijk en geven zonder NAC toegang tot productie-VLAN's.</t>
  </si>
  <si>
    <t xml:space="preserve">Plaatsing van drop boxes of directe toegang tot het interne netwerk vanuit publieke ruimtes.</t>
  </si>
  <si>
    <t xml:space="preserve">Inventariseer toegankelijke poorten/apparaten in publieke zones en test (RoE) welke toegang een aangesloten apparaat krijgt.</t>
  </si>
  <si>
    <t xml:space="preserve">Poorten in publieke zones uitschakelen of in gast-VLAN, 802.1X, fysieke beveiliging van patchkasten/AP's, VoIP-VLAN gescheiden.</t>
  </si>
  <si>
    <t xml:space="preserve">NAC/switch-alerts op link-up van ongebruikte poorten en nieuwe MAC-adressen.</t>
  </si>
  <si>
    <t xml:space="preserve">AV-NET-20, AV-PHY-03</t>
  </si>
  <si>
    <t xml:space="preserve">AV-PHY-09</t>
  </si>
  <si>
    <t xml:space="preserve">On-site impersonation (contractor, vendor, new employee pretext)</t>
  </si>
  <si>
    <t xml:space="preserve">De tester doet zich voor als monteur, schoonmaker, leverancier of nieuwe collega (met namaakbadge/kleding) en krijgt toegang of hulp van medewerkers zonder verificatie.</t>
  </si>
  <si>
    <t xml:space="preserve">Fysieke toegang tot kantoren, serverruimtes en werkplekken; plaatsing van apparatuur.</t>
  </si>
  <si>
    <t xml:space="preserve">Voer pretext-scenario's uit conform RoE met een 'get out of jail'-brief; registreer verificatiemomenten.</t>
  </si>
  <si>
    <t xml:space="preserve">Bezoekersregistratie en begeleiding, verificatie van leveranciers via vooraf aangemelde afspraken, badge-controle, awareness, geen toegang zonder sponsor.</t>
  </si>
  <si>
    <t xml:space="preserve">Receptie-/beveiligingslogs, meldcultuur.</t>
  </si>
  <si>
    <t xml:space="preserve">AV-PHY-01, AV-SE-04</t>
  </si>
  <si>
    <t xml:space="preserve">ISO 27001 A.7.2</t>
  </si>
  <si>
    <t xml:space="preserve">AV-HOST-01</t>
  </si>
  <si>
    <t xml:space="preserve">Endpoint</t>
  </si>
  <si>
    <t xml:space="preserve">Windows local privilege escalation via service / path / permission misconfiguration</t>
  </si>
  <si>
    <t xml:space="preserve">Unquoted service paths, schrijfbare service-binaries of -mappen, zwakke service-ACL's (SERVICE_CHANGE_CONFIG), AlwaysInstallElevated, schrijfbare registry-autoruns/scheduled tasks, DLL hijacking in PATH en modifiable installers geven SYSTEM-rechten aan een lokale gebruiker.</t>
  </si>
  <si>
    <t xml:space="preserve">Lokale gebruiker wordt SYSTEM; credentialdumping, EDR-manipulatie en laterale beweging volgen.</t>
  </si>
  <si>
    <t xml:space="preserve">Enumereer met PrivescCheck/winPEAS-achtige controles (service-ACL's, paths, registry, tasks, installers) op een representatieve werkplek/server en bevestig met een niet-destructieve PoC (RoE).</t>
  </si>
  <si>
    <t xml:space="preserve">Quote service paths, herstel ACL's op binaries/mappen/registry, AlwaysInstallElevated uit, gebruikers geen lokale admin, hardening-baseline (CIS/Microsoft) en periodieke config-scans.</t>
  </si>
  <si>
    <t xml:space="preserve">Alarmeer op service-configuratiewijzigingen (7045/4697) en nieuwe scheduled tasks door niet-beheerders.</t>
  </si>
  <si>
    <t xml:space="preserve">T1574.009, T1574.010, T1574.011, T1053.005, T1548.002</t>
  </si>
  <si>
    <t xml:space="preserve">CWE-428, CWE-732, CWE-276</t>
  </si>
  <si>
    <t xml:space="preserve">Windows - Privilege Escalation</t>
  </si>
  <si>
    <t xml:space="preserve">Windows privilege escalation</t>
  </si>
  <si>
    <t xml:space="preserve">AV-HOST-06, AV-AD-03</t>
  </si>
  <si>
    <t xml:space="preserve">https://github.com/itm4n/PrivescCheck</t>
  </si>
  <si>
    <t xml:space="preserve">AV-HOST-02</t>
  </si>
  <si>
    <t xml:space="preserve">Windows privilege escalation via token privileges (SeImpersonate / Potato family)</t>
  </si>
  <si>
    <t xml:space="preserve">Service-accounts (IIS AppPool, MSSQL, NetworkService) met SeImpersonatePrivilege of SeAssignPrimaryTokenPrivilege kunnen via Potato-technieken (PrintSpoofer, GodPotato) een SYSTEM-token verkrijgen; SeBackup/SeRestore/SeLoadDriver bieden vergelijkbare paden.</t>
  </si>
  <si>
    <t xml:space="preserve">Van webshell/database-RCE direct naar SYSTEM op de host.</t>
  </si>
  <si>
    <t xml:space="preserve">Controleer na code-uitvoering als service-account de aanwezige privileges (whoami /priv) en of relevante services (Print Spooler, RPC) beschikbaar zijn; bevestig met PoC binnen RoE.</t>
  </si>
  <si>
    <t xml:space="preserve">Draai applicaties onder virtual accounts/gMSA met minimale privileges, Print Spooler uit waar niet nodig, patchen, isolatie van webservers.</t>
  </si>
  <si>
    <t xml:space="preserve">EDR-detectie op named-pipe-impersonation en onverwachte SYSTEM-processen gestart door service-accounts.</t>
  </si>
  <si>
    <t xml:space="preserve">T1134.001, T1068</t>
  </si>
  <si>
    <t xml:space="preserve">Windows - Privilege Escalation - Potato</t>
  </si>
  <si>
    <t xml:space="preserve">AV-HOST-01, AV-WEB-10, AV-WEB-04</t>
  </si>
  <si>
    <t xml:space="preserve">https://github.com/itm4n/PrintSpoofer</t>
  </si>
  <si>
    <t xml:space="preserve">AV-HOST-03</t>
  </si>
  <si>
    <t xml:space="preserve">Linux local privilege escalation (SUID, sudo, cron, capabilities, kernel)</t>
  </si>
  <si>
    <t xml:space="preserve">Onveilige sudo-regels (NOPASSWD, wildcards, GTFOBins-binaries), SUID/SGID-binaries, schrijfbare cron-scripts of PATH-manipulatie, gevaarlijke capabilities, docker/lxd-groepslidmaatschap, schrijfbare /etc/passwd of een kwetsbare kernel/sudo-versie.</t>
  </si>
  <si>
    <t xml:space="preserve">Lokale gebruiker wordt root; toegang tot alle data, secrets en lateral movement-materiaal (SSH-keys).</t>
  </si>
  <si>
    <t xml:space="preserve">Enumereer met linPEAS-achtige controles en vergelijk sudo/kernel/glibc-versies met bekende CVE's; bevestig met niet-destructieve PoC (RoE).</t>
  </si>
  <si>
    <t xml:space="preserve">Least-privilege sudo zonder wildcards, SUID-minimalisatie, cron-hygiene, capabilities beperken, patchen (kernel/sudo/glibc), geen gebruikers in docker/lxd-groepen.</t>
  </si>
  <si>
    <t xml:space="preserve">Auditd/EDR op sudo-misbruik, SUID-uitvoering met afwijkende argumenten en kernel-exploit-indicatoren.</t>
  </si>
  <si>
    <t xml:space="preserve">T1548.001, T1548.003, T1053.003, T1068</t>
  </si>
  <si>
    <t xml:space="preserve">CWE-269, CWE-732</t>
  </si>
  <si>
    <t xml:space="preserve">Linux - Privilege Escalation</t>
  </si>
  <si>
    <t xml:space="preserve">Linux privilege escalation</t>
  </si>
  <si>
    <t xml:space="preserve">CVE-2021-4034, CVE-2021-3156, CVE-2025-32463, CVE-2023-4911, CVE-2024-1086</t>
  </si>
  <si>
    <t xml:space="preserve">https://gtfobins.github.io/</t>
  </si>
  <si>
    <t xml:space="preserve">AV-HOST-04</t>
  </si>
  <si>
    <t xml:space="preserve">Credentials in files, registry, browsers and configuration</t>
  </si>
  <si>
    <t xml:space="preserve">Wachtwoorden in scripts, config-/web.config-bestanden, unattend.xml, PowerShell-history, registry (Winlogon AutoAdminLogon, PuTTY-sessies), browserprofielen, RDP/VPN-clients en wachtwoordmanagers zonder master-password.</t>
  </si>
  <si>
    <t xml:space="preserve">Hergebruik van credentials voor laterale beweging en escalatie; vaak domein- of cloudcredentials.</t>
  </si>
  <si>
    <t xml:space="preserve">Doorzoek bestandssysteem, registry en gebruikersprofielen op credential-patronen en opgeslagen sessies (met toestemming, bevindingen geanonimiseerd rapporteren).</t>
  </si>
  <si>
    <t xml:space="preserve">Secret management, geen credentials in scripts/configs, browser-wachtwoordopslag uitschakelen (bedrijfsbeleid), PowerShell-transcriptie veilig opslaan, DPAPI-bescherming met Credential Guard.</t>
  </si>
  <si>
    <t xml:space="preserve">Alarmeer op massale bestandsreads van configbestanden en toegang tot browser-credentialstores door onbekende processen.</t>
  </si>
  <si>
    <t xml:space="preserve">T1552.001, T1552.002, T1555.003, T1555</t>
  </si>
  <si>
    <t xml:space="preserve">CWE-798, CWE-522, CWE-312</t>
  </si>
  <si>
    <t xml:space="preserve">Windows - Privilege Escalation - Credentials</t>
  </si>
  <si>
    <t xml:space="preserve">AV-AD-26, AV-NET-13, AV-CLD-02</t>
  </si>
  <si>
    <t xml:space="preserve">https://attack.mitre.org/techniques/T1552/001/</t>
  </si>
  <si>
    <t xml:space="preserve">AV-HOST-05</t>
  </si>
  <si>
    <t xml:space="preserve">Missing full-disk encryption / pre-boot authentication</t>
  </si>
  <si>
    <t xml:space="preserve">Laptops/werkplekken zonder BitLocker/FileVault/LUKS, of BitLocker met TPM-only zonder PIN (gevoelig voor TPM-sniffing/cold-boot/bitpixie-achtige aanvallen), onbeveiligde BIOS/UEFI (boot vanaf USB, geen Secure Boot) en recovery keys niet centraal beheerd.</t>
  </si>
  <si>
    <t xml:space="preserve">Uitlezen van alle data en credentials (incl. cached domeincredentials en DPAPI-materiaal) van een gestolen of achtergelaten apparaat.</t>
  </si>
  <si>
    <t xml:space="preserve">Controleer encryptiestatus en configuratie (manage-bde/MDM-rapportage), BIOS-wachtwoord, Secure Boot en boot-order op een representatief apparaat.</t>
  </si>
  <si>
    <t xml:space="preserve">Volledige schijfencryptie met pre-boot-authenticatie (TPM+PIN), Secure Boot, BIOS-wachtwoord en boot-restricties, centrale escrow van recovery keys, firmware-updates.</t>
  </si>
  <si>
    <t xml:space="preserve">MDM/Intune-compliance-rapportage op encryptiestatus.</t>
  </si>
  <si>
    <t xml:space="preserve">T1200, T1005</t>
  </si>
  <si>
    <t xml:space="preserve">CWE-311, CWE-1240</t>
  </si>
  <si>
    <t xml:space="preserve">AV-PHY-06, AV-AD-03</t>
  </si>
  <si>
    <t xml:space="preserve">CIS Microsoft Windows Benchmark</t>
  </si>
  <si>
    <t xml:space="preserve">https://learn.microsoft.com/en-us/windows/security/operating-system-security/data-protection/bitlocker/countermeasures</t>
  </si>
  <si>
    <t xml:space="preserve">AV-HOST-06</t>
  </si>
  <si>
    <t xml:space="preserve">Insufficient endpoint hardening (local admin users, no application control, macro policy, EDR gaps)</t>
  </si>
  <si>
    <t xml:space="preserve">Gebruikers zijn lokaal administrator, application control (WDAC/AppLocker) en ASR-regels ontbreken, macro's/scripts (PowerShell v2, WScript) zijn onbeperkt, EDR ontbreekt of is in audit-mode, LSASS-bescherming (RunAsPPL/Credential Guard) staat uit en lokale firewall is uitgeschakeld.</t>
  </si>
  <si>
    <t xml:space="preserve">Eenvoudige initial access en escalatie na phishing; credentialdumping en EDR-omzeiling.</t>
  </si>
  <si>
    <t xml:space="preserve">Beoordeel de werkplekbaseline tegen CIS/Microsoft Security Baseline (admin-rechten, application control, ASR, EDR-status, LSASS-bescherming, firewall, PowerShell-logging).</t>
  </si>
  <si>
    <t xml:space="preserve">Geen standaard lokale admin (LAPS + JIT), WDAC/AppLocker, ASR-regels, Credential Guard/RunAsPPL, EDR in block-mode op alle endpoints, PowerShell Constrained Language/logging, host-firewall aan.</t>
  </si>
  <si>
    <t xml:space="preserve">Compliance-rapportage uit MDM/EDR; alarmeer op uitschakelen van beveiligingstooling.</t>
  </si>
  <si>
    <t xml:space="preserve">T1204, T1059, T1562.001, T1003.001</t>
  </si>
  <si>
    <t xml:space="preserve">CWE-250, CWE-693</t>
  </si>
  <si>
    <t xml:space="preserve">AV-SE-05, AV-SE-11, AV-AD-03, AV-AD-21</t>
  </si>
  <si>
    <t xml:space="preserve">CIS Microsoft Windows Benchmark; Microsoft Security Baselines</t>
  </si>
  <si>
    <t xml:space="preserve">https://learn.microsoft.com/en-us/windows/security/operating-system-security/device-management/windows-security-configuration-framework/windows-security-baselines</t>
  </si>
  <si>
    <t xml:space="preserve">AV-HOST-07</t>
  </si>
  <si>
    <t xml:space="preserve">Missing OS / kernel patches enabling local exploitation</t>
  </si>
  <si>
    <t xml:space="preserve">Werkplekken en servers missen beveiligingsupdates voor kernel-/driver-kwetsbaarheden (CLFS, afd.sys, Win32k, nf_tables, Dirty Pipe, sudo, polkit) waarvoor publieke of in-the-wild exploits bestaan; vaak door uitgestelde patchcycli of handmatig beheerde servers.</t>
  </si>
  <si>
    <t xml:space="preserve">Betrouwbare escalatie naar SYSTEM/root vanaf elke lokale gebruiker; door ransomware-actoren breed misbruikt.</t>
  </si>
  <si>
    <t xml:space="preserve">Inventariseer patchniveau (systeminfo/wmic qfe, kernel-/pakketversies) en vergelijk met KEV en bekende LPE-exploits; PoC alleen op testsystemen of binnen RoE.</t>
  </si>
  <si>
    <t xml:space="preserve">Patchmanagement met SLA's (KEV binnen dagen), reboot-discipline, kernel live patching waar mogelijk, EOL-vervanging.</t>
  </si>
  <si>
    <t xml:space="preserve">Vulnerability management en EDR-detectie op exploit-gedrag (kernel-pool corruptie, token-manipulatie).</t>
  </si>
  <si>
    <t xml:space="preserve">T1068</t>
  </si>
  <si>
    <t xml:space="preserve">CVE-2025-29824, CVE-2021-36934, CVE-2026-85880, CVE-2022-0847, CVE-2024-1086, CVE-2026-31431</t>
  </si>
  <si>
    <t xml:space="preserve">AV-AI-01</t>
  </si>
  <si>
    <t xml:space="preserve">AI / LLM</t>
  </si>
  <si>
    <t xml:space="preserve">Prompt injection (direct &amp; indirect)</t>
  </si>
  <si>
    <t xml:space="preserve">Gebruikersinvoer of door het model verwerkte content (documenten, webpagina's, e-mails, RAG-bronnen, tool-output) bevat instructies die het systeemprompt en de bedoelde taak overschrijven; indirecte injectie werkt zonder dat de gebruiker iets kwaadaardigs doet.</t>
  </si>
  <si>
    <t xml:space="preserve">Datalek via tool-aanroepen of exfiltratie-links, ongewenste acties (mail versturen, records wijzigen), jailbreak van beleidsregels, zero-click aanvallen op copilots.</t>
  </si>
  <si>
    <t xml:space="preserve">Test direct via de chat-interface en indirect via alle content-bronnen die het model leest (documenten, webpagina's, mail, tickets); meet of instructies in data worden opgevolgd en of tools/links worden geactiveerd (RoE).</t>
  </si>
  <si>
    <t xml:space="preserve">Behandel alle modelinvoer als onvertrouwd; scheid instructies van data, least-privilege en bevestiging voor tool-acties, output-filtering van links/markdown, content-filters, red-teaming per release.</t>
  </si>
  <si>
    <t xml:space="preserve">Log prompts en tool-aanroepen; alarmeer op afwijkende tool-sequenties, exfiltratiepatronen (URL's met data) en policy-violations.</t>
  </si>
  <si>
    <t xml:space="preserve">CWE-1427, CWE-77</t>
  </si>
  <si>
    <t xml:space="preserve">Prompt Injection</t>
  </si>
  <si>
    <t xml:space="preserve">AV-AI-03, AV-AI-04, CVE-2025-32711, CVE-2024-5565</t>
  </si>
  <si>
    <t xml:space="preserve">OWASP LLM Top 10 2025: LLM01; MITRE ATLAS: AML.T0051, AML.T0054</t>
  </si>
  <si>
    <t xml:space="preserve">https://genai.owasp.org/llmrisk/llm01-prompt-injection/</t>
  </si>
  <si>
    <t xml:space="preserve">AV-AI-02</t>
  </si>
  <si>
    <t xml:space="preserve">Sensitive information &amp; system prompt disclosure</t>
  </si>
  <si>
    <t xml:space="preserve">Het model lekt systeemprompts, interne instructies, API-sleutels of trainings-/RAG-data; copilots geven toegang tot documenten die de gebruiker technisch kan lezen maar die overgedeeld zijn; PII uit gesprekken wordt gelogd of hergebruikt voor training.</t>
  </si>
  <si>
    <t xml:space="preserve">Blootstelling van bedrijfsgeheimen, credentials en persoonsgegevens; vergemakkelijkt gerichte jailbreaks.</t>
  </si>
  <si>
    <t xml:space="preserve">Probeer systeemprompt-extractie en opvragen van data buiten de autorisatie van de testgebruiker (RAG-autorisatie, oversharing); controleer logging en data-retentie van de provider.</t>
  </si>
  <si>
    <t xml:space="preserve">Geen secrets in prompts, autorisatie op document-/chunk-niveau in RAG, sanitisatie van trainings-/retrievaldata, dataclassificatie en oversharing-opschoning voor copilot-uitrol, DLP op prompts/output.</t>
  </si>
  <si>
    <t xml:space="preserve">Alarmeer op output met secret-patronen en op ongebruikelijke retrieval-volumes per gebruiker.</t>
  </si>
  <si>
    <t xml:space="preserve">CWE-200, CWE-359</t>
  </si>
  <si>
    <t xml:space="preserve">AV-AI-01, AV-CLD-18</t>
  </si>
  <si>
    <t xml:space="preserve">OWASP LLM Top 10 2025: LLM02, LLM07; MITRE ATLAS: AML.T0057, AML.T0056</t>
  </si>
  <si>
    <t xml:space="preserve">https://genai.owasp.org/llmrisk/llm022025-sensitive-information-disclosure/</t>
  </si>
  <si>
    <t xml:space="preserve">AV-AI-03</t>
  </si>
  <si>
    <t xml:space="preserve">Improper output handling (LLM output into HTML, SQL, shell, code)</t>
  </si>
  <si>
    <t xml:space="preserve">Modeluitvoer wordt zonder validatie gerenderd (markdown/HTML -&gt; XSS), uitgevoerd (gegenereerde SQL, shell-commando's, Python in agents/notebooks) of doorgegeven aan downstream-API's; de LLM wordt daarmee een injectievector die door prompt injection stuurbaar is.</t>
  </si>
  <si>
    <t xml:space="preserve">XSS/CSRF in de chat-UI, SQL-injectie via text-to-SQL, RCE via code-executie van agents (bv. Vanna.AI, Langflow).</t>
  </si>
  <si>
    <t xml:space="preserve">Laat het model (via prompt of indirecte injectie) output genereren met HTML/JS, SQL-metatekens of shell-syntax en controleer of downstream-componenten dit onveilig verwerken.</t>
  </si>
  <si>
    <t xml:space="preserve">Behandel modeluitvoer als onvertrouwde gebruikersinvoer: output-encoding, parameterized queries, sandboxing/allowlists voor code-executie, menselijke bevestiging voor gevaarlijke acties.</t>
  </si>
  <si>
    <t xml:space="preserve">Alarmeer op uitvoering van gegenereerde code buiten de sandbox en op output met script-/SQL-patronen.</t>
  </si>
  <si>
    <t xml:space="preserve">T1059</t>
  </si>
  <si>
    <t xml:space="preserve">CWE-79, CWE-89, CWE-94</t>
  </si>
  <si>
    <t xml:space="preserve">AV-AI-01, AV-WEB-05, AV-WEB-03, CVE-2024-5565</t>
  </si>
  <si>
    <t xml:space="preserve">OWASP LLM Top 10 2025: LLM05; MITRE ATLAS: AML.T0053</t>
  </si>
  <si>
    <t xml:space="preserve">https://genai.owasp.org/llmrisk/llm052025-improper-output-handling/</t>
  </si>
  <si>
    <t xml:space="preserve">AV-AI-04</t>
  </si>
  <si>
    <t xml:space="preserve">Excessive agency / insecure tool &amp; MCP integration</t>
  </si>
  <si>
    <t xml:space="preserve">Agents krijgen te veel tools, te ruime permissies (schrijven/verwijderen, betalingen, mail) of handelen zonder bevestiging; MCP-servers en plugins worden zonder authenticatie/verificatie gekoppeld, zijn zelf kwetsbaar (command injection, auth bypass) of worden via tool-descriptions vergiftigd (tool poisoning).</t>
  </si>
  <si>
    <t xml:space="preserve">Ongeautoriseerde acties en datalek namens de gebruiker, laterale beweging via gekoppelde systemen, RCE op de agent-host.</t>
  </si>
  <si>
    <t xml:space="preserve">Inventariseer tools/MCP-servers en hun permissies, test of acties zonder bevestiging uitgevoerd worden na (indirecte) prompt injection, en toets de MCP-/plugin-endpoints zelf op auth en injectie.</t>
  </si>
  <si>
    <t xml:space="preserve">Least-privilege en scoped tokens per tool, human-in-the-loop voor onomkeerbare acties, allowlist van geverifieerde MCP-servers, auth op MCP-endpoints, sandboxing en egress-beperking van de agent-runtime.</t>
  </si>
  <si>
    <t xml:space="preserve">Volledige audit-logging van tool-aanroepen met argumenten; alarmeer op nieuwe tool-registraties en afwijkende actiepatronen.</t>
  </si>
  <si>
    <t xml:space="preserve">T1078, T1059</t>
  </si>
  <si>
    <t xml:space="preserve">CWE-250, CWE-284, CWE-78</t>
  </si>
  <si>
    <t xml:space="preserve">AV-AI-01, CVE-2025-6514, CVE-2025-49596</t>
  </si>
  <si>
    <t xml:space="preserve">OWASP LLM Top 10 2025: LLM06; MITRE ATLAS: AML.T0053; Verwante CVE's zonder eigen rij: CVE-2026-59822</t>
  </si>
  <si>
    <t xml:space="preserve">https://genai.owasp.org/llmrisk/llm062025-excessive-agency/</t>
  </si>
  <si>
    <t xml:space="preserve">AV-AI-05</t>
  </si>
  <si>
    <t xml:space="preserve">Data, model &amp; RAG poisoning</t>
  </si>
  <si>
    <t xml:space="preserve">Aanvallers plaatsen gemanipuleerde documenten in bronnen die de RAG-pipeline indexeert (SharePoint, tickets, web), vergiftigen trainings-/fine-tuning-data of leveren gemanipuleerde modellen/datasets (Hugging Face pickle-bestanden), waardoor het gedrag van het systeem blijvend wordt beinvloed.</t>
  </si>
  <si>
    <t xml:space="preserve">Persistente indirecte prompt injection, backdoors in modellen, desinformatie en gerichte misleiding van gebruikers.</t>
  </si>
  <si>
    <t xml:space="preserve">Beoordeel wie schrijfrechten heeft op geindexeerde bronnen en of content wordt gevalideerd; test (RoE) of een geplaatst document het antwoordgedrag stuurt; controleer herkomst en formaat (safetensors vs pickle) van modellen.</t>
  </si>
  <si>
    <t xml:space="preserve">Autorisatie en validatie van ingest-bronnen, provenance/signing van data en modellen (model cards, hashes), safetensors, isolatie van vector stores per tenant, monitoring op driftend gedrag.</t>
  </si>
  <si>
    <t xml:space="preserve">Alarmeer op afwijkende embeddings/bronnen in retrieval en op wijzigingen in geindexeerde documenten door onverwachte accounts.</t>
  </si>
  <si>
    <t xml:space="preserve">CWE-345, CWE-502</t>
  </si>
  <si>
    <t xml:space="preserve">AV-AI-01, AV-CLD-18, AV-AI-07</t>
  </si>
  <si>
    <t xml:space="preserve">OWASP LLM Top 10 2025: LLM04, LLM08; MITRE ATLAS: AML.T0020, AML.T0070, AML.T0010</t>
  </si>
  <si>
    <t xml:space="preserve">https://genai.owasp.org/llmrisk/llm042025-data-and-model-poisoning/</t>
  </si>
  <si>
    <t xml:space="preserve">AV-AI-06</t>
  </si>
  <si>
    <t xml:space="preserve">Unbounded consumption (DoS, denial of wallet, model extraction)</t>
  </si>
  <si>
    <t xml:space="preserve">Geen limieten op prompt-lengte, aantal verzoeken, tool-recursie of tokens per gebruiker, waardoor aanvallers kosten laten exploderen, de dienst onbeschikbaar maken of via massale queries het model/de prompts extraheren.</t>
  </si>
  <si>
    <t xml:space="preserve">Hoge cloudkosten, onbeschikbaarheid en diefstal van intellectueel eigendom (model/prompt).</t>
  </si>
  <si>
    <t xml:space="preserve">Meet rate limiting, maximale invoerlengte, recursie-/loop-bescherming van agents en budgetlimieten per gebruiker/API-key.</t>
  </si>
  <si>
    <t xml:space="preserve">Rate limiting en quota per identiteit, input-/output-tokenlimieten, time-outs en max-iterations voor agents, kostenalarmen, bot-protectie.</t>
  </si>
  <si>
    <t xml:space="preserve">Alarmeer op kostenpieken en afwijkend verbruik per gebruiker/key.</t>
  </si>
  <si>
    <t xml:space="preserve">CWE-770, CWE-400</t>
  </si>
  <si>
    <t xml:space="preserve">OWASP LLM Top 10 2025: LLM10; MITRE ATLAS: AML.T0029</t>
  </si>
  <si>
    <t xml:space="preserve">https://genai.owasp.org/llmrisk/llm102025-unbounded-consumption/</t>
  </si>
  <si>
    <t xml:space="preserve">AV-AI-07</t>
  </si>
  <si>
    <t xml:space="preserve">Insecure AI platform &amp; tooling exposure (Ollama, Langflow, MLflow, Ray, LiteLLM)</t>
  </si>
  <si>
    <t xml:space="preserve">AI-ontwikkel- en serveerplatformen draaien zonder authenticatie of met default settings (Ollama/Ray/MLflow/Jupyter op 0.0.0.0), bevatten pre-auth RCE's (Langflow, LiteLLM, n8n) of lekken API-sleutels van modelproviders; vaak buiten het reguliere patchproces (data science-teams, shadow AI).</t>
  </si>
  <si>
    <t xml:space="preserve">RCE op GPU-/data-servers, diefstal van modellen, datasets en provider-keys, pivot naar cloudomgeving.</t>
  </si>
  <si>
    <t xml:space="preserve">Scan op AI-platform-poorten (11434, 7860, 5000, 8265, 4000, 5678), test anonieme toegang en versies tegen KEV; inventariseer shadow-AI via egress-logs.</t>
  </si>
  <si>
    <t xml:space="preserve">Authenticatie en netwerkisolatie voor alle AI-tooling, patchbeleid gelijk aan productie, secret management voor provider-keys, AI-gateway met logging en budgetten, inventaris van AI-gebruik.</t>
  </si>
  <si>
    <t xml:space="preserve">Alarmeer op nieuwe AI-services in het netwerk en op uitgaand verkeer naar modelproviders vanaf onverwachte hosts.</t>
  </si>
  <si>
    <t xml:space="preserve">A02:2025, A03:2025</t>
  </si>
  <si>
    <t xml:space="preserve">T1190, T1552</t>
  </si>
  <si>
    <t xml:space="preserve">CWE-306, CWE-1104</t>
  </si>
  <si>
    <t xml:space="preserve">CVE-2025-3248, CVE-2026-0770, CVE-2024-37032, CVE-2026-64849, CVE-2025-62593, CVE-2026-42208, CVE-2025-68613</t>
  </si>
  <si>
    <t xml:space="preserve">OWASP LLM Top 10 2025: LLM03</t>
  </si>
  <si>
    <t xml:space="preserve">https://genai.owasp.org/llmrisk/llm032025-supply-chain/</t>
  </si>
  <si>
    <t xml:space="preserve">CVE-2020-1472</t>
  </si>
  <si>
    <t xml:space="preserve">Windows Netlogon - privilege escalation (Zerologon)</t>
  </si>
  <si>
    <t xml:space="preserve">Known vulnerability</t>
  </si>
  <si>
    <t xml:space="preserve">Een cryptografische fout in het Netlogon Remote Protocol (MS-NRPC, AES-CFB8 met nul-IV) laat een ongeauthenticeerde aanvaller met netwerktoegang tot een domain controller het computeraccountwachtwoord van de DC op leeg zetten en vervolgens domain admin worden. Microsoft gaf de CNA-score 5.5; NVD en de praktijk beoordelen het als 10.0.</t>
  </si>
  <si>
    <t xml:space="preserve">Volledige domeincompromittering vanaf elke host met netwerktoegang tot een DC, zonder credentials.</t>
  </si>
  <si>
    <t xml:space="preserve">Controleer het patchniveau van alle DC's (augustus 2020 en februari 2021 enforcement-fase) en de registry-waarde FullSecureChannelProtection; gebruik alleen de niet-destructieve check (authenticatiepogingen zonder wachtwoordreset) binnen RoE.</t>
  </si>
  <si>
    <t xml:space="preserve">Installeer de updates op alle DC's en zet enforcement mode aan; vervang of isoleer apparaten die secure RPC niet ondersteunen; monitor Event 5827-5831.</t>
  </si>
  <si>
    <t xml:space="preserve">Events 5827/5828 (geweigerde kwetsbare Netlogon-verbindingen) en 5829 (toegestaan via uitzondering) op DC's.</t>
  </si>
  <si>
    <t xml:space="preserve">T1068, T1210</t>
  </si>
  <si>
    <t xml:space="preserve">CWE-330</t>
  </si>
  <si>
    <t xml:space="preserve">Active Directory Attack - Zerologon</t>
  </si>
  <si>
    <t xml:space="preserve">CVSS:3.1/AV:N/AC:L/PR:N/UI:N/S:C/C:H/I:H/A:H</t>
  </si>
  <si>
    <t xml:space="preserve">Windows Server 2008 R2 t/m Server 2019 en Server versie 1903/1909/2004 (alle DC's zonder update van augustus 2020); ook Samba &lt; 4.12.7 als DC</t>
  </si>
  <si>
    <t xml:space="preserve">Updates van 11 augustus 2020 (fase 1) en 9 februari 2021 (enforcement); Samba 4.10.18 / 4.11.13 / 4.12.7</t>
  </si>
  <si>
    <t xml:space="preserve">Ja - KEV sinds 2021-11-03</t>
  </si>
  <si>
    <t xml:space="preserve">Ja (publieke PoC's en scanners; Impacket/Metasploit)</t>
  </si>
  <si>
    <t xml:space="preserve">AV-AD-04, AV-NET-04, AV-AD-20</t>
  </si>
  <si>
    <t xml:space="preserve">KEV; Secura-ontdekking (Tom Tervoort); CVSS-bron: NVD; Microsoft CNA 5.5</t>
  </si>
  <si>
    <t xml:space="preserve">https://portal.msrc.microsoft.com/en-US/security-guidance/advisory/CVE-2020-1472; https://www.kb.cert.org/vuls/id/490028; https://nvd.nist.gov/vuln/detail/CVE-2020-1472</t>
  </si>
  <si>
    <t xml:space="preserve">CVE-2021-42287</t>
  </si>
  <si>
    <t xml:space="preserve">Active Directory - sAMAccountName spoofing / KDC confusion (noPac, met CVE-2021-42278)</t>
  </si>
  <si>
    <t xml:space="preserve">Door een computeraccount te hernoemen naar de naam van een DC (zonder $) en een TGT aan te vragen, geeft de KDC bij S4U2self een service ticket uit voor het echte DC-account. In combinatie met MachineAccountQuota &gt; 0 escaleert elke domeingebruiker naar domain admin.</t>
  </si>
  <si>
    <t xml:space="preserve">Elke geauthenticeerde domeingebruiker wordt domain admin op een ongepatcht domein.</t>
  </si>
  <si>
    <t xml:space="preserve">Controleer of alle DC's de updates van november 2021 (of later) hebben en of de PAC-enforcement-fase actief is; controleer MachineAccountQuota; gebruik een niet-destructieve scanner (ticketaanvraag zonder exploitatie) binnen RoE.</t>
  </si>
  <si>
    <t xml:space="preserve">Patch alle DC's (KB5008380/KB5008602 e.v.) en zet PacRequestorEnforcement op enforcement; zet MachineAccountQuota op 0.</t>
  </si>
  <si>
    <t xml:space="preserve">Events 4741/4781 (computeraccount aangemaakt/hernoemd zonder $) en 4768/4769 met afwijkende accountnamen op DC's.</t>
  </si>
  <si>
    <t xml:space="preserve">T1068, T1558</t>
  </si>
  <si>
    <t xml:space="preserve">CWE-20</t>
  </si>
  <si>
    <t xml:space="preserve">Active Directory Attack - noPac</t>
  </si>
  <si>
    <t xml:space="preserve">CVSS:3.1/AV:N/AC:H/PR:L/UI:N/S:U/C:H/I:H/A:H</t>
  </si>
  <si>
    <t xml:space="preserve">Windows Server 2008 R2 t/m Server 2022 als DC zonder updates van 9 november 2021</t>
  </si>
  <si>
    <t xml:space="preserve">Updates van november 2021 (CVE-2021-42278 en CVE-2021-42287) met enforcement vanaf juli 2022</t>
  </si>
  <si>
    <t xml:space="preserve">Ja - KEV sinds 2022-04-11</t>
  </si>
  <si>
    <t xml:space="preserve">Ja (publieke PoC's: noPac, Impacket)</t>
  </si>
  <si>
    <t xml:space="preserve">AV-AD-16, AV-AD-07</t>
  </si>
  <si>
    <t xml:space="preserve">KEV; CVSS-bron: CNA; Verwante CVE's zonder eigen rij: CVE-2021-42278</t>
  </si>
  <si>
    <t xml:space="preserve">https://msrc.microsoft.com/update-guide/vulnerability/CVE-2021-42287; https://nvd.nist.gov/vuln/detail/CVE-2021-42287</t>
  </si>
  <si>
    <t xml:space="preserve">CVE-2022-26923</t>
  </si>
  <si>
    <t xml:space="preserve">Active Directory Certificate Services - machine account certificate spoofing (Certifried)</t>
  </si>
  <si>
    <t xml:space="preserve">Een gebruiker die een computeraccount beheert (of mag aanmaken via MachineAccountQuota) kan de dNSHostName van dat account op de naam van een DC zetten en via het Machine-template een certificaat voor de DC verkrijgen, waarmee hij via PKINIT als DC authenticeert.</t>
  </si>
  <si>
    <t xml:space="preserve">Escalatie van domeingebruiker naar domain admin in omgevingen met AD CS.</t>
  </si>
  <si>
    <t xml:space="preserve">Controleer of de DC's en CA's de updates van mei 2022 hebben en of de StrongCertificateBindingEnforcement-fase actief is; controleer MachineAccountQuota en of het Machine-template enrollbaar is voor Domain Computers.</t>
  </si>
  <si>
    <t xml:space="preserve">Patch DC's en CA's (mei 2022) en zet StrongCertificateBindingEnforcement op Full Enforcement (verplicht sinds februari 2025); MachineAccountQuota = 0; audit templates.</t>
  </si>
  <si>
    <t xml:space="preserve">Events 39/40/41 (Kerberos-Key-Distribution-Center certificaat-mapping) en 4886/4887 (certificaataanvragen) voor computeraccounts met afwijkende SAN's.</t>
  </si>
  <si>
    <t xml:space="preserve">T1649, T1068</t>
  </si>
  <si>
    <t xml:space="preserve">CVSS:3.1/AV:N/AC:L/PR:L/UI:N/S:U/C:H/I:H/A:H</t>
  </si>
  <si>
    <t xml:space="preserve">Windows Server 2012 R2 t/m Server 2022 met AD CS zonder update van 10 mei 2022</t>
  </si>
  <si>
    <t xml:space="preserve">Updates van mei 2022 (KB5014754) met Full Enforcement vanaf februari 2025</t>
  </si>
  <si>
    <t xml:space="preserve">Ja - KEV sinds 2022-08-18</t>
  </si>
  <si>
    <t xml:space="preserve">Ja (Certipy)</t>
  </si>
  <si>
    <t xml:space="preserve">AV-AD-09, AV-AD-16</t>
  </si>
  <si>
    <t xml:space="preserve">KEV; CVSS-bron: CNA</t>
  </si>
  <si>
    <t xml:space="preserve">https://msrc.microsoft.com/update-guide/vulnerability/CVE-2022-26923; https://nvd.nist.gov/vuln/detail/CVE-2022-26923</t>
  </si>
  <si>
    <t xml:space="preserve">CVE-2024-49019</t>
  </si>
  <si>
    <t xml:space="preserve">Active Directory Certificate Services - EKUwu / ESC15 (version 1 templates)</t>
  </si>
  <si>
    <t xml:space="preserve">Bij certificate templates van schema-versie 1 met 'supply in the request' kan een aanvaller Application Policies in de aanvraag opgeven en zo een certificaat met bv. Client Authentication of Certificate Request Agent krijgen voor een willekeurige gebruiker (ESC15), ondanks dat het template dat niet toestaat.</t>
  </si>
  <si>
    <t xml:space="preserve">Impersonatie van willekeurige accounts (incl. domain admins) via certificaten; persistente toegang.</t>
  </si>
  <si>
    <t xml:space="preserve">Inventariseer templates met schema-versie 1 waarop laaggeprivilegieerde gebruikers mogen enrollen (Certipy find) en controleer of de CA de update van november 2024 heeft.</t>
  </si>
  <si>
    <t xml:space="preserve">Patch de CA's (november 2024), verwijder/dupliceer v1-templates naar v2+, beperk enrollment-rechten, schakel 'supply in the request' uit waar mogelijk.</t>
  </si>
  <si>
    <t xml:space="preserve">Event 4886/4887 met Application Policies die afwijken van het template; monitor certificaataanvragen voor beheerders.</t>
  </si>
  <si>
    <t xml:space="preserve">CWE-1390</t>
  </si>
  <si>
    <t xml:space="preserve">CVSS:3.1/AV:L/AC:L/PR:L/UI:N/S:U/C:H/I:H/A:H</t>
  </si>
  <si>
    <t xml:space="preserve">Windows Server 2016 t/m Server 2025 met AD CS zonder update van 12 november 2024 en met v1-templates (bv. WebServer) enrollbaar</t>
  </si>
  <si>
    <t xml:space="preserve">Updates van november 2024; template-hardening</t>
  </si>
  <si>
    <t xml:space="preserve">Nee (niet in KEV per 2026-10-04)</t>
  </si>
  <si>
    <t xml:space="preserve">ESC15 (TrustedSec, Justin Bollinger); CVSS-bron: CNA</t>
  </si>
  <si>
    <t xml:space="preserve">https://msrc.microsoft.com/update-guide/vulnerability/CVE-2024-49019; https://nvd.nist.gov/vuln/detail/CVE-2024-49019</t>
  </si>
  <si>
    <t xml:space="preserve">CVE-2025-53779</t>
  </si>
  <si>
    <t xml:space="preserve">Windows Server 2025 dMSA - privilege escalation (BadSuccessor)</t>
  </si>
  <si>
    <t xml:space="preserve">Delegated Managed Service Accounts kunnen via het attribuut msDS-ManagedAccountPrecededByLink aan een willekeurig bestaand account worden gekoppeld; wie een dMSA mag aanmaken of bewerken in een OU erft daarmee de rechten en sleutels van dat account, inclusief Domain Admins.</t>
  </si>
  <si>
    <t xml:space="preserve">Escalatie van beperkte OU-rechten naar elk account in het domein (alleen met minimaal een Windows Server 2025 DC).</t>
  </si>
  <si>
    <t xml:space="preserve">Controleer op Server 2025 DC's en de update van augustus 2025; inventariseer wie CreateChild/WriteProperty op dMSA-objecten heeft in OU's (BloodHound/Get-BadSuccessorOUPermissions).</t>
  </si>
  <si>
    <t xml:space="preserve">Installeer de update van 12 augustus 2025 op alle Server 2025 DC's; beperk dMSA-aanmaak tot Tier-0-beheerders; audit OU-rechten.</t>
  </si>
  <si>
    <t xml:space="preserve">Event 5137 (aanmaak msDS-DelegatedManagedServiceAccount) en 5136 op msDS-ManagedAccountPrecededByLink door niet-beheerders.</t>
  </si>
  <si>
    <t xml:space="preserve">CWE-23</t>
  </si>
  <si>
    <t xml:space="preserve">CVSS:3.1/AV:N/AC:L/PR:H/UI:N/S:U/C:H/I:H/A:H</t>
  </si>
  <si>
    <t xml:space="preserve">Windows Server 2025 (DC) builds &lt; 10.0.26100.4946</t>
  </si>
  <si>
    <t xml:space="preserve">Update van 12 augustus 2025 (KB5063878)</t>
  </si>
  <si>
    <t xml:space="preserve">Ja (publieke PoC/tooling)</t>
  </si>
  <si>
    <t xml:space="preserve">AV-AD-25, AV-AD-08</t>
  </si>
  <si>
    <t xml:space="preserve">Akamai (Yuval Gordon), mei 2025; CVSS-bron: CNA</t>
  </si>
  <si>
    <t xml:space="preserve">https://msrc.microsoft.com/update-guide/vulnerability/CVE-2025-53779; https://nvd.nist.gov/vuln/detail/CVE-2025-53779</t>
  </si>
  <si>
    <t xml:space="preserve">CVE-2021-36942</t>
  </si>
  <si>
    <t xml:space="preserve">Windows LSA spoofing - coerced authentication via MS-EFSR (PetitPotam)</t>
  </si>
  <si>
    <t xml:space="preserve">Via de EFSRPC-interface (OpenEncryptedFileRaw e.a.) kan een ongeauthenticeerde aanvaller een domain controller dwingen zich met het machineaccount te authenticeren bij een aanvallershost; de NTLM-authenticatie wordt gerelayed naar AD CS Web Enrollment (ESC8) of LDAP.</t>
  </si>
  <si>
    <t xml:space="preserve">Domain-controller-certificaat of DCSync-rechten via relay; volledige domeincompromittering zonder credentials.</t>
  </si>
  <si>
    <t xml:space="preserve">Controleer of de DC's de update van augustus 2021 hebben, of EFSRPC nog ongeauthenticeerd bereikbaar is (Coercer in check-mode) en of relay-doelen (AD CS HTTP zonder EPA, LDAP zonder signing) bestaan.</t>
  </si>
  <si>
    <t xml:space="preserve">Patch (augustus 2021) en pas KB5005413 toe: EPA en HTTPS-only op AD CS Web Enrollment/CES, NTLM uitschakelen voor IIS op de CA, LDAP/SMB signing afdwingen, RPC-filters voor EFSRPC.</t>
  </si>
  <si>
    <t xml:space="preserve">Event 4624/4776 met DC-machineaccount vanaf niet-DC-IP's; netwerkdetectie op EFSRPC-aanroepen naar DC's.</t>
  </si>
  <si>
    <t xml:space="preserve">Active Directory Attack - PetitPotam</t>
  </si>
  <si>
    <t xml:space="preserve">CVSS:3.1/AV:N/AC:L/PR:N/UI:N/S:U/C:H/I:N/A:N</t>
  </si>
  <si>
    <t xml:space="preserve">Windows Server 2008 t/m Server 2022 zonder update van 10 augustus 2021; coercion blijft deels mogelijk voor geauthenticeerde gebruikers</t>
  </si>
  <si>
    <t xml:space="preserve">Update van augustus 2021 + mitigaties KB5005413</t>
  </si>
  <si>
    <t xml:space="preserve">Ja (PetitPotam, Coercer, Impacket ntlmrelayx)</t>
  </si>
  <si>
    <t xml:space="preserve">AV-AD-14, AV-AD-09, AV-NET-03</t>
  </si>
  <si>
    <t xml:space="preserve">https://msrc.microsoft.com/update-guide/vulnerability/CVE-2021-36942; https://nvd.nist.gov/vuln/detail/CVE-2021-36942</t>
  </si>
  <si>
    <t xml:space="preserve">CVE-2021-34527</t>
  </si>
  <si>
    <t xml:space="preserve">Windows Print Spooler - remote code execution (PrintNightmare, met CVE-2021-1675)</t>
  </si>
  <si>
    <t xml:space="preserve">Een geauthenticeerde gebruiker kan via RpcAddPrinterDriverEx een kwaadaardige printerdriver (DLL) laten laden door de Print Spooler-service, lokaal of op afstand, met SYSTEM-rechten; op domain controllers met actieve spooler leidt dit direct tot domeincompromittering.</t>
  </si>
  <si>
    <t xml:space="preserve">SYSTEM op elke host met Print Spooler, inclusief DC's; laterale beweging en escalatie met een gewoon domeinaccount.</t>
  </si>
  <si>
    <t xml:space="preserve">Controleer of Print Spooler draait op DC's/servers (rpcdump/MS-RPRN), het patchniveau (juli 2021 of later) en de Point-and-Print-registrywaarden (NoWarningNoElevationOnInstall, UpdatePromptSettings = 0).</t>
  </si>
  <si>
    <t xml:space="preserve">Patch (juli 2021 e.v.), Print Spooler uitschakelen op DC's en servers die niet printen, Point and Print beperken via GPO, RestrictDriverInstallationToAdministrators = 1.</t>
  </si>
  <si>
    <t xml:space="preserve">Event 316/808 (PrintService) met onverwachte driverinstallaties; Sysmon op spoolsv.exe die DLL's laadt uit spool\drivers.</t>
  </si>
  <si>
    <t xml:space="preserve">T1068, T1210, T1547.012</t>
  </si>
  <si>
    <t xml:space="preserve">Active Directory Attack - PrintNightmare</t>
  </si>
  <si>
    <t xml:space="preserve">Alle Windows-versies met Print Spooler (Windows 7/Server 2008 t/m Windows 10 21H1/Server 2022) zonder update van 6-7 juli 2021</t>
  </si>
  <si>
    <t xml:space="preserve">Out-of-band update van 6 juli 2021 (KB5004945 e.a.) + registry-hardening</t>
  </si>
  <si>
    <t xml:space="preserve">Ja (publieke PoC's, Impacket, Metasploit)</t>
  </si>
  <si>
    <t xml:space="preserve">AV-AD-14, AV-HOST-01</t>
  </si>
  <si>
    <t xml:space="preserve">KEV; CVSS-bron: CNA; Verwante CVE's zonder eigen rij: CVE-2021-1675</t>
  </si>
  <si>
    <t xml:space="preserve">https://msrc.microsoft.com/update-guide/vulnerability/CVE-2021-34527; https://nvd.nist.gov/vuln/detail/CVE-2021-34527</t>
  </si>
  <si>
    <t xml:space="preserve">CVE-2019-1040</t>
  </si>
  <si>
    <t xml:space="preserve">Windows NTLM - MIC bypass / tampering (Drop the MIC)</t>
  </si>
  <si>
    <t xml:space="preserve">De Message Integrity Code van NTLM-berichten kon worden verwijderd zonder dat de server dit opmerkte, waardoor een aanvaller tijdens een relay signing-vlaggen kon uitschakelen en SMB-authenticatie naar LDAP(S) kon relayen ondanks LDAP signing/channel binding-eisen.</t>
  </si>
  <si>
    <t xml:space="preserve">NTLM-relay van SMB naar LDAP voor RBCD/DCSync-rechten; in combinatie met coercion domeincompromittering.</t>
  </si>
  <si>
    <t xml:space="preserve">Controleer of alle DC's en servers de update van juni 2019 hebben; test met ntlmrelayx --remove-mic alleen binnen RoE.</t>
  </si>
  <si>
    <t xml:space="preserve">Patch (juni 2019); dwing SMB/LDAP signing en EPA af; faseer NTLM uit.</t>
  </si>
  <si>
    <t xml:space="preserve">NTLM-authenticaties zonder MIC/afwijkende negotiate-vlaggen in netwerkdetectie; Event 4624 vanaf relay-hosts.</t>
  </si>
  <si>
    <t xml:space="preserve">T1557, T1550</t>
  </si>
  <si>
    <t xml:space="preserve">CWE-345</t>
  </si>
  <si>
    <t xml:space="preserve">CVSS:3.1/AV:N/AC:H/PR:N/UI:R/S:U/C:N/I:H/A:N</t>
  </si>
  <si>
    <t xml:space="preserve">Windows 7/Server 2008 R2 t/m Windows 10 1903/Server 2019 zonder update van 11 juni 2019</t>
  </si>
  <si>
    <t xml:space="preserve">Update van juni 2019</t>
  </si>
  <si>
    <t xml:space="preserve">Ja (Impacket ntlmrelayx)</t>
  </si>
  <si>
    <t xml:space="preserve">AV-NET-03, AV-AD-17</t>
  </si>
  <si>
    <t xml:space="preserve">Preempt/Fox-IT-onderzoek (Dirk-jan Mollema); CVSS-bron: CNA</t>
  </si>
  <si>
    <t xml:space="preserve">https://msrc.microsoft.com/update-guide/vulnerability/CVE-2019-1040; https://nvd.nist.gov/vuln/detail/CVE-2019-1040</t>
  </si>
  <si>
    <t xml:space="preserve">CVE-2025-33073</t>
  </si>
  <si>
    <t xml:space="preserve">Windows SMB client - NTLM reflection / privilege escalation</t>
  </si>
  <si>
    <t xml:space="preserve">Door een host via een DNS-naam met een speciaal marshalled target (bv. host1UWhRCAAAAAA...) naar een aanvallershost te laten authenticeren, kon de NTLM-authenticatie naar dezelfde host worden gereflecteerd en als SYSTEM worden gebruikt; alleen hosts zonder afgedwongen SMB signing zijn kwetsbaar.</t>
  </si>
  <si>
    <t xml:space="preserve">SYSTEM op elke Windows-host zonder verplichte SMB signing vanaf een laaggeprivilegieerd domeinaccount (coercion + reflectie).</t>
  </si>
  <si>
    <t xml:space="preserve">Controleer het patchniveau (juni 2025) en of SMB signing is afgedwongen (RequireSecuritySignature) op clients en servers; verifieer of gebruikers DNS-records mogen aanmaken (ADIDNS).</t>
  </si>
  <si>
    <t xml:space="preserve">Installeer de update van juni 2025, dwing SMB signing af op alle hosts (standaard in Windows 11 24H2/Server 2025), beperk dynamische DNS-registratie.</t>
  </si>
  <si>
    <t xml:space="preserve">Event 4624 type 3 met SYSTEM/machineaccount vanaf eigen IP; DNS-registraties met afwijkende hostnamen.</t>
  </si>
  <si>
    <t xml:space="preserve">T1187, T1557, T1068</t>
  </si>
  <si>
    <t xml:space="preserve">Windows 10/11 en Windows Server 2008 R2 t/m 2025 zonder update van 10 juni 2025 en zonder afgedwongen SMB signing</t>
  </si>
  <si>
    <t xml:space="preserve">Update van juni 2025 (bv. 10.0.19045.5965 / 10.0.22631.5472)</t>
  </si>
  <si>
    <t xml:space="preserve">Ja - KEV sinds 2025-10-20</t>
  </si>
  <si>
    <t xml:space="preserve">Ja (publieke PoC's)</t>
  </si>
  <si>
    <t xml:space="preserve">AV-NET-08, AV-AD-14, AV-NET-03</t>
  </si>
  <si>
    <t xml:space="preserve">KEV (2025-10-20); Synacktiv/RedTeam Pentesting; CVSS-bron: CNA</t>
  </si>
  <si>
    <t xml:space="preserve">https://msrc.microsoft.com/update-guide/vulnerability/CVE-2025-33073; https://nvd.nist.gov/vuln/detail/CVE-2025-33073</t>
  </si>
  <si>
    <t xml:space="preserve">CVE-2025-24054</t>
  </si>
  <si>
    <t xml:space="preserve">Windows NTLM - hash disclosure via .library-ms files</t>
  </si>
  <si>
    <t xml:space="preserve">Het uitpakken of zelfs alleen bekijken (Verkenner) van een gemanipuleerd .library-ms-bestand dat naar een SMB-pad verwijst laat Windows automatisch NTLM-authenticatie uitvoeren naar de aanvallersserver; de NetNTLMv2-hash kan offline gekraakt of gerelayed worden.</t>
  </si>
  <si>
    <t xml:space="preserve">Lekkage van gebruikershashes met minimale interactie; opstap naar relay en accountcompromittering; direct na publicatie misbruikt (o.a. tegen Poolse en Roemeense organisaties).</t>
  </si>
  <si>
    <t xml:space="preserve">Controleer het patchniveau (maart 2025) en of uitgaand SMB (445) naar internet geblokkeerd is; test (RoE) of een .library-ms-bestand een authenticatie naar een eigen listener uitlokt.</t>
  </si>
  <si>
    <t xml:space="preserve">Patch (maart 2025), blokkeer uitgaand SMB naar internet op de perimeter en host-firewall, beperk NTLM (Restrict NTLM: outgoing), mail-filtering op .library-ms/.lnk/.url in archieven.</t>
  </si>
  <si>
    <t xml:space="preserve">Alarmeer op uitgaande SMB-verbindingen naar externe IP's en op NTLM-authenticatie naar onbekende servers.</t>
  </si>
  <si>
    <t xml:space="preserve">T1187, T1566.001</t>
  </si>
  <si>
    <t xml:space="preserve">CWE-73</t>
  </si>
  <si>
    <t xml:space="preserve">Active Directory Attack - NTLM Hash Leak</t>
  </si>
  <si>
    <t xml:space="preserve">CVSS:3.1/AV:N/AC:L/PR:N/UI:R/S:U/C:H/I:N/A:N</t>
  </si>
  <si>
    <t xml:space="preserve">Windows 10/11 en Server 2008 R2 t/m 2025 zonder update van 11 maart 2025</t>
  </si>
  <si>
    <t xml:space="preserve">Update van maart 2025</t>
  </si>
  <si>
    <t xml:space="preserve">Ja - KEV sinds 2025-04-17</t>
  </si>
  <si>
    <t xml:space="preserve">Ja (in het wild misbruikt, publieke PoC)</t>
  </si>
  <si>
    <t xml:space="preserve">AV-NET-02, AV-NET-03, AV-SE-11</t>
  </si>
  <si>
    <t xml:space="preserve">KEV (2025-04-17); CVSS-bron: CNA</t>
  </si>
  <si>
    <t xml:space="preserve">https://msrc.microsoft.com/update-guide/vulnerability/CVE-2025-24054; https://nvd.nist.gov/vuln/detail/CVE-2025-24054</t>
  </si>
  <si>
    <t xml:space="preserve">CVE-2026-32202</t>
  </si>
  <si>
    <t xml:space="preserve">Windows Shell - NTLM credential coercion via LNK files (spoofing)</t>
  </si>
  <si>
    <t xml:space="preserve">Een gemanipuleerd LNK-bestand laat Windows Shell bij het weergeven in de Verkenner (zonder klikken) een verbinding opzetten naar een door de aanvaller gekozen UNC-pad, waarbij NTLM-credentials van de gebruiker lekken; in het wild misbruikt via phishingbijlagen en gedeelde mappen.</t>
  </si>
  <si>
    <t xml:space="preserve">Lekkage van NetNTLMv2-hashes voor offline kraken of relay zonder gebruikersinteractie buiten het openen van een map.</t>
  </si>
  <si>
    <t xml:space="preserve">Controleer het patchniveau (april 2026) en of uitgaand SMB/WebDAV naar internet is geblokkeerd; test (RoE) met een LNK dat naar een eigen listener verwijst.</t>
  </si>
  <si>
    <t xml:space="preserve">Installeer de update van april 2026, blokkeer uitgaand SMB/WebDAV naar internet, beperk NTLM-gebruik (Restrict NTLM), filter LNK-bijlagen.</t>
  </si>
  <si>
    <t xml:space="preserve">Alarmeer op NTLM-authenticatie naar onbekende hosts en op uitgaand SMB naar externe adressen.</t>
  </si>
  <si>
    <t xml:space="preserve">CVSS:3.1/AV:N/AC:L/PR:N/UI:R/S:U/C:L/I:N/A:N</t>
  </si>
  <si>
    <t xml:space="preserve">Windows 10/11 en Windows Server 2008 R2 t/m 2025 zonder update van 14 april 2026</t>
  </si>
  <si>
    <t xml:space="preserve">Update van april 2026 (bv. 10.0.19045.7548 / 10.0.22631.7376)</t>
  </si>
  <si>
    <t xml:space="preserve">Ja - KEV sinds 2026-04-28</t>
  </si>
  <si>
    <t xml:space="preserve">In het wild misbruikt (KEV); publieke details beperkt</t>
  </si>
  <si>
    <t xml:space="preserve">CVE-2025-24054, AV-SE-11, AV-NET-03</t>
  </si>
  <si>
    <t xml:space="preserve">KEV (2026-04-28); CVSS-bron: CNA</t>
  </si>
  <si>
    <t xml:space="preserve">https://msrc.microsoft.com/update-guide/vulnerability/CVE-2026-32202; https://nvd.nist.gov/vuln/detail/CVE-2026-32202</t>
  </si>
  <si>
    <t xml:space="preserve">CVE-2024-21410</t>
  </si>
  <si>
    <t xml:space="preserve">Microsoft Exchange Server - NTLM relay to Exchange (privilege escalation)</t>
  </si>
  <si>
    <t xml:space="preserve">Ongeauthenticeerde aanvallers konden gelekte of gecoerceerde NTLM-credentials van gebruikers relayen naar een on-premises Exchange-server (zonder Extended Protection for Authentication) en zo als die gebruiker handelen, inclusief mailbox-toegang en impersonatie.</t>
  </si>
  <si>
    <t xml:space="preserve">Mailboxovername en verdere escalatie binnen de Exchange-organisatie; gebruikt in gerichte aanvallen (Microsoft noemt actief misbruik).</t>
  </si>
  <si>
    <t xml:space="preserve">Controleer de Exchange-build (CU14 of hoger met EPA ingeschakeld) en of Extended Protection actief is op alle virtual directories (ExchangeExtendedProtectionManagement script).</t>
  </si>
  <si>
    <t xml:space="preserve">Installeer Exchange 2019 CU14 (EPA standaard aan) of schakel Extended Protection in op CU13/2016 CU23 met de november 2023 SU; faseer NTLM uit.</t>
  </si>
  <si>
    <t xml:space="preserve">Event 4624 met NTLM-logons op Exchange vanaf onverwachte bron-IP's; IIS-logs met afwijkende authenticatiepatronen.</t>
  </si>
  <si>
    <t xml:space="preserve">T1557, T1114.002</t>
  </si>
  <si>
    <t xml:space="preserve">CVSS:3.1/AV:N/AC:L/PR:N/UI:N/S:U/C:H/I:H/A:H</t>
  </si>
  <si>
    <t xml:space="preserve">Exchange Server 2016 CU23 en 2019 CU13/CU14 zonder februari 2024 SU of zonder Extended Protection</t>
  </si>
  <si>
    <t xml:space="preserve">Exchange 2019 CU14 (februari 2024) / SU februari 2024 met EPA ingeschakeld</t>
  </si>
  <si>
    <t xml:space="preserve">Ja - KEV sinds 2024-02-15</t>
  </si>
  <si>
    <t xml:space="preserve">In het wild misbruikt; relay-tooling publiek</t>
  </si>
  <si>
    <t xml:space="preserve">AV-NET-03, AV-AD-14, CVE-2021-26855</t>
  </si>
  <si>
    <t xml:space="preserve">KEV (2024-02-15); CVSS-bron: CNA</t>
  </si>
  <si>
    <t xml:space="preserve">https://msrc.microsoft.com/update-guide/vulnerability/CVE-2024-21410; https://nvd.nist.gov/vuln/detail/CVE-2024-21410</t>
  </si>
  <si>
    <t xml:space="preserve">CVE-2017-0144</t>
  </si>
  <si>
    <t xml:space="preserve">Windows SMBv1 - remote code execution (EternalBlue / MS17-010)</t>
  </si>
  <si>
    <t xml:space="preserve">Een kernel-pool-overflow in de SMBv1-server laat ongeauthenticeerde code-uitvoering als SYSTEM toe via poort 445; gebruikt door WannaCry en NotPetya en nog steeds aanwezig op legacy-systemen (Windows 7/2008/2003, embedded apparatuur).</t>
  </si>
  <si>
    <t xml:space="preserve">Volledige compromittering van de host en wormachtige verspreiding door het netwerk.</t>
  </si>
  <si>
    <t xml:space="preserve">Scan op SMBv1 en gebruik een niet-destructieve MS17-010-check (bv. nmap smb-vuln-ms17-010) binnen scope; exploitatie alleen op expliciet goedgekeurde systemen vanwege crashrisico.</t>
  </si>
  <si>
    <t xml:space="preserve">Installeer MS17-010, schakel SMBv1 uit (domeinbreed via GPO), vervang EOL-systemen, blokkeer 445 tussen werkplekken.</t>
  </si>
  <si>
    <t xml:space="preserve">IDS-signatures op EternalBlue-patronen; alarmeer op SMBv1-negotiatie en onverwachte lsass/spoolsv-crashes.</t>
  </si>
  <si>
    <t xml:space="preserve">T1210, T1570</t>
  </si>
  <si>
    <t xml:space="preserve">CWE-119</t>
  </si>
  <si>
    <t xml:space="preserve">Windows Vista/7/8.1/10 (t/m 1607), Server 2008/2008 R2/2012/2012 R2/2016 zonder MS17-010; Windows XP/2003 via aparte update</t>
  </si>
  <si>
    <t xml:space="preserve">MS17-010 (14 maart 2017), KB4012598 voor XP/2003 (mei 2017)</t>
  </si>
  <si>
    <t xml:space="preserve">Ja - KEV sinds 2022-02-10</t>
  </si>
  <si>
    <t xml:space="preserve">Ja (Metasploit, publieke exploits)</t>
  </si>
  <si>
    <t xml:space="preserve">AV-NET-18, AV-NET-21, AV-NET-04</t>
  </si>
  <si>
    <t xml:space="preserve">KEV (2022-02-10); CVSS-bron: ADP CISA-ADP</t>
  </si>
  <si>
    <t xml:space="preserve">https://www.exploit-db.com/exploits/42031/; https://www.exploit-db.com/exploits/42030/; https://nvd.nist.gov/vuln/detail/CVE-2017-0144</t>
  </si>
  <si>
    <t xml:space="preserve">CVE-2019-0708</t>
  </si>
  <si>
    <t xml:space="preserve">Windows Remote Desktop Services - pre-auth remote code execution (BlueKeep)</t>
  </si>
  <si>
    <t xml:space="preserve">Een use-after-free in de RDP-service (MS_T120-kanaal) laat een ongeauthenticeerde aanvaller code uitvoeren als SYSTEM op Windows 7/Server 2008 (R2) en ouder; wormable, exploitatie kan het systeem laten crashen.</t>
  </si>
  <si>
    <t xml:space="preserve">Volledige compromittering van legacy-hosts met RDP; verspreiding binnen het netwerk.</t>
  </si>
  <si>
    <t xml:space="preserve">Identificeer RDP-services op legacy-OS-versies en gebruik een niet-destructieve check (nmap rdp-vuln-ms12-020-achtige/rdpscan) binnen scope; geen exploitatie op productie zonder expliciete toestemming.</t>
  </si>
  <si>
    <t xml:space="preserve">Patch (mei 2019), schakel NLA in, verwijder RDP van internet en beperk intern tot beheerzones, vervang EOL-systemen.</t>
  </si>
  <si>
    <t xml:space="preserve">IDS-signatures op BlueKeep-handshakes; alarmeer op RDP-verbindingen zonder NLA naar legacy-hosts.</t>
  </si>
  <si>
    <t xml:space="preserve">T1210, T1133</t>
  </si>
  <si>
    <t xml:space="preserve">CWE-416</t>
  </si>
  <si>
    <t xml:space="preserve">Windows XP, Vista, 7, Server 2003, 2008, 2008 R2 zonder update van 14 mei 2019</t>
  </si>
  <si>
    <t xml:space="preserve">Update van mei 2019 (KB4499175 e.a.)</t>
  </si>
  <si>
    <t xml:space="preserve">Ja (Metasploit; instabiel)</t>
  </si>
  <si>
    <t xml:space="preserve">AV-NET-17, AV-NET-21</t>
  </si>
  <si>
    <t xml:space="preserve">KEV (2021-11-03); CVSS-bron: ADP CISA-ADP</t>
  </si>
  <si>
    <t xml:space="preserve">https://portal.msrc.microsoft.com/en-US/security-guidance/advisory/CVE-2019-0708; https://cert-portal.siemens.com/productcert/pdf/ssa-932041.pdf; https://nvd.nist.gov/vuln/detail/CVE-2019-0708</t>
  </si>
  <si>
    <t xml:space="preserve">CVE-2020-0796</t>
  </si>
  <si>
    <t xml:space="preserve">Windows SMBv3 compression - remote code execution / LPE (SMBGhost)</t>
  </si>
  <si>
    <t xml:space="preserve">Een integer-overflow in de SMBv3.1.1-compressie (srv2.sys) laat ongeauthenticeerde RCE als SYSTEM toe tegen SMB-servers en, via een kwaadaardige server, tegen SMB-clients; ook bruikbaar als lokale privilege escalation.</t>
  </si>
  <si>
    <t xml:space="preserve">Wormable compromittering van Windows 10 1903/1909-hosts; lokale escalatie naar SYSTEM.</t>
  </si>
  <si>
    <t xml:space="preserve">Controleer OS-build en patchniveau (maart 2020) en of SMB-compressie is uitgeschakeld (DisableCompression); gebruik alleen de niet-destructieve versiecheck.</t>
  </si>
  <si>
    <t xml:space="preserve">Installeer KB4551762 (maart 2020); als workaround compressie uitschakelen en 445 blokkeren.</t>
  </si>
  <si>
    <t xml:space="preserve">IDS-signatures op SMB-compressieheaders met afwijkende lengtes; alarmeer op srv2.sys-crashes.</t>
  </si>
  <si>
    <t xml:space="preserve">Windows 10 1903/1909 en Windows Server versie 1903/1909 (Core) zonder KB4551762</t>
  </si>
  <si>
    <t xml:space="preserve">KB4551762 (12 maart 2020)</t>
  </si>
  <si>
    <t xml:space="preserve">Ja (publieke RCE- en LPE-PoC's)</t>
  </si>
  <si>
    <t xml:space="preserve">AV-NET-18, AV-HOST-07</t>
  </si>
  <si>
    <t xml:space="preserve">https://portal.msrc.microsoft.com/en-US/security-guidance/advisory/CVE-2020-0796; http://packetstormsecurity.com/files/156731/CoronaBlue-SMBGhost-Microsoft-Windows-10-SMB-3.1.1-Proof-Of-Concept.html; https://nvd.nist.gov/vuln/detail/CVE-2020-0796</t>
  </si>
  <si>
    <t xml:space="preserve">CVE-2025-59287</t>
  </si>
  <si>
    <t xml:space="preserve">Windows Server Update Services (WSUS) - unauthenticated deserialization RCE</t>
  </si>
  <si>
    <t xml:space="preserve">Onveilige deserialisatie van een AuthorizationCookie in de WSUS-webservice laat een ongeauthenticeerde aanvaller code uitvoeren als SYSTEM op servers met de WSUS-rol (poorten 8530/8531); binnen dagen na de out-of-band-update actief misbruikt.</t>
  </si>
  <si>
    <t xml:space="preserve">Overname van de update-infrastructuur en daarmee potentieel van alle beheerde clients (kwaadaardige updates), plus credentials op de server.</t>
  </si>
  <si>
    <t xml:space="preserve">Identificeer WSUS-servers (8530/8531) en controleer op de out-of-band-update van 23 oktober 2025; controleer netwerkblootstelling (internet/werkplek-VLAN's).</t>
  </si>
  <si>
    <t xml:space="preserve">Installeer de out-of-band-update van 23 oktober 2025 (of later), beperk toegang tot 8530/8531 tot clients, overweeg migratie naar Intune/WUfB.</t>
  </si>
  <si>
    <t xml:space="preserve">Alarmeer op child-processen van wsusservice.exe/w3wp (cmd/powershell) en op verbindingen naar WSUS vanaf onbekende hosts.</t>
  </si>
  <si>
    <t xml:space="preserve">T1190, T1072</t>
  </si>
  <si>
    <t xml:space="preserve">Windows Server 2012 t/m 2025 met WSUS-rol zonder OOB-update van 23 oktober 2025</t>
  </si>
  <si>
    <t xml:space="preserve">OOB-update 23 oktober 2025 (bv. 6.3.9600.22826 / 10.0.14393.8524)</t>
  </si>
  <si>
    <t xml:space="preserve">Ja - KEV sinds 2025-10-24</t>
  </si>
  <si>
    <t xml:space="preserve">Ja (publieke PoC; in het wild misbruikt)</t>
  </si>
  <si>
    <t xml:space="preserve">AV-CLD-14, AV-NET-23</t>
  </si>
  <si>
    <t xml:space="preserve">KEV (2025-10-24); CVSS-bron: CNA</t>
  </si>
  <si>
    <t xml:space="preserve">https://msrc.microsoft.com/update-guide/vulnerability/CVE-2025-59287; https://nvd.nist.gov/vuln/detail/CVE-2025-59287</t>
  </si>
  <si>
    <t xml:space="preserve">CVE-2026-33824</t>
  </si>
  <si>
    <t xml:space="preserve">Windows IKE Extension (IKEEXT) - pre-auth remote code execution as SYSTEM</t>
  </si>
  <si>
    <t xml:space="preserve">Een double free in de Windows IKE-service (UDP 500/4500, actief op hosts met de IKEEXT-service, o.a. VPN-/RRAS-servers) laat een ongeauthenticeerde aanvaller code uitvoeren als SYSTEM; sinds augustus 2026 in het wild misbruikt.</t>
  </si>
  <si>
    <t xml:space="preserve">Volledige compromittering van hosts die IKE/IPsec accepteren, inclusief perimeter-VPN-servers op Windows.</t>
  </si>
  <si>
    <t xml:space="preserve">Inventariseer hosts met UDP 500/4500 open (RRAS, Always On VPN, IPsec-beleid) en controleer het patchniveau (april 2026 of later).</t>
  </si>
  <si>
    <t xml:space="preserve">Installeer de update van april 2026; beperk UDP 500/4500 tot noodzakelijke bronnen; schakel IKEEXT uit op hosts zonder IPsec-gebruik.</t>
  </si>
  <si>
    <t xml:space="preserve">Alarmeer op crashes/herstarts van de IKEEXT-service en op afwijkend IKE-verkeer vanaf internet.</t>
  </si>
  <si>
    <t xml:space="preserve">CWE-415</t>
  </si>
  <si>
    <t xml:space="preserve">Update van april 2026 (bv. 10.0.19045.7184 / 10.0.22631.6936)</t>
  </si>
  <si>
    <t xml:space="preserve">Ja - KEV sinds 2026-08-18</t>
  </si>
  <si>
    <t xml:space="preserve">In het wild misbruikt (KEV 2026-08-18)</t>
  </si>
  <si>
    <t xml:space="preserve">AV-EXT-05, AV-NET-17</t>
  </si>
  <si>
    <t xml:space="preserve">https://msrc.microsoft.com/update-guide/vulnerability/CVE-2026-33824; https://nvd.nist.gov/vuln/detail/CVE-2026-33824</t>
  </si>
  <si>
    <t xml:space="preserve">CVE-2013-4786</t>
  </si>
  <si>
    <t xml:space="preserve">IPMI 2.0 RAKP - remote password hash disclosure (BMC/iLO/iDRAC)</t>
  </si>
  <si>
    <t xml:space="preserve">Het RAKP-authenticatieprotocol van IPMI 2.0 stuurt een HMAC van het gebruikerswachtwoord naar elke client die een geldige gebruikersnaam opgeeft, waardoor het BMC-wachtwoord offline te kraken is; vaak gecombineerd met cipher 0 (geen authenticatie) en default accounts (ADMIN/ADMIN, root/calvin).</t>
  </si>
  <si>
    <t xml:space="preserve">Overname van de server via de BMC (console, virtual media, power) buiten het OS en EDR om.</t>
  </si>
  <si>
    <t xml:space="preserve">Scan UDP 623, enumereer IPMI-versie/cipher-suites en haal (met toestemming) RAKP-hashes op voor offline sterktebeoordeling; test default credentials.</t>
  </si>
  <si>
    <t xml:space="preserve">IPMI alleen in een geisoleerd OOB-beheernetwerk, sterke unieke wachtwoorden (20+ tekens), cipher 0 uit, firmware-updates, IPMI-over-LAN uit waar niet nodig.</t>
  </si>
  <si>
    <t xml:space="preserve">Alarmeer op IPMI-verkeer (UDP 623) vanaf niet-beheernetwerken.</t>
  </si>
  <si>
    <t xml:space="preserve">T1110.002, T1078.001</t>
  </si>
  <si>
    <t xml:space="preserve">CVSS:2.0/AV:N/AC:L/Au:N/C:C/I:N/A:N</t>
  </si>
  <si>
    <t xml:space="preserve">Alle IPMI 2.0-implementaties (ontwerpfout in de specificatie); mitigatie afhankelijk van leverancier</t>
  </si>
  <si>
    <t xml:space="preserve">Geen protocolfix; compenserende maatregelen en leverancier-firmware</t>
  </si>
  <si>
    <t xml:space="preserve">Ja (Metasploit ipmi_dumphashes)</t>
  </si>
  <si>
    <t xml:space="preserve">AV-NET-12, AV-NET-05</t>
  </si>
  <si>
    <t xml:space="preserve">Ontwerpfout IPMI 2.0-specificatie; CVSS-bron: NVD CVSSv2 (geen CVSSv3-score beschikbaar)</t>
  </si>
  <si>
    <t xml:space="preserve">https://community.rapid7.com/community/metasploit/blog/2013/07/02/a-penetration-testers-guide-to-ipmi; http://fish2.com/ipmi/remote-pw-cracking.html; https://nvd.nist.gov/vuln/detail/CVE-2013-4786</t>
  </si>
  <si>
    <t xml:space="preserve">CVE-2021-21972</t>
  </si>
  <si>
    <t xml:space="preserve">VMware vCenter Server - unauthenticated file upload RCE (vROps plugin)</t>
  </si>
  <si>
    <t xml:space="preserve">Het vSphere Client-plugin-endpoint /ui/vropspluginui/rest/services/uploadova accepteerde zonder authenticatie uploads met path traversal, waardoor een webshell of SSH-key op de vCenter-appliance geplaatst kon worden.</t>
  </si>
  <si>
    <t xml:space="preserve">Root op vCenter en daarmee controle over alle ESXi-hosts en VM's (inclusief DC's via VMDK-toegang).</t>
  </si>
  <si>
    <t xml:space="preserve">Controleer de vCenter-build (7.0 U1c / 6.7 U3l / 6.5 U3n of hoger) en of het plugin-endpoint zonder authenticatie antwoordt (GET geeft 405 i.p.v. 401 op kwetsbare versies).</t>
  </si>
  <si>
    <t xml:space="preserve">Update vCenter; als workaround de vROps-plugin uitschakelen (KB82374); vCenter alleen bereikbaar vanuit beheerzone.</t>
  </si>
  <si>
    <t xml:space="preserve">Alarmeer op verzoeken naar /ui/vropspluginui/ en op nieuwe bestanden in de vCenter-webroot.</t>
  </si>
  <si>
    <t xml:space="preserve">CWE-22, CWE-434</t>
  </si>
  <si>
    <t xml:space="preserve">vCenter Server 7.0 &lt; 7.0 U1c, 6.7 &lt; 6.7 U3l, 6.5 &lt; 6.5 U3n; Cloud Foundation 4.x &lt; 4.2, 3.x &lt; 3.10.1.2</t>
  </si>
  <si>
    <t xml:space="preserve">vCenter 7.0 U1c / 6.7 U3l / 6.5 U3n (VMSA-2021-0002)</t>
  </si>
  <si>
    <t xml:space="preserve">Ja (Metasploit, publieke PoC's)</t>
  </si>
  <si>
    <t xml:space="preserve">https://www.vmware.com/security/advisories/VMSA-2021-0002.html; http://packetstormsecurity.com/files/161590/VMware-vCenter-Server-7.0-Arbitrary-File-Upload.html; https://nvd.nist.gov/vuln/detail/CVE-2021-21972</t>
  </si>
  <si>
    <t xml:space="preserve">CVE-2024-37085</t>
  </si>
  <si>
    <t xml:space="preserve">VMware ESXi - Active Directory group authentication bypass (ESX Admins)</t>
  </si>
  <si>
    <t xml:space="preserve">ESXi-hosts gekoppeld aan AD geven automatisch volledige beheerrechten aan leden van een groep met de naam 'ESX Admins', ook als die groep na koppeling is verwijderd en opnieuw aangemaakt door een gebruiker met rechten om groepen te maken; ransomwaregroepen (Storm-0506, Akira, Black Basta) gebruikten dit om hypervisors te versleutelen.</t>
  </si>
  <si>
    <t xml:space="preserve">Volledige controle over ESXi-hosts en alle VM's vanaf beperkte AD-rechten.</t>
  </si>
  <si>
    <t xml:space="preserve">Controleer of ESXi-hosts AD-gekoppeld zijn, welke groep als admin-groep is geconfigureerd (Config.HostAgent.plugins.hostsvc.esxAdminsGroup) en wie in AD groepen mag aanmaken; controleer de ESXi-build.</t>
  </si>
  <si>
    <t xml:space="preserve">Update naar ESXi 8.0 U3; zet esxAdminsGroupAutoAdd op false en gebruik een beschermde, bestaande groep; beheer ESXi via vCenter met MFA.</t>
  </si>
  <si>
    <t xml:space="preserve">Alarmeer op aanmaak van groepen met de naam ESX Admins (Event 4727/4731) en op nieuwe AD-logons op ESXi.</t>
  </si>
  <si>
    <t xml:space="preserve">CWE-305</t>
  </si>
  <si>
    <t xml:space="preserve">CVSS:3.1/AV:N/AC:L/PR:H/UI:R/S:U/C:H/I:H/A:H</t>
  </si>
  <si>
    <t xml:space="preserve">ESXi 7.0 en 8.0 (&lt; ESXi80U3-24022510) met AD-integratie; Cloud Foundation 4.x/5.x</t>
  </si>
  <si>
    <t xml:space="preserve">ESXi 8.0 U3 (geen fix voor 7.0; workaround via advanced settings)</t>
  </si>
  <si>
    <t xml:space="preserve">Ja - KEV sinds 2024-07-30</t>
  </si>
  <si>
    <t xml:space="preserve">Ja (in het wild door ransomwaregroepen; triviaal)</t>
  </si>
  <si>
    <t xml:space="preserve">AV-NET-22, AV-AD-16</t>
  </si>
  <si>
    <t xml:space="preserve">KEV (2024-07-30); CVSS-bron: CNA</t>
  </si>
  <si>
    <t xml:space="preserve">https://support.broadcom.com/web/ecx/support-content-notification/-/external/content/SecurityAdvisories/0/24505; https://nvd.nist.gov/vuln/detail/CVE-2024-37085</t>
  </si>
  <si>
    <t xml:space="preserve">CVE-2025-22224</t>
  </si>
  <si>
    <t xml:space="preserve">VMware ESXi / Workstation - VMCI heap overflow (VM escape)</t>
  </si>
  <si>
    <t xml:space="preserve">Een TOCTOU-race in de VMCI-driver laat een aanvaller met lokale admin-rechten in een VM code uitvoeren in het VMX-proces op de hypervisor (VM escape); samen met CVE-2025-22225 (arbitrary write naar de kernel) en CVE-2025-22226 (infolek) als zero-day misbruikt.</t>
  </si>
  <si>
    <t xml:space="preserve">Ontsnapping uit een gecompromitteerde VM naar de ESXi-host en daarmee naar alle VM's op die host.</t>
  </si>
  <si>
    <t xml:space="preserve">Controleer de ESXi-/Workstation-build tegen VMSA-2025-0004 (ESXi80U3d-24585383, ESXi80U2d-24585300, ESXi70U3s-24585291); geen exploitatie op productie.</t>
  </si>
  <si>
    <t xml:space="preserve">Installeer de patches van 4 maart 2025 op ESXi, Workstation en Fusion/Cloud Foundation; isoleer multi-tenant VM's.</t>
  </si>
  <si>
    <t xml:space="preserve">Alarmeer op VMX-crashes en onverwachte processen op de ESXi-host.</t>
  </si>
  <si>
    <t xml:space="preserve">T1611, T1068</t>
  </si>
  <si>
    <t xml:space="preserve">CWE-367</t>
  </si>
  <si>
    <t xml:space="preserve">CVSS:3.1/AV:L/AC:L/PR:N/UI:N/S:C/C:H/I:H/A:H</t>
  </si>
  <si>
    <t xml:space="preserve">ESXi 7.0/8.0, Workstation 17.x &lt; 17.6.3, Fusion 13.x, Cloud Foundation 4.5.x/5.x, Telco Cloud</t>
  </si>
  <si>
    <t xml:space="preserve">VMSA-2025-0004 (4 maart 2025)</t>
  </si>
  <si>
    <t xml:space="preserve">Ja - KEV sinds 2025-03-04</t>
  </si>
  <si>
    <t xml:space="preserve">In het wild misbruikt (Microsoft Threat Intelligence); geen publieke PoC bekend</t>
  </si>
  <si>
    <t xml:space="preserve">KEV (2025-03-04); CVSS-bron: CNA; Verwante CVE's zonder eigen rij: CVE-2025-22225</t>
  </si>
  <si>
    <t xml:space="preserve">https://support.broadcom.com/web/ecx/support-content-notification/-/external/content/SecurityAdvisories/0/25390; https://nvd.nist.gov/vuln/detail/CVE-2025-22224</t>
  </si>
  <si>
    <t xml:space="preserve">CVE-2026-59310</t>
  </si>
  <si>
    <t xml:space="preserve">VMware vCenter - syslog server directory traversal RCE</t>
  </si>
  <si>
    <t xml:space="preserve">Een directory traversal in de syslog-ontvanger van vCenter laat een ongeauthenticeerde aanvaller met netwerktoegang bestanden wegschrijven buiten de bedoelde map en zo code uitvoeren op de appliance; sinds augustus 2026 in het wild misbruikt.</t>
  </si>
  <si>
    <t xml:space="preserve">Root op vCenter en controle over de volledige virtuele infrastructuur.</t>
  </si>
  <si>
    <t xml:space="preserve">Controleer de vCenter-build (9.1.0.0300, 9.0.2.0100 of 8.0 U3k en hoger) en of de syslog-poorten (514/1514) bereikbaar zijn vanuit niet-beheernetwerken.</t>
  </si>
  <si>
    <t xml:space="preserve">Update vCenter conform het Broadcom-advies (38017); beperk syslog-ontvangst tot bekende bronnen in de beheerzone.</t>
  </si>
  <si>
    <t xml:space="preserve">Alarmeer op syslog-berichten met pad-sequenties en op nieuwe bestanden/processen op de vCenter-appliance.</t>
  </si>
  <si>
    <t xml:space="preserve">CWE-22</t>
  </si>
  <si>
    <t xml:space="preserve">Directory Traversal</t>
  </si>
  <si>
    <t xml:space="preserve">vCenter 9.1.x &lt; 9.1.0.0300, 9.0.x &lt; 9.0.2.0100, 8.0 &lt; 8.0 U3k; Cloud Foundation 5.x/9.x; Telco Cloud</t>
  </si>
  <si>
    <t xml:space="preserve">vCenter 9.1.0.0300 / 9.0.2.0100 / 8.0 U3k (juli-augustus 2026)</t>
  </si>
  <si>
    <t xml:space="preserve">AV-NET-22, CVE-2021-21972</t>
  </si>
  <si>
    <t xml:space="preserve">https://support.broadcom.com/web/ecx/support-content-notification/-/external/content/SecurityAdvisories/0/38017; https://nvd.nist.gov/vuln/detail/CVE-2026-59310</t>
  </si>
  <si>
    <t xml:space="preserve">CVE-2025-32433</t>
  </si>
  <si>
    <t xml:space="preserve">Erlang/OTP SSH - pre-authentication remote code execution</t>
  </si>
  <si>
    <t xml:space="preserve">De SSH-server in Erlang/OTP verwerkte connection-protocol-berichten voor authenticatie, waardoor een ongeauthenticeerde aanvaller commando's kon uitvoeren met de rechten van de SSH-daemon (vaak root); raakt o.a. Cisco-, Ericsson- en OT-producten die OTP-SSH embedden.</t>
  </si>
  <si>
    <t xml:space="preserve">Volledige compromittering van netwerk- en telecomapparatuur en van applicaties met een ingebouwde Erlang SSH-server.</t>
  </si>
  <si>
    <t xml:space="preserve">Fingerprint SSH-banners op Erlang/OTP (bv. 'Erlang/OTP') en controleer de OTP-versie; vendor-advisories (Cisco) raadplegen voor embedded gebruik.</t>
  </si>
  <si>
    <t xml:space="preserve">Update naar OTP-27.3.3 / 26.2.5.11 / 25.3.2.20 of de vendor-fix; schakel de Erlang SSH-server uit of beperk toegang via firewall.</t>
  </si>
  <si>
    <t xml:space="preserve">Alarmeer op SSH-sessies met channel-/exec-berichten voor voltooide authenticatie (IDS) en op onverwachte processen vanuit beam.smp.</t>
  </si>
  <si>
    <t xml:space="preserve">Erlang/OTP &lt; OTP-27.3.3, &lt; OTP-26.2.5.11, &lt; OTP-25.3.2.20 (ssh-applicatie); embedded in o.a. Cisco ConfD/NSO</t>
  </si>
  <si>
    <t xml:space="preserve">OTP-27.3.3 / 26.2.5.11 / 25.3.2.20 (16 april 2025)</t>
  </si>
  <si>
    <t xml:space="preserve">Ja - KEV sinds 2025-06-09</t>
  </si>
  <si>
    <t xml:space="preserve">Ja (publieke PoC's binnen dagen)</t>
  </si>
  <si>
    <t xml:space="preserve">AV-NET-17, AV-NET-12</t>
  </si>
  <si>
    <t xml:space="preserve">KEV (2025-06-09); CVSS-bron: CNA</t>
  </si>
  <si>
    <t xml:space="preserve">https://github.com/erlang/otp/security/advisories/GHSA-37cp-fgq5-7wc2; https://github.com/erlang/otp/commit/0fcd9c56524b28615e8ece65fc0c3f66ef6e4c12; https://nvd.nist.gov/vuln/detail/CVE-2025-32433</t>
  </si>
  <si>
    <t xml:space="preserve">CVE-2018-0171</t>
  </si>
  <si>
    <t xml:space="preserve">Cisco IOS / IOS XE Smart Install - unauthenticated RCE / DoS</t>
  </si>
  <si>
    <t xml:space="preserve">De Smart Install-client (TCP 4786) valideert pakketten onvoldoende, waardoor een ongeauthenticeerde aanvaller een buffer overflow kan triggeren voor DoS of code-uitvoering; nog in 2024-2025 misbruikt door statelijke actoren (Salt Typhoon/Static Tundra) om configuraties te stelen van ongepatchte switches.</t>
  </si>
  <si>
    <t xml:space="preserve">Overname of uitval van switches, configuratie- en credential-diefstal (TACACS/SNMP), persistente netwerktoegang.</t>
  </si>
  <si>
    <t xml:space="preserve">Scan op TCP 4786, controleer of Smart Install actief is (show vstack config) en of de IOS-versie gepatcht is.</t>
  </si>
  <si>
    <t xml:space="preserve">Patch IOS/IOS XE en schakel Smart Install uit (no vstack); beheerverkeer alleen vanuit beheerzone; roteer credentials bij vermoeden van misbruik.</t>
  </si>
  <si>
    <t xml:space="preserve">Alarmeer op verbindingen naar TCP 4786 en op onverwachte configuratie-exports (TFTP) vanaf switches.</t>
  </si>
  <si>
    <t xml:space="preserve">T1190, T1602.002</t>
  </si>
  <si>
    <t xml:space="preserve">CVSS:3.1/AV:N/AC:L/PR:N/UI:N/S:U/C:N/I:N/A:H</t>
  </si>
  <si>
    <t xml:space="preserve">Cisco IOS en IOS XE met Smart Install-client ingeschakeld (standaard op veel Catalyst-switches) zonder fix van maart 2018</t>
  </si>
  <si>
    <t xml:space="preserve">Cisco-advies cisco-sa-20180328-smi2; no vstack</t>
  </si>
  <si>
    <t xml:space="preserve">Ja (publieke PoC's; Metasploit-module voor config-dump)</t>
  </si>
  <si>
    <t xml:space="preserve">AV-NET-12, AV-NET-21</t>
  </si>
  <si>
    <t xml:space="preserve">KEV (2021-11-03); CISA-advies 2025 over Static Tundra; CVSS-bron: ADP CISA-ADP</t>
  </si>
  <si>
    <t xml:space="preserve">https://ics-cert.us-cert.gov/advisories/ICSA-18-107-04; http://www.securitytracker.com/id/1040580; https://nvd.nist.gov/vuln/detail/CVE-2018-0171</t>
  </si>
  <si>
    <t xml:space="preserve">CVE-2025-20352</t>
  </si>
  <si>
    <t xml:space="preserve">Cisco IOS / IOS XE SNMP - stack overflow (DoS / RCE as root)</t>
  </si>
  <si>
    <t xml:space="preserve">Een stack overflow in de SNMP-subsysteem van IOS/IOS XE laat een aanvaller met een (read-only) community string of SNMPv3-credentials het apparaat laten herstarten; met privilege-15-credentials is code-uitvoering als root mogelijk. Zero-day misbruikt na diefstal van lokale admin-credentials.</t>
  </si>
  <si>
    <t xml:space="preserve">Uitval van netwerkapparatuur met alleen een community string; rootkit-installatie (Operation Zero Disco) bij gecompromitteerde beheerders.</t>
  </si>
  <si>
    <t xml:space="preserve">Inventariseer SNMP-blootstelling en community strings (public/private) op Cisco-apparatuur en controleer de IOS/IOS XE-versie tegen het Cisco-advies van september 2025.</t>
  </si>
  <si>
    <t xml:space="preserve">Patch conform cisco-sa-snmp-x4LPhte; beperk SNMP tot beheerbronnen met views/ACL's, gebruik SNMPv3 met authPriv, verwijder default community strings.</t>
  </si>
  <si>
    <t xml:space="preserve">Alarmeer op onverwachte herstarts van netwerkapparatuur en op SNMP-verkeer van onbekende bronnen.</t>
  </si>
  <si>
    <t xml:space="preserve">T1190, T1499</t>
  </si>
  <si>
    <t xml:space="preserve">CWE-121</t>
  </si>
  <si>
    <t xml:space="preserve">CVSS:3.1/AV:N/AC:L/PR:L/UI:N/S:C/C:N/I:N/A:H</t>
  </si>
  <si>
    <t xml:space="preserve">Alle IOS/IOS XE-versies met SNMP ingeschakeld voor de fix van september 2025 (ook Meraki MS390 / Catalyst 9300 met Meraki-OS)</t>
  </si>
  <si>
    <t xml:space="preserve">Gefixte releases volgens Cisco Software Checker (advies september 2025)</t>
  </si>
  <si>
    <t xml:space="preserve">Ja - KEV sinds 2025-09-29</t>
  </si>
  <si>
    <t xml:space="preserve">In het wild misbruikt (KEV 2025-09-29)</t>
  </si>
  <si>
    <t xml:space="preserve">AV-NET-09, AV-NET-12</t>
  </si>
  <si>
    <t xml:space="preserve">https://sec.cloudapps.cisco.com/security/center/content/CiscoSecurityAdvisory/cisco-sa-snmp-x4LPhte; https://nvd.nist.gov/vuln/detail/CVE-2025-20352</t>
  </si>
  <si>
    <t xml:space="preserve">CVE-2026-76460</t>
  </si>
  <si>
    <t xml:space="preserve">Cisco Identity Services Engine (ISE) - unauthenticated API authentication bypass (ook CVE-2025-20281/20337 RCE)</t>
  </si>
  <si>
    <t xml:space="preserve">Een API-endpoint van Cisco ISE controleert authenticatie onvoldoende, waardoor een ongeauthenticeerde aanvaller op afstand beheerderstoegang tot de ISE-webinterface verkrijgt; in 2025 waren vergelijkbare API-fouten (CVE-2025-20281/20337) al goed voor ongeauthenticeerde root-RCE.</t>
  </si>
  <si>
    <t xml:space="preserve">Overname van de NAC-/RADIUS-infrastructuur: uitschakelen van netwerktoegangscontrole, uitlezen van AD-/RADIUS-credentials en certificaten, laterale beweging.</t>
  </si>
  <si>
    <t xml:space="preserve">Controleer de ISE-versie en het patchniveau tegen het Cisco-advies van september 2026 en of de admin-API/-GUI bereikbaar is buiten de beheerzone.</t>
  </si>
  <si>
    <t xml:space="preserve">Installeer de Cisco-patches (september 2026 resp. juli 2025); beperk de ISE-beheerinterface tot de beheerzone; roteer credentials bij compromittering.</t>
  </si>
  <si>
    <t xml:space="preserve">Alarmeer op nieuwe admin-sessies/API-calls zonder voorafgaande login en op configuratiewijzigingen buiten changevensters.</t>
  </si>
  <si>
    <t xml:space="preserve">A03:2025, A07:2025</t>
  </si>
  <si>
    <t xml:space="preserve">T1190, T1078</t>
  </si>
  <si>
    <t xml:space="preserve">CWE-648</t>
  </si>
  <si>
    <t xml:space="preserve">Cisco ISE 3.1 (p8-p10), 3.2 (p7), 3.3 (p1-p6), 3.4 (incl. p1); ISE-PIC 3.4/3.5</t>
  </si>
  <si>
    <t xml:space="preserve">Cisco-advies cisco-sa-ISE-ABP-VNSW7Tn5 (september 2026)</t>
  </si>
  <si>
    <t xml:space="preserve">Ja - KEV sinds 2026-09-16</t>
  </si>
  <si>
    <t xml:space="preserve">In het wild misbruikt (KEV 2026-09-16)</t>
  </si>
  <si>
    <t xml:space="preserve">KEV; CVSS-bron: CNA; Verwante CVE's zonder eigen rij: CVE-2025-20281, CVE-2025-20337</t>
  </si>
  <si>
    <t xml:space="preserve">https://sec.cloudapps.cisco.com/security/center/content/CiscoSecurityAdvisory/cisco-sa-ISE-ABP-VNSW7Tn5; https://nvd.nist.gov/vuln/detail/CVE-2026-76460</t>
  </si>
  <si>
    <t xml:space="preserve">CVE-2024-40711</t>
  </si>
  <si>
    <t xml:space="preserve">Veeam Backup &amp; Replication - unauthenticated deserialization RCE</t>
  </si>
  <si>
    <t xml:space="preserve">Onveilige deserialisatie in de Veeam Backup &amp; Replication-service (TCP 9401 e.a.) laat een ongeauthenticeerde aanvaller code uitvoeren op de backupserver; binnen weken gebruikt door ransomwaregroepen (Akira, Fog, Frag) om backups te verwijderen en credentials te stelen.</t>
  </si>
  <si>
    <t xml:space="preserve">Verwijderen/versleutelen van backups, diefstal van opgeslagen credentials (vaak domain admin) en volledige compromittering van de backupinfrastructuur.</t>
  </si>
  <si>
    <t xml:space="preserve">Controleer de VBR-versie (12.2.0.334 of hoger) en of de Veeam-services bereikbaar zijn vanuit werkplek-VLAN's; geen exploitatie op productie.</t>
  </si>
  <si>
    <t xml:space="preserve">Update naar Veeam Backup &amp; Replication 12.2.0.334 (september 2024) of hoger; isoleer de backupserver, immutable backups, MFA op de console.</t>
  </si>
  <si>
    <t xml:space="preserve">Alarmeer op child-processen van Veeam.Backup.Service.exe en op verwijdering van backup-repositories/jobs.</t>
  </si>
  <si>
    <t xml:space="preserve">T1190, T1490</t>
  </si>
  <si>
    <t xml:space="preserve">CVSS:3.0/AV:N/AC:L/PR:N/UI:N/S:U/C:H/I:H/A:H</t>
  </si>
  <si>
    <t xml:space="preserve">Veeam Backup &amp; Replication 12.1.2.172 en eerder (12.x)</t>
  </si>
  <si>
    <t xml:space="preserve">12.2.0.334 (4 september 2024)</t>
  </si>
  <si>
    <t xml:space="preserve">Ja - KEV sinds 2024-10-17</t>
  </si>
  <si>
    <t xml:space="preserve">Ja (publieke PoC; in het wild door ransomware)</t>
  </si>
  <si>
    <t xml:space="preserve">KEV (2024-10-17); CVSS-bron: CNA</t>
  </si>
  <si>
    <t xml:space="preserve">https://www.veeam.com/kb4649; https://nvd.nist.gov/vuln/detail/CVE-2024-40711</t>
  </si>
  <si>
    <t xml:space="preserve">CVE-2023-27350</t>
  </si>
  <si>
    <t xml:space="preserve">PaperCut NG/MF - authentication bypass to RCE as SYSTEM (ook CVE-2026-82078)</t>
  </si>
  <si>
    <t xml:space="preserve">Via de SetupCompleted-pagina kon de authenticatie van de PaperCut-beheerinterface (9191/9192) worden omzeild; met admin-toegang voert een aanvaller via scripting/print-scripts commando's uit als SYSTEM. In 2026 volgden nieuwe PaperCut-kwetsbaarheden (CVE-2026-81578 auth bypass, CVE-2026-82078 class loading RCE) die eveneens in het wild zijn misbruikt.</t>
  </si>
  <si>
    <t xml:space="preserve">Overname van de printserver (vaak domein-gekoppeld met service-accounts), initial access voor ransomware (Bl00dy, Clop).</t>
  </si>
  <si>
    <t xml:space="preserve">Controleer de PaperCut-versie (20.1.7 / 21.2.11 / 22.0.9 of hoger; voor 2026-CVE's 24.1.10 / 25.0.13 / 26.0.5) en of de beheerinterface vanaf werkplekken of internet bereikbaar is.</t>
  </si>
  <si>
    <t xml:space="preserve">Update PaperCut; beperk toegang tot de beheerinterface tot beheerders; draai de service onder een least-privilege account.</t>
  </si>
  <si>
    <t xml:space="preserve">Alarmeer op child-processen van pc-app.exe (cmd/powershell) en op logins op de PaperCut-console vanaf onbekende adressen.</t>
  </si>
  <si>
    <t xml:space="preserve">PaperCut NG/MF 8.0 t/m 22.0.8 (CVE-2023-27350); PaperCut MF/NG &lt; 24.1.10, 25.0.0-25.0.12, 26.0.0-26.0.4 (CVE-2026-82078)</t>
  </si>
  <si>
    <t xml:space="preserve">20.1.7 / 21.2.11 / 22.0.9 (maart 2023); 24.1.10 / 25.0.13 / 26.0.5 (augustus 2026)</t>
  </si>
  <si>
    <t xml:space="preserve">Ja - KEV sinds 2023-04-21</t>
  </si>
  <si>
    <t xml:space="preserve">KEV (2023-04-21; 2026-08-28); CVSS-bron: CNA; Verwante CVE's zonder eigen rij: CVE-2026-82078</t>
  </si>
  <si>
    <t xml:space="preserve">https://www.zerodayinitiative.com/advisories/ZDI-23-233/; https://www.papercut.com/kb/Main/PO-1216-and-PO-1219; https://nvd.nist.gov/vuln/detail/CVE-2023-27350</t>
  </si>
  <si>
    <t xml:space="preserve">CVE-2025-14847</t>
  </si>
  <si>
    <t xml:space="preserve">MongoDB Server - unauthenticated heap memory disclosure via zlib header (MongoBleed)</t>
  </si>
  <si>
    <t xml:space="preserve">Inconsistente lengtevelden in zlib-gecomprimeerde protocolheaders laten een ongeauthenticeerde client ongeinitialiseerd heap-geheugen van de MongoDB-server uitlezen, waarin credentials, query's en documenten kunnen staan; alle versies sinds 3.6 getroffen, actief misbruikt.</t>
  </si>
  <si>
    <t xml:space="preserve">Lekkage van gevoelige data en authenticatiemateriaal uit het geheugen van databaseservers zonder credentials.</t>
  </si>
  <si>
    <t xml:space="preserve">Inventariseer MongoDB-instanties (27017) en versies; controleer of compressie (zlib) is ingeschakeld en of de server vanaf niet-applicatiehosts bereikbaar is.</t>
  </si>
  <si>
    <t xml:space="preserve">Update naar 8.2.3 / 8.0.17 / 7.0.28 / 6.0.27 / 5.0.32 / 4.4.30; schakel zlib-compressie uit als workaround; beperk netwerktoegang tot applicatieservers.</t>
  </si>
  <si>
    <t xml:space="preserve">Alarmeer op verbindingen naar MongoDB vanaf onbekende hosts en op afwijkende compressie-headers (IDS).</t>
  </si>
  <si>
    <t xml:space="preserve">T1190, T1005</t>
  </si>
  <si>
    <t xml:space="preserve">CWE-130</t>
  </si>
  <si>
    <t xml:space="preserve">MongoDB Server 3.6 t/m 8.2.2 (alle versies met zlib-compressie)</t>
  </si>
  <si>
    <t xml:space="preserve">8.2.3 / 8.0.17 / 7.0.28 / 6.0.27 / 5.0.32 / 4.4.30 (december 2025)</t>
  </si>
  <si>
    <t xml:space="preserve">Ja - KEV sinds 2025-12-29</t>
  </si>
  <si>
    <t xml:space="preserve">Ja (publieke PoC's; in het wild misbruikt)</t>
  </si>
  <si>
    <t xml:space="preserve">KEV (2025-12-29); CVSS-bron: CNA</t>
  </si>
  <si>
    <t xml:space="preserve">https://jira.mongodb.org/browse/SERVER-115508; https://nvd.nist.gov/vuln/detail/CVE-2025-14847</t>
  </si>
  <si>
    <t xml:space="preserve">CVE-2025-49844</t>
  </si>
  <si>
    <t xml:space="preserve">Redis Lua - use-after-free remote code execution (RediShell)</t>
  </si>
  <si>
    <t xml:space="preserve">Een 13 jaar oude use-after-free in de Lua-interpreter van Redis laat een geauthenticeerde client (of iedereen bij een Redis zonder wachtwoord, de standaard) via een script de sandbox verlaten en native code uitvoeren op de host.</t>
  </si>
  <si>
    <t xml:space="preserve">RCE op cache-/databaseservers; diefstal van sessies, credentials en pivot binnen de omgeving. Honderdduizenden Redis-instanties stonden zonder authenticatie aan internet.</t>
  </si>
  <si>
    <t xml:space="preserve">Inventariseer Redis-instanties (6379), controleer versie (&lt; 8.2.2 kwetsbaar), authenticatie (requirepass/ACL) en of EVAL/EVALSHA voor clients toegestaan is.</t>
  </si>
  <si>
    <t xml:space="preserve">Update naar Redis 8.2.2 (of 7.4.6 / 7.2.11 / 6.2.20); beperk EVAL/EVALSHA/FUNCTION via ACL's; authenticatie en netwerkisolatie verplicht.</t>
  </si>
  <si>
    <t xml:space="preserve">Alarmeer op EVAL-commando's van onverwachte clients en op child-processen van redis-server.</t>
  </si>
  <si>
    <t xml:space="preserve">CVSS:3.1/AV:N/AC:L/PR:L/UI:N/S:C/C:H/I:H/A:H</t>
  </si>
  <si>
    <t xml:space="preserve">Alle Redis-versies met Lua-scripting t/m 8.2.1</t>
  </si>
  <si>
    <t xml:space="preserve">Redis 8.2.2 / 7.4.6 / 7.2.11 / 6.2.20 (3 oktober 2025)</t>
  </si>
  <si>
    <t xml:space="preserve">Ja (details publiek; exploitatie vereist Lua-toegang)</t>
  </si>
  <si>
    <t xml:space="preserve">Wiz Research; CVSS-bron: CNA</t>
  </si>
  <si>
    <t xml:space="preserve">https://github.com/redis/redis/security/advisories/GHSA-4789-qfc9-5f9q; https://github.com/redis/redis/commit/d5728cb5795c966c5b5b1e0f0ac576a7e69af539; https://nvd.nist.gov/vuln/detail/CVE-2025-49844</t>
  </si>
  <si>
    <t xml:space="preserve">CVE-2024-6387</t>
  </si>
  <si>
    <t xml:space="preserve">OpenSSH server - signal handler race condition RCE (regreSSHion)</t>
  </si>
  <si>
    <t xml:space="preserve">Een regressie van CVE-2006-5051 in sshd (glibc-Linux) laat een ongeauthenticeerde aanvaller via een race in de SIGALRM-handler code uitvoeren als root; exploitatie vereist veel pogingen (uren) en is op 64-bit systemen in de praktijk moeilijk, maar scanners rapporteren het breed.</t>
  </si>
  <si>
    <t xml:space="preserve">Theoretisch root-RCE op internet-exposed SSH-servers; in de praktijk vooral DoS door de vele verbindingen.</t>
  </si>
  <si>
    <t xml:space="preserve">Fingerprint de OpenSSH-versie (8.5p1 t/m 9.7p1 kwetsbaar; distro-backports controleren) en LoginGraceTime; exploitatie is niet realistisch binnen een pentest.</t>
  </si>
  <si>
    <t xml:space="preserve">Update naar OpenSSH 9.8p1 of de distro-patch; als workaround LoginGraceTime 0 (met DoS-risico) en SSH niet direct aan internet.</t>
  </si>
  <si>
    <t xml:space="preserve">Alarmeer op grote aantallen onvoltooide SSH-verbindingen vanaf een bron.</t>
  </si>
  <si>
    <t xml:space="preserve">CWE-364</t>
  </si>
  <si>
    <t xml:space="preserve">CVSS:3.1/AV:N/AC:H/PR:N/UI:N/S:U/C:H/I:H/A:H</t>
  </si>
  <si>
    <t xml:space="preserve">OpenSSH 8.5p1 t/m 9.7p1 op glibc-gebaseerd Linux (en &lt; 4.4p1); OpenBSD niet kwetsbaar</t>
  </si>
  <si>
    <t xml:space="preserve">OpenSSH 9.8p1 (1 juli 2024) of distro-backport</t>
  </si>
  <si>
    <t xml:space="preserve">Ja (PoC's; onbetrouwbaar)</t>
  </si>
  <si>
    <t xml:space="preserve">Qualys TRU; niet in KEV; CVSS-bron: CNA</t>
  </si>
  <si>
    <t xml:space="preserve">https://access.redhat.com/errata/RHSA-2024:4312; https://access.redhat.com/errata/RHSA-2024:4340; https://nvd.nist.gov/vuln/detail/CVE-2024-6387</t>
  </si>
  <si>
    <t xml:space="preserve">CVE-2014-0160</t>
  </si>
  <si>
    <t xml:space="preserve">OpenSSL TLS heartbeat - memory disclosure (Heartbleed)</t>
  </si>
  <si>
    <t xml:space="preserve">Een buffer over-read in de TLS/DTLS-heartbeat-extensie van OpenSSL 1.0.1-1.0.1f laat een ongeauthenticeerde client tot 64 KB servergeheugen per verzoek uitlezen, inclusief private keys, sessiecookies en wachtwoorden; nog aanwezig op oude appliances, IoT en embedded systemen.</t>
  </si>
  <si>
    <t xml:space="preserve">Diefstal van private keys en credentials; ontsleuteling en impersonatie van de dienst.</t>
  </si>
  <si>
    <t xml:space="preserve">Scan TLS-services met een heartbleed-check (nmap ssl-heartbleed / testssl.sh) en identificeer de OpenSSL-versie van appliances.</t>
  </si>
  <si>
    <t xml:space="preserve">Update OpenSSL (1.0.1g+ / 1.0.2+), vervang certificaten en roteer credentials na patchen, vervang EOL-apparatuur.</t>
  </si>
  <si>
    <t xml:space="preserve">IDS-signatures op heartbeat-verzoeken met afwijkende lengte.</t>
  </si>
  <si>
    <t xml:space="preserve">A03:2025, A04:2025</t>
  </si>
  <si>
    <t xml:space="preserve">T1040, T1552</t>
  </si>
  <si>
    <t xml:space="preserve">CWE-125</t>
  </si>
  <si>
    <t xml:space="preserve">OpenSSL 1.0.1 t/m 1.0.1f en 1.0.2-beta (2012-2014) en producten die deze embedden</t>
  </si>
  <si>
    <t xml:space="preserve">OpenSSL 1.0.1g (7 april 2014)</t>
  </si>
  <si>
    <t xml:space="preserve">Ja - KEV sinds 2022-05-04</t>
  </si>
  <si>
    <t xml:space="preserve">Ja (Metasploit, publieke scanners)</t>
  </si>
  <si>
    <t xml:space="preserve">AV-WEB-20, AV-NET-21</t>
  </si>
  <si>
    <t xml:space="preserve">KEV (2022-05-04); CVSS-bron: ADP CISA-ADP</t>
  </si>
  <si>
    <t xml:space="preserve">https://support.f5.com/kb/en-us/solutions/public/15000/100/sol15159.html?sr=36517217; http://www.securitytracker.com/id/1030077; https://nvd.nist.gov/vuln/detail/CVE-2014-0160</t>
  </si>
  <si>
    <t xml:space="preserve">CVE-2014-6271</t>
  </si>
  <si>
    <t xml:space="preserve">GNU Bash - environment variable code injection (Shellshock)</t>
  </si>
  <si>
    <t xml:space="preserve">Bash voerde code uit die na een functiedefinitie in een omgevingsvariabele stond; via CGI-scripts, DHCP-clients, SSH ForceCommand en andere paden waarbij invoer in omgevingsvariabelen terechtkomt leidt dit tot ongeauthenticeerde RCE. Nog aanwezig op oude appliances en embedded Linux.</t>
  </si>
  <si>
    <t xml:space="preserve">Code-uitvoering als de webserver-/dienstgebruiker; in de praktijk vaak root op appliances.</t>
  </si>
  <si>
    <t xml:space="preserve">Zoek CGI-endpoints en apparaten met oude Bash; test met een onschuldige payload in User-Agent/Referer (bv. echo van een marker) binnen scope.</t>
  </si>
  <si>
    <t xml:space="preserve">Update Bash (incl. CVE-2014-7169 vervolgfix), vervang EOL-apparatuur, vermijd CGI.</t>
  </si>
  <si>
    <t xml:space="preserve">IDS/WAF-signatures op '() { :;};' in headers.</t>
  </si>
  <si>
    <t xml:space="preserve">A03:2025, A05:2025</t>
  </si>
  <si>
    <t xml:space="preserve">T1190, T1059.004</t>
  </si>
  <si>
    <t xml:space="preserve">GNU Bash t/m 4.3 (patches voor september 2014) en producten die het embedden</t>
  </si>
  <si>
    <t xml:space="preserve">Bash-patches van 24-27 september 2014 (ook CVE-2014-7169)</t>
  </si>
  <si>
    <t xml:space="preserve">Ja - KEV sinds 2022-01-28</t>
  </si>
  <si>
    <t xml:space="preserve">Ja (Metasploit, triviaal)</t>
  </si>
  <si>
    <t xml:space="preserve">AV-WEB-04, AV-NET-21</t>
  </si>
  <si>
    <t xml:space="preserve">KEV (2022-01-28); CVSS-bron: ADP CISA-ADP</t>
  </si>
  <si>
    <t xml:space="preserve">https://www.exploit-db.com/exploits/37816/; http://packetstormsecurity.com/files/128517/VMware-Security-Advisory-2014-0010.html; https://nvd.nist.gov/vuln/detail/CVE-2014-6271</t>
  </si>
  <si>
    <t xml:space="preserve">CVE-2026-20253</t>
  </si>
  <si>
    <t xml:space="preserve">Splunk Enterprise - unauthenticated arbitrary file creation via PostgreSQL sidecar (RCE)</t>
  </si>
  <si>
    <t xml:space="preserve">Een PostgreSQL-sidecar-service-endpoint in Splunk Enterprise 10.x mist authenticatie, waardoor elke netwerkgebruiker willekeurige bestanden kan aanmaken of afkappen, wat tot code-uitvoering op de Splunk-server leidt; sinds juni 2026 misbruikt.</t>
  </si>
  <si>
    <t xml:space="preserve">Compromittering van het SIEM: manipulatie/wissen van logs, toegang tot alle verzamelde data en credentials, blinde vlek voor detectie.</t>
  </si>
  <si>
    <t xml:space="preserve">Controleer de Splunk Enterprise-versie (10.2.4 / 10.0.7 of hoger) en of de sidecar-poort bereikbaar is vanuit niet-beheernetwerken; versies 9.4 en ouder zijn niet geraakt.</t>
  </si>
  <si>
    <t xml:space="preserve">Update naar 10.2.4 / 10.0.7; schakel de PostgreSQL-sidecar uit als upgrade niet direct kan; beperk netwerktoegang tot Splunk-beheerpoorten.</t>
  </si>
  <si>
    <t xml:space="preserve">Alarmeer op onverwachte bestandswijzigingen in de Splunk-installatie en op nieuwe processen vanuit splunkd.</t>
  </si>
  <si>
    <t xml:space="preserve">T1190, T1562.001</t>
  </si>
  <si>
    <t xml:space="preserve">Splunk Enterprise 10.2 &lt; 10.2.4 en 10.0 &lt; 10.0.7</t>
  </si>
  <si>
    <t xml:space="preserve">10.2.4 / 10.0.7 (SVD-2026-0603, juni 2026)</t>
  </si>
  <si>
    <t xml:space="preserve">Ja - KEV sinds 2026-06-18</t>
  </si>
  <si>
    <t xml:space="preserve">In het wild misbruikt (KEV 2026-06-18)</t>
  </si>
  <si>
    <t xml:space="preserve">AV-WEB-50, AV-NET-15</t>
  </si>
  <si>
    <t xml:space="preserve">https://advisory.splunk.com/advisories/SVD-2026-0603; https://nvd.nist.gov/vuln/detail/CVE-2026-20253</t>
  </si>
  <si>
    <t xml:space="preserve">CVE-2026-34910</t>
  </si>
  <si>
    <t xml:space="preserve">Ubiquiti UniFi OS - unauthenticated command injection (met CVE-2026-34908/34909)</t>
  </si>
  <si>
    <t xml:space="preserve">Drie kwetsbaarheden in UniFi OS (improper access control, path traversal met uitlekken van signing keys, en command injection in het package-update-endpoint) laten een aanvaller met netwerktoegang tot de UniFi-console (Dream Machine, UniFi OS Server) root-rechten verkrijgen; in juni 2026 toegevoegd aan KEV.</t>
  </si>
  <si>
    <t xml:space="preserve">Overname van de netwerkcontroller/gateway: wijzigen van firewall-/VLAN-configuratie, onderschepping van verkeer, toegang tot het hele netwerk.</t>
  </si>
  <si>
    <t xml:space="preserve">Inventariseer UniFi-consoles en controleer de UniFi OS-versie (UDM/UDM-Pro/SE/Pro-Max &gt;= 5.1.12, UDM-Beast &gt;= 5.1.11, UniFi OS Server &gt;= 5.0.8) en of de beheerinterface vanaf gebruikers-/gastnetwerken bereikbaar is.</t>
  </si>
  <si>
    <t xml:space="preserve">Update UniFi OS, beperk toegang tot de console tot een beheer-VLAN, schakel remote access via de cloud uit waar niet nodig, MFA op Ubiquiti-accounts.</t>
  </si>
  <si>
    <t xml:space="preserve">Alarmeer op logins en configuratiewijzigingen op de UniFi-console buiten beheervensters.</t>
  </si>
  <si>
    <t xml:space="preserve">CWE-20, CWE-78</t>
  </si>
  <si>
    <t xml:space="preserve">UniFi OS Server &lt; 5.0.8; UDM/UDM-Pro/UDM-SE/UDM-Pro-Max &lt; 5.1.12; UDM-Beast &lt; 5.1.11</t>
  </si>
  <si>
    <t xml:space="preserve">UniFi OS 5.1.12 / 5.1.11 / UniFi OS Server 5.0.8 (Security Advisory Bulletin 064, mei 2026)</t>
  </si>
  <si>
    <t xml:space="preserve">Ja - KEV sinds 2026-06-23</t>
  </si>
  <si>
    <t xml:space="preserve">In het wild misbruikt (KEV 2026-06-23)</t>
  </si>
  <si>
    <t xml:space="preserve">AV-NET-12, AV-NET-15</t>
  </si>
  <si>
    <t xml:space="preserve">KEV; CVSS-bron: CNA; Verwante CVE's zonder eigen rij: CVE-2026-34908</t>
  </si>
  <si>
    <t xml:space="preserve">https://community.ui.com/releases/Security-Advisory-Bulletin-064-064/84811c09-4cf4-42ab-bd61-cc994445963b; https://nvd.nist.gov/vuln/detail/CVE-2026-34910</t>
  </si>
  <si>
    <t xml:space="preserve">CVE-2026-86060</t>
  </si>
  <si>
    <t xml:space="preserve">MikroTik RouterOS - SSH argument injection privilege escalation (pre-auth)</t>
  </si>
  <si>
    <t xml:space="preserve">Een fout in de afhandeling van gebruikersnamen in het SSH-loginpad van RouterOS laat een ongeauthenticeerde aanvaller die de login-helper bereikt de policy-mask van de sessie manipuleren en zo verhoogde rechten op de router krijgen; actief misbruikt (CERT Polska, september 2026).</t>
  </si>
  <si>
    <t xml:space="preserve">Overname van routers/firewalls: verkeersomleiding, DNS-manipulatie, VPN-toegang en inzet in botnets.</t>
  </si>
  <si>
    <t xml:space="preserve">Inventariseer RouterOS-apparaten en versies (6.49.21 LTS, 7.23.4 LTS, 7.24.2 stable of hoger) en of SSH (22) vanaf internet of gebruikersnetwerken bereikbaar is.</t>
  </si>
  <si>
    <t xml:space="preserve">Update RouterOS; beperk SSH/Winbox/WWW tot beheeradressen via firewall en IP-services; sterke wachtwoorden en geen default admin.</t>
  </si>
  <si>
    <t xml:space="preserve">Alarmeer op SSH-logins met ongebruikelijke gebruikersnamen en op configuratiewijzigingen op routers.</t>
  </si>
  <si>
    <t xml:space="preserve">CWE-88</t>
  </si>
  <si>
    <t xml:space="preserve">CVSS:4.0/AV:N/AC:L/AT:P/PR:N/UI:N/VC:H/VI:H/VA:H/SC:N/SI:N/SA:N</t>
  </si>
  <si>
    <t xml:space="preserve">RouterOS 6.x &lt; 6.49.21, 7.x &lt; 7.23.4 (LTS) en 7.24 &lt; 7.24.2 (stable)</t>
  </si>
  <si>
    <t xml:space="preserve">RouterOS 6.49.21 / 7.23.4 / 7.24.2 (september 2026)</t>
  </si>
  <si>
    <t xml:space="preserve">Ja - KEV sinds 2026-09-10</t>
  </si>
  <si>
    <t xml:space="preserve">In het wild misbruikt (KEV 2026-09-10)</t>
  </si>
  <si>
    <t xml:space="preserve">AV-NET-12, AV-EXT-02</t>
  </si>
  <si>
    <t xml:space="preserve">KEV; CVE-2026-67277/67279 verwante RouterOS-kwetsbaarheden; CVSS-bron: CNA</t>
  </si>
  <si>
    <t xml:space="preserve">https://cert.pl/en/posts/2026/09/mikrotik-routeros-cve; https://cert.pl/en/posts/2026/09/vulnerabilities-in-mikrotik-routeros-actively-exploited/; https://nvd.nist.gov/vuln/detail/CVE-2026-86060</t>
  </si>
  <si>
    <t xml:space="preserve">CVE-2018-13379</t>
  </si>
  <si>
    <t xml:space="preserve">Fortinet FortiOS SSL-VPN - path traversal credential disclosure</t>
  </si>
  <si>
    <t xml:space="preserve">Via /remote/fgt_lang?lang=/../../../..//////////dev/cmdb/sslvpn_websession kan een ongeauthenticeerde aanvaller het sessiebestand van de SSL-VPN-portal downloaden met gebruikersnamen en wachtwoorden in cleartext; jarenlang massaal misbruikt en nog aanwezig op niet-bijgewerkte appliances.</t>
  </si>
  <si>
    <t xml:space="preserve">Geldige VPN-credentials en daarmee directe toegang tot het interne netwerk.</t>
  </si>
  <si>
    <t xml:space="preserve">Fingerprint de FortiOS-versie en test het traversal-pad met een niet-destructieve GET (binnen RoE); controleer of gelekte credentials sindsdien zijn geroteerd.</t>
  </si>
  <si>
    <t xml:space="preserve">Update FortiOS (5.4.13 / 5.6.8 / 6.0.5 / 6.2.0+), roteer alle VPN-credentials, MFA op VPN, monitor op misbruik.</t>
  </si>
  <si>
    <t xml:space="preserve">Alarmeer op verzoeken naar /remote/fgt_lang met traversal-sequenties.</t>
  </si>
  <si>
    <t xml:space="preserve">A03:2025, A01:2025</t>
  </si>
  <si>
    <t xml:space="preserve">T1190, T1133, T1078</t>
  </si>
  <si>
    <t xml:space="preserve">CVSS:3.1/AV:N/AC:L/PR:N/UI:N/S:U/C:H/I:N/A:H</t>
  </si>
  <si>
    <t xml:space="preserve">FortiOS 6.0.0-6.0.4, 5.6.3-5.6.7, 5.4.6-5.4.12; FortiProxy 2.0.0, 1.2.0-1.2.8, 1.1.0-1.1.6, 1.0.0-1.0.7</t>
  </si>
  <si>
    <t xml:space="preserve">FortiOS 5.4.13 / 5.6.8 / 6.0.5 / 6.2.0; FortiProxy 1.2.9 / 2.0.1</t>
  </si>
  <si>
    <t xml:space="preserve">Ja (publieke PoC's, Metasploit)</t>
  </si>
  <si>
    <t xml:space="preserve">KEV (2021-11-03); CVSS-bron: CNA</t>
  </si>
  <si>
    <t xml:space="preserve">https://fortiguard.com/advisory/FG-IR-18-384; https://www.fortiguard.com/psirt/FG-IR-20-233; https://nvd.nist.gov/vuln/detail/CVE-2018-13379</t>
  </si>
  <si>
    <t xml:space="preserve">CVE-2022-40684</t>
  </si>
  <si>
    <t xml:space="preserve">Fortinet FortiOS / FortiProxy / FortiSwitchManager - authentication bypass on administrative interface</t>
  </si>
  <si>
    <t xml:space="preserve">Door de headers Forwarded: for=127.0.0.1 en User-Agent: Report Runner te sturen behandelt de beheer-API verzoeken als afkomstig van de lokale Node.js-component, waardoor een ongeauthenticeerde aanvaller admin-acties kan uitvoeren (bv. SSH-key toevoegen).</t>
  </si>
  <si>
    <t xml:space="preserve">Volledige overname van de firewall/proxy via de (aan internet blootgestelde) beheerinterface.</t>
  </si>
  <si>
    <t xml:space="preserve">Fingerprint de versie en controleer of de beheerinterface vanaf internet bereikbaar is; voer alleen een lees-actie uit via de API als PoC (RoE).</t>
  </si>
  <si>
    <t xml:space="preserve">Update naar FortiOS 7.0.7 / 7.2.2 (of hoger), FortiProxy 7.0.7 / 7.2.1, FortiSwitchManager 7.0.1 / 7.2.1; beheerinterface niet aan internet; audit van admin-accounts en SSH-keys.</t>
  </si>
  <si>
    <t xml:space="preserve">Alarmeer op API-verzoeken met User-Agent 'Report Runner' en op onverwachte admin-wijzigingen (nieuwe gebruikers, keys).</t>
  </si>
  <si>
    <t xml:space="preserve">CWE-288</t>
  </si>
  <si>
    <t xml:space="preserve">FortiOS 7.0.0-7.0.6 en 7.2.0-7.2.1; FortiProxy 7.0.0-7.0.6 en 7.2.0; FortiSwitchManager 7.0.0 en 7.2.0</t>
  </si>
  <si>
    <t xml:space="preserve">FortiOS 7.0.7 / 7.2.2; FortiProxy 7.0.7 / 7.2.1; FortiSwitchManager 7.0.1 / 7.2.1 (oktober 2022)</t>
  </si>
  <si>
    <t xml:space="preserve">Ja - KEV sinds 2022-10-11</t>
  </si>
  <si>
    <t xml:space="preserve">AV-EXT-02, AV-EXT-05</t>
  </si>
  <si>
    <t xml:space="preserve">KEV (2022-10-11); CVSS-bron: CNA</t>
  </si>
  <si>
    <t xml:space="preserve">https://fortiguard.com/psirt/FG-IR-22-377; http://packetstormsecurity.com/files/169431/Fortinet-FortiOS-FortiProxy-FortiSwitchManager-Authentication-Bypass.html; https://nvd.nist.gov/vuln/detail/CVE-2022-40684</t>
  </si>
  <si>
    <t xml:space="preserve">CVE-2024-55591</t>
  </si>
  <si>
    <t xml:space="preserve">Fortinet FortiOS / FortiProxy - authentication bypass via Node.js websocket (super-admin)</t>
  </si>
  <si>
    <t xml:space="preserve">Gemanipuleerde verzoeken naar de Node.js-websocket-module van de beheerinterface geven een ongeauthenticeerde aanvaller super-admin-rechten; als zero-day misbruikt (Arctic Wolf, december 2024) om admin-accounts en SSL-VPN-toegang aan te maken.</t>
  </si>
  <si>
    <t xml:space="preserve">Volledige overname van de firewall en persistente VPN-toegang tot het interne netwerk.</t>
  </si>
  <si>
    <t xml:space="preserve">Controleer de FortiOS-versie (7.0.17+ niet kwetsbaar) en of HTTP(S)-beheer op een WAN-interface open staat; zoek naar onbekende admin-accounts en SSL-VPN-gebruikers in de configuratie.</t>
  </si>
  <si>
    <t xml:space="preserve">Update naar FortiOS 7.0.17 / FortiProxy 7.0.20 / 7.2.13 of hoger; beheerinterface uit op WAN; audit van admins, lokale gebruikers en firewallpolicies.</t>
  </si>
  <si>
    <t xml:space="preserve">Alarmeer op 'login from jsconsole' met vreemde bron-IP's en op aanmaak van admin-/VPN-accounts in de logs.</t>
  </si>
  <si>
    <t xml:space="preserve">T1190, T1136, T1133</t>
  </si>
  <si>
    <t xml:space="preserve">FortiOS 7.0.0-7.0.16; FortiProxy 7.0.0-7.0.19 en 7.2.0-7.2.12</t>
  </si>
  <si>
    <t xml:space="preserve">FortiOS 7.0.17; FortiProxy 7.0.20 / 7.2.13 (januari 2025)</t>
  </si>
  <si>
    <t xml:space="preserve">Ja - KEV sinds 2025-01-14</t>
  </si>
  <si>
    <t xml:space="preserve">Ja (publieke PoC; in het wild)</t>
  </si>
  <si>
    <t xml:space="preserve">CVE-2022-40684, AV-EXT-05</t>
  </si>
  <si>
    <t xml:space="preserve">KEV (2025-01-14); zie ook CVE-2025-24472; CVSS-bron: CNA; Verwante CVE's zonder eigen rij: CVE-2024-21762</t>
  </si>
  <si>
    <t xml:space="preserve">https://fortiguard.fortinet.com/psirt/FG-IR-24-535; https://nvd.nist.gov/vuln/detail/CVE-2024-55591</t>
  </si>
  <si>
    <t xml:space="preserve">CVE-2024-47575</t>
  </si>
  <si>
    <t xml:space="preserve">Fortinet FortiManager - missing authentication in FGFM (FortiJump)</t>
  </si>
  <si>
    <t xml:space="preserve">Het FGFM-protocol (TCP 541) van FortiManager accepteerde registratie van onbekende apparaten met een geldig certificaat van een FortiGate, waarna via het beheerkanaal willekeurige commando's/code op de FortiManager konden worden uitgevoerd; gebruikt om configuraties en credentials van alle beheerde firewalls te stelen (UNC5820).</t>
  </si>
  <si>
    <t xml:space="preserve">Compromittering van de centrale beheerserver en daarmee van alle beheerde FortiGates.</t>
  </si>
  <si>
    <t xml:space="preserve">Controleer de FortiManager-versie en of TCP 541 vanaf internet bereikbaar is; controleer op onbekende apparaten in de device-lijst en de fgfm-deny-unknown-instelling.</t>
  </si>
  <si>
    <t xml:space="preserve">Update naar 7.6.1 / 7.4.5 / 7.2.8 / 7.0.13 / 6.4.15; set fgfm-deny-unknown enable; beperk FGFM tot bekende bron-IP's; roteer credentials van beheerde apparaten bij verdenking.</t>
  </si>
  <si>
    <t xml:space="preserve">Alarmeer op registraties van onbekende serienummers en op logins met 'Unregistered device' in FortiManager-logs.</t>
  </si>
  <si>
    <t xml:space="preserve">FortiManager 7.6.0, 7.4.0-7.4.4, 7.2.0-7.2.7, 7.0.0-7.0.12, 6.4.0-6.4.14, 6.2.0-6.2.12; FortiManager Cloud 7.4.1-7.4.4 e.a.</t>
  </si>
  <si>
    <t xml:space="preserve">7.6.1 / 7.4.5 / 7.2.8 / 7.0.13 / 6.4.15 (oktober 2024)</t>
  </si>
  <si>
    <t xml:space="preserve">Ja - KEV sinds 2024-10-23</t>
  </si>
  <si>
    <t xml:space="preserve">AV-NET-12, AV-EXT-05</t>
  </si>
  <si>
    <t xml:space="preserve">KEV (2024-10-23); CVSS-bron: CNA</t>
  </si>
  <si>
    <t xml:space="preserve">https://fortiguard.fortinet.com/psirt/FG-IR-24-423; https://nvd.nist.gov/vuln/detail/CVE-2024-47575</t>
  </si>
  <si>
    <t xml:space="preserve">CVE-2025-64446</t>
  </si>
  <si>
    <t xml:space="preserve">Fortinet FortiWeb - relative path traversal to administrative command execution</t>
  </si>
  <si>
    <t xml:space="preserve">Een relatieve path traversal in de beheerinterface van FortiWeb laat een ongeauthenticeerde aanvaller beheercommando's uitvoeren (o.a. aanmaken van admin-accounts) via gemanipuleerde HTTP(S)-verzoeken; stil gepatcht en als zero-day misbruikt (november 2025).</t>
  </si>
  <si>
    <t xml:space="preserve">Overname van de web application firewall; uitschakelen van bescherming en toegang tot achterliggende applicaties/TLS-sleutels.</t>
  </si>
  <si>
    <t xml:space="preserve">Controleer de FortiWeb-versie (8.0.2 / 7.6.5 / 7.4.10 / 7.2.12 / 7.0.12 of hoger) en of de beheerinterface vanaf internet bereikbaar is; zoek naar onbekende admin-accounts.</t>
  </si>
  <si>
    <t xml:space="preserve">Update FortiWeb; beheerinterface alleen vanuit de beheerzone; audit van admin-accounts.</t>
  </si>
  <si>
    <t xml:space="preserve">Alarmeer op aanmaak van admin-accounts en op verzoeken met traversal-sequenties naar de beheer-API.</t>
  </si>
  <si>
    <t xml:space="preserve">T1190, T1136</t>
  </si>
  <si>
    <t xml:space="preserve">FortiWeb 8.0.0-8.0.1, 7.6.0-7.6.4, 7.4.0-7.4.9, 7.2.0-7.2.11, 7.0.0-7.0.11</t>
  </si>
  <si>
    <t xml:space="preserve">FortiWeb 8.0.2 / 7.6.5 / 7.4.10 / 7.2.12 / 7.0.12 (november 2025)</t>
  </si>
  <si>
    <t xml:space="preserve">Ja - KEV sinds 2025-11-14</t>
  </si>
  <si>
    <t xml:space="preserve">KEV (2025-11-14); zie ook CVE-2025-58034; CVSS-bron: CNA</t>
  </si>
  <si>
    <t xml:space="preserve">https://fortiguard.fortinet.com/psirt/FG-IR-25-910; https://nvd.nist.gov/vuln/detail/CVE-2025-64446</t>
  </si>
  <si>
    <t xml:space="preserve">CVE-2026-24858</t>
  </si>
  <si>
    <t xml:space="preserve">Fortinet FortiCloud SSO - cross-tenant authentication bypass (FortiOS, FortiManager, FortiAnalyzer, FortiWeb, FortiProxy)</t>
  </si>
  <si>
    <t xml:space="preserve">Bij ingeschakelde FortiCloud SSO kon een aanvaller met een eigen FortiCloud-account en een geregistreerd apparaat inloggen op apparaten van andere FortiCloud-accounts, over productlijnen heen; in januari 2026 toegevoegd aan KEV.</t>
  </si>
  <si>
    <t xml:space="preserve">Beheerderstoegang tot firewalls en beheerservers van andere organisaties zonder hun credentials.</t>
  </si>
  <si>
    <t xml:space="preserve">Controleer of FortiCloud SSO (admin-login via FortiCloud) is ingeschakeld en of de firmware is bijgewerkt tot boven de getroffen reeksen; audit SSO-logins op onbekende FortiCloud-identiteiten.</t>
  </si>
  <si>
    <t xml:space="preserve">Update firmware conform FG-IR-26-060; schakel FortiCloud SSO-login uit tot na de update; audit admin-logins.</t>
  </si>
  <si>
    <t xml:space="preserve">Alarmeer op SSO-admin-logins vanaf onbekende FortiCloud-accounts/IP's.</t>
  </si>
  <si>
    <t xml:space="preserve">T1078.004, T1190</t>
  </si>
  <si>
    <t xml:space="preserve">FortiOS 7.0.0-7.6.5; FortiManager/FortiAnalyzer 7.0.0-7.6.5; FortiProxy 7.0.0-7.6.4; FortiWeb 7.4.0-8.0.3; FortiNAC-F 7.6.3-7.6.5 (met FortiCloud SSO)</t>
  </si>
  <si>
    <t xml:space="preserve">Zie FG-IR-26-060 (januari 2026)</t>
  </si>
  <si>
    <t xml:space="preserve">Ja - KEV sinds 2026-01-27</t>
  </si>
  <si>
    <t xml:space="preserve">In het wild misbruikt (KEV 2026-01-27)</t>
  </si>
  <si>
    <t xml:space="preserve">AV-CLD-16, AV-EXT-05</t>
  </si>
  <si>
    <t xml:space="preserve">https://fortiguard.fortinet.com/psirt/FG-IR-26-060; https://nvd.nist.gov/vuln/detail/CVE-2026-24858</t>
  </si>
  <si>
    <t xml:space="preserve">CVE-2026-104286</t>
  </si>
  <si>
    <t xml:space="preserve">Fortinet FortiMail - unauthenticated path traversal arbitrary file write</t>
  </si>
  <si>
    <t xml:space="preserve">Een path traversal in de FortiMail-webinterface laat een ongeauthenticeerde aanvaller via gemanipuleerde HTTP(S)-verzoeken willekeurige bestanden op het onderliggende systeem schrijven, wat tot code-uitvoering leidt; op 1 oktober 2026 aan KEV toegevoegd.</t>
  </si>
  <si>
    <t xml:space="preserve">Overname van de mailgateway: lezen/manipuleren van e-mail, credentialdiefstal en pivot naar het interne netwerk.</t>
  </si>
  <si>
    <t xml:space="preserve">Controleer de FortiMail-versie (8.0.2 / 7.6.7 / 7.4.9 / 7.2.10 of hoger volgens FG-IR-26-175) en de blootstelling van de webinterface.</t>
  </si>
  <si>
    <t xml:space="preserve">Update FortiMail conform FG-IR-26-175; beperk de beheer-/webmailinterface; controleer op geplaatste bestanden/webshells.</t>
  </si>
  <si>
    <t xml:space="preserve">Alarmeer op verzoeken met traversal-sequenties en op nieuwe bestanden in de webroot van FortiMail.</t>
  </si>
  <si>
    <t xml:space="preserve">FortiMail 8.0.0-8.0.1, 7.6.0-7.6.6, 7.4.0-7.4.8, 7.2.0-7.2.9</t>
  </si>
  <si>
    <t xml:space="preserve">Zie FG-IR-26-175 (oktober 2026)</t>
  </si>
  <si>
    <t xml:space="preserve">Ja - KEV sinds 2026-10-01</t>
  </si>
  <si>
    <t xml:space="preserve">In het wild misbruikt (KEV 2026-10-01)</t>
  </si>
  <si>
    <t xml:space="preserve">https://fortiguard.fortinet.com/psirt/FG-IR-26-175; https://nvd.nist.gov/vuln/detail/CVE-2026-104286</t>
  </si>
  <si>
    <t xml:space="preserve">CVE-2019-19781</t>
  </si>
  <si>
    <t xml:space="preserve">Citrix ADC / Gateway - directory traversal to unauthenticated RCE (Shitrix)</t>
  </si>
  <si>
    <t xml:space="preserve">Een path traversal (/vpn/../vpns/) in de Citrix ADC/Gateway-webinterface gaf toegang tot Perl-scripts waarmee een ongeauthenticeerde aanvaller code kon uitvoeren als nobody en vervolgens root; in januari 2020 massaal misbruikt (ook in Nederland, o.a. Medisch Centrum Leeuwarden en gemeenten).</t>
  </si>
  <si>
    <t xml:space="preserve">Volledige overname van de remote-access-gateway en toegang tot het interne netwerk.</t>
  </si>
  <si>
    <t xml:space="preserve">Fingerprint de build (10.5/11.1/12.0/12.1/13.0 voor fix) en test het traversal-pad met een niet-destructieve GET (smb.conf-check) binnen RoE.</t>
  </si>
  <si>
    <t xml:space="preserve">Update naar gefixte builds (januari 2020) en voer de Citrix-IoC-scanner uit; roteer credentials/certificaten bij eerdere blootstelling.</t>
  </si>
  <si>
    <t xml:space="preserve">Alarmeer op verzoeken met /vpn/../vpns/ en op nieuwe bestanden in /netscaler/portal/templates.</t>
  </si>
  <si>
    <t xml:space="preserve">Citrix ADC en Gateway 10.5, 11.1, 12.0, 12.1, 13.0; SD-WAN WANOP 10.2.x/11.0.x</t>
  </si>
  <si>
    <t xml:space="preserve">Builds 11.1.63.15, 12.0.63.13, 12.1.55.18, 13.0.47.24, 10.5.70.12 (januari 2020)</t>
  </si>
  <si>
    <t xml:space="preserve">Ja (publieke exploits, Metasploit)</t>
  </si>
  <si>
    <t xml:space="preserve">https://support.citrix.com/article/CTX267027; https://www.kb.cert.org/vuls/id/619785; https://nvd.nist.gov/vuln/detail/CVE-2019-19781</t>
  </si>
  <si>
    <t xml:space="preserve">CVE-2023-4966</t>
  </si>
  <si>
    <t xml:space="preserve">Citrix NetScaler ADC / Gateway - session token disclosure (Citrix Bleed)</t>
  </si>
  <si>
    <t xml:space="preserve">Een out-of-bounds read in het OpenID-configuratie-endpoint (/oauth/idp/.well-known/openid-configuration) met een te lange Host-header lekt geheugen met geldige sessietokens van ingelogde gebruikers, waarmee MFA wordt omzeild; gebruikt door LockBit (o.a. Boeing) en andere groepen.</t>
  </si>
  <si>
    <t xml:space="preserve">Sessie-overname van VPN-/Gateway-gebruikers inclusief beheerders; toegang tot het interne netwerk zonder credentials of MFA.</t>
  </si>
  <si>
    <t xml:space="preserve">Controleer de build (14.1-8.50, 13.1-49.15, 13.0-92.19 of hoger) en of het apparaat als Gateway/AAA is geconfigureerd; een PoC leest alleen eigen geheugen en wordt alleen binnen RoE uitgevoerd.</t>
  </si>
  <si>
    <t xml:space="preserve">Update naar gefixte builds en beeindig daarna alle actieve sessies (kill icaconnection/aaa session); roteer credentials van ingelogde beheerders.</t>
  </si>
  <si>
    <t xml:space="preserve">Alarmeer op verzoeken naar het openid-configuration-endpoint met afwijkende Host-headers en op sessies waarvan het bron-IP verandert.</t>
  </si>
  <si>
    <t xml:space="preserve">T1190, T1539, T1133</t>
  </si>
  <si>
    <t xml:space="preserve">CVSS:3.1/AV:N/AC:L/PR:N/UI:N/S:U/C:H/I:H/A:L</t>
  </si>
  <si>
    <t xml:space="preserve">NetScaler ADC/Gateway 14.1 &lt; 14.1-8.50, 13.1 &lt; 13.1-49.15, 13.0 &lt; 13.0-92.19, 13.1-FIPS &lt; 13.1-37.164, 12.1-FIPS/NDcPP &lt; 12.1-55.300 (als Gateway of AAA-server)</t>
  </si>
  <si>
    <t xml:space="preserve">14.1-8.50 / 13.1-49.15 / 13.0-92.19 (oktober 2023)</t>
  </si>
  <si>
    <t xml:space="preserve">Ja - KEV sinds 2023-10-18</t>
  </si>
  <si>
    <t xml:space="preserve">Ja (publieke PoC's; massaal misbruikt)</t>
  </si>
  <si>
    <t xml:space="preserve">AV-EXT-05, AV-WEB-13</t>
  </si>
  <si>
    <t xml:space="preserve">KEV (2023-10-18); CVSS-bron: CNA</t>
  </si>
  <si>
    <t xml:space="preserve">https://support.citrix.com/article/CTX579459; http://packetstormsecurity.com/files/175323/Citrix-Bleed-Session-Token-Leakage-Proof-Of-Concept.html; https://nvd.nist.gov/vuln/detail/CVE-2023-4966</t>
  </si>
  <si>
    <t xml:space="preserve">CVE-2025-5777</t>
  </si>
  <si>
    <t xml:space="preserve">Citrix NetScaler ADC / Gateway - memory overread (Citrix Bleed 2)</t>
  </si>
  <si>
    <t xml:space="preserve">Onvoldoende invoervalidatie in de login-afhandeling (ontbrekende waarde voor de login-parameter) laat een ongeauthenticeerde aanvaller geheugen van de NetScaler uitlezen, inclusief sessietokens en credentials, wanneer het apparaat als Gateway of AAA-server is geconfigureerd.</t>
  </si>
  <si>
    <t xml:space="preserve">Sessie-overname en MFA-omzeiling, vergelijkbaar met Citrix Bleed; sinds juni 2025 actief misbruikt.</t>
  </si>
  <si>
    <t xml:space="preserve">Controleer de build (14.1-43.56, 13.1-58.32 of hoger; 12.1/13.0 zijn EOL en kwetsbaar) en de Gateway/AAA-configuratie; PoC alleen binnen RoE.</t>
  </si>
  <si>
    <t xml:space="preserve">Update naar 14.1-43.56 / 13.1-58.32 (of 13.1-FIPS 37.235) en beeindig alle actieve ICA-/PCoIP-/AAA-sessies na de update; vervang EOL-versies.</t>
  </si>
  <si>
    <t xml:space="preserve">Alarmeer op POST /p/u/doAuthentication.do zonder waarde voor login en op sessies met wisselende bron-IP's.</t>
  </si>
  <si>
    <t xml:space="preserve">T1190, T1539</t>
  </si>
  <si>
    <t xml:space="preserve">CVSS:4.0/AV:N/AC:L/AT:N/PR:N/UI:N/VC:H/VI:H/VA:H/SC:L/SI:L/SA:L</t>
  </si>
  <si>
    <t xml:space="preserve">NetScaler ADC/Gateway 14.1 &lt; 14.1-43.56, 13.1 &lt; 13.1-58.32, 13.1-FIPS/NDcPP &lt; 13.1-37.235; 12.1 en 13.0 (EOL) kwetsbaar</t>
  </si>
  <si>
    <t xml:space="preserve">14.1-43.56 / 13.1-58.32 / 13.1-FIPS 37.235 (juni 2025)</t>
  </si>
  <si>
    <t xml:space="preserve">Ja - KEV sinds 2025-07-10</t>
  </si>
  <si>
    <t xml:space="preserve">Ja (publieke PoC's; in het wild)</t>
  </si>
  <si>
    <t xml:space="preserve">CVE-2023-4966, AV-EXT-05</t>
  </si>
  <si>
    <t xml:space="preserve">KEV (2025-07-10); CVSS-bron: CNA</t>
  </si>
  <si>
    <t xml:space="preserve">https://support.citrix.com/support-home/kbsearch/article?articleNumber=CTX693420; https://nvd.nist.gov/vuln/detail/CVE-2025-5777</t>
  </si>
  <si>
    <t xml:space="preserve">CVE-2025-6543</t>
  </si>
  <si>
    <t xml:space="preserve">Citrix NetScaler ADC / Gateway - memory overflow RCE/DoS (zero-day, incl. Nederlandse OM-inbraak)</t>
  </si>
  <si>
    <t xml:space="preserve">Een memory overflow in NetScaler, geconfigureerd als Gateway of AAA-server, leidt tot ongewenste control-flow en DoS en is in de praktijk voor code-uitvoering misbruikt; als zero-day ingezet sinds mei 2025, o.a. bij de inbraak op het Nederlandse Openbaar Ministerie (NCSC-NL-advies).</t>
  </si>
  <si>
    <t xml:space="preserve">Overname van de remote-access-gateway en toegang tot het interne netwerk; langdurig onopgemerkte toegang.</t>
  </si>
  <si>
    <t xml:space="preserve">Controleer de build (14.1-47.46, 13.1-59.19 of hoger) en voer het NCSC-NL/Citrix-IoC-script uit op de appliance; geen exploitatie.</t>
  </si>
  <si>
    <t xml:space="preserve">Update, voer forensisch onderzoek uit op appliances die voor de patch blootgesteld waren (webshells), roteer credentials en certificaten, beeindig sessies.</t>
  </si>
  <si>
    <t xml:space="preserve">Controleer op onbekende bestanden in /var/netscaler/logon en /netscaler/ns_gui, afwijkende crontab-entries en onverwachte uitgaande verbindingen.</t>
  </si>
  <si>
    <t xml:space="preserve">CVSS:4.0/AV:N/AC:H/AT:P/PR:N/UI:N/VC:H/VI:H/VA:H/SC:L/SI:L/SA:L</t>
  </si>
  <si>
    <t xml:space="preserve">NetScaler ADC/Gateway 14.1 &lt; 14.1-47.46, 13.1 &lt; 13.1-59.19, 13.1-FIPS/NDcPP &lt; 13.1-37.236 (als Gateway/AAA)</t>
  </si>
  <si>
    <t xml:space="preserve">14.1-47.46 / 13.1-59.19 / 13.1-FIPS 37.236 (juni 2025)</t>
  </si>
  <si>
    <t xml:space="preserve">Ja - KEV sinds 2025-06-30</t>
  </si>
  <si>
    <t xml:space="preserve">In het wild misbruikt (zero-day); geen betrouwbare publieke PoC</t>
  </si>
  <si>
    <t xml:space="preserve">AV-EXT-05, CVE-2025-5777</t>
  </si>
  <si>
    <t xml:space="preserve">KEV (2025-06-30); NCSC-NL-advies augustus 2025; CVSS-bron: CNA</t>
  </si>
  <si>
    <t xml:space="preserve">https://support.citrix.com/support-home/kbsearch/article?articleNumber=CTX694788; https://nvd.nist.gov/vuln/detail/CVE-2025-6543</t>
  </si>
  <si>
    <t xml:space="preserve">CVE-2025-7775</t>
  </si>
  <si>
    <t xml:space="preserve">Citrix NetScaler ADC / Gateway - memory overflow pre-auth RCE (webshells in the wild)</t>
  </si>
  <si>
    <t xml:space="preserve">Een memory overflow in NetScaler (Gateway/AAA, of LB-virtual servers met IPv6-services en CR-virtual servers type HDX) laat ongeauthenticeerde code-uitvoering toe; Citrix meldde bij publicatie al webshells op gecompromitteerde appliances.</t>
  </si>
  <si>
    <t xml:space="preserve">Pre-auth RCE op de perimeter en persistente toegang via webshells.</t>
  </si>
  <si>
    <t xml:space="preserve">Controleer de build (14.1-47.48, 13.1-59.22, 13.1-FIPS 37.241, 12.1-FIPS 55.330 of hoger) en de configuratie (Gateway/AAA, IPv6-backends, HDX-CR); zoek naar IoC's.</t>
  </si>
  <si>
    <t xml:space="preserve">Update met voorrang; onderzoek appliances op webshells en roteer secrets; vervang EOL-versies 12.1/13.0.</t>
  </si>
  <si>
    <t xml:space="preserve">Nieuwe PHP-/Perl-bestanden in de webroot, afwijkende nsppe-crashes en onverwachte uitgaande verbindingen van de appliance.</t>
  </si>
  <si>
    <t xml:space="preserve">NetScaler ADC/Gateway 14.1 &lt; 14.1-47.48, 13.1 &lt; 13.1-59.22, 13.1-FIPS/NDcPP &lt; 13.1-37.241, 12.1-FIPS/NDcPP &lt; 12.1-55.330</t>
  </si>
  <si>
    <t xml:space="preserve">14.1-47.48 / 13.1-59.22 (augustus 2025)</t>
  </si>
  <si>
    <t xml:space="preserve">Ja - KEV sinds 2025-08-26</t>
  </si>
  <si>
    <t xml:space="preserve">In het wild misbruikt (KEV 2025-08-26)</t>
  </si>
  <si>
    <t xml:space="preserve">CVE-2025-6543, AV-EXT-05</t>
  </si>
  <si>
    <t xml:space="preserve">https://support.citrix.com/support-home/kbsearch/article?articleNumber=CTX694938; https://nvd.nist.gov/vuln/detail/CVE-2025-7775</t>
  </si>
  <si>
    <t xml:space="preserve">CVE-2026-88771</t>
  </si>
  <si>
    <t xml:space="preserve">Citrix NetScaler ADC / Gateway - pre-auth command injection RCE (ook CVE-2026-19490 auth bypass, CVE-2026-3055)</t>
  </si>
  <si>
    <t xml:space="preserve">Onvoldoende invoervalidatie in NetScaler ADC/Gateway laat een ongeauthenticeerde aanvaller willekeurige commando's uitvoeren; eerder in 2026 werden ook een authentication bypass (CVE-2026-19490) en een SAML-IdP memory overread (CVE-2026-3055) actief misbruikt. NetScaler blijft daarmee een van de meest aangevallen perimeterproducten.</t>
  </si>
  <si>
    <t xml:space="preserve">Volledige overname van de gateway en toegang tot het interne netwerk; sessie- en credentialdiefstal.</t>
  </si>
  <si>
    <t xml:space="preserve">Controleer de build (14.1-73.37, 13.1-64.23 of hoger; FIPS 13.1-37.279) en of eerdere adviezen uit 2026 (CTX696939, CTX696300) zijn verwerkt; voer IoC-controles uit.</t>
  </si>
  <si>
    <t xml:space="preserve">Update onmiddellijk, beeindig sessies, onderzoek op compromittering, overweeg een ZTNA-architectuur zodat de gateway minder blootgesteld is.</t>
  </si>
  <si>
    <t xml:space="preserve">Alarmeer op afwijkende processen op de appliance, nieuwe bestanden in de webroot en configuratiewijzigingen.</t>
  </si>
  <si>
    <t xml:space="preserve">CWE-20, CWE-77</t>
  </si>
  <si>
    <t xml:space="preserve">CVSS:4.0/AV:N/AC:L/AT:P/PR:N/UI:N/VC:H/VI:H/VA:H/SC:H/SI:H/SA:H</t>
  </si>
  <si>
    <t xml:space="preserve">NetScaler ADC/Gateway 14.1 &lt; 14.1-73.37, 13.1 &lt; 13.1-64.23, 13.1-FIPS/NDcPP &lt; 13.1-37.279</t>
  </si>
  <si>
    <t xml:space="preserve">14.1-73.37 / 13.1-64.23 (CTX697096, september 2026)</t>
  </si>
  <si>
    <t xml:space="preserve">Ja - KEV sinds 2026-09-27</t>
  </si>
  <si>
    <t xml:space="preserve">In het wild misbruikt (KEV 2026-09-27)</t>
  </si>
  <si>
    <t xml:space="preserve">CVE-2025-7775, AV-EXT-05</t>
  </si>
  <si>
    <t xml:space="preserve">KEV; CVSS-bron: CNA; Verwante CVE's zonder eigen rij: CVE-2026-19490, CVE-2026-3055</t>
  </si>
  <si>
    <t xml:space="preserve">https://support.citrix.com/support-home/kbsearch/article?articleNumber=CTX697096; https://nvd.nist.gov/vuln/detail/CVE-2026-88771</t>
  </si>
  <si>
    <t xml:space="preserve">CVE-2024-21887</t>
  </si>
  <si>
    <t xml:space="preserve">Ivanti Connect Secure / Policy Secure - command injection chained with auth bypass CVE-2023-46805</t>
  </si>
  <si>
    <t xml:space="preserve">De authentication bypass in de webcomponent (CVE-2023-46805, /api/v1/totp/user-backup-code/../) gecombineerd met command injection in /api/v1/license/keys-status/ (CVE-2024-21887) gaf ongeauthenticeerde RCE als root op ICS/IPS-appliances; vanaf december 2023 door UNC5221 massaal misbruikt (webshells, credential-harvesting).</t>
  </si>
  <si>
    <t xml:space="preserve">Volledige compromittering van de VPN-appliance, diefstal van alle VPN-credentials en toegang tot het interne netwerk.</t>
  </si>
  <si>
    <t xml:space="preserve">Controleer versie/patch tegen het Ivanti-advies, voer de externe Ivanti Integrity Checker uit (interne ICT kan gemanipuleerd zijn) en controleer de mitigatie-XML indien toegepast.</t>
  </si>
  <si>
    <t xml:space="preserve">Patch naar de gefixte releases van januari-februari 2024 (na factory reset bij compromittering), roteer alle credentials/certificaten, monitor op persistentie.</t>
  </si>
  <si>
    <t xml:space="preserve">Alarmeer op verzoeken naar /api/v1/totp/user-backup-code/ en /api/v1/license/keys-status/ met command-syntax; ICT-mismatch.</t>
  </si>
  <si>
    <t xml:space="preserve">T1190, T1505.003, T1133</t>
  </si>
  <si>
    <t xml:space="preserve">CWE-77, CWE-287</t>
  </si>
  <si>
    <t xml:space="preserve">CVSS:3.0/AV:N/AC:L/PR:H/UI:N/S:C/C:H/I:H/A:H</t>
  </si>
  <si>
    <t xml:space="preserve">Ivanti Connect Secure en Policy Secure 9.x en 22.x (t/m 9.1R18 / 22.6R2) zonder patch</t>
  </si>
  <si>
    <t xml:space="preserve">Gefixte releases volgens het Ivanti-advies (patches vanaf 31 januari 2024, o.a. 22.5R2.2 en 9.1R18.3)</t>
  </si>
  <si>
    <t xml:space="preserve">Ja - KEV sinds 2024-01-10</t>
  </si>
  <si>
    <t xml:space="preserve">KEV (2024-01-10); CISA ED 24-01; CVSS-bron: CNA; Verwante CVE's zonder eigen rij: CVE-2023-46805</t>
  </si>
  <si>
    <t xml:space="preserve">https://forums.ivanti.com/s/article/CVE-2023-46805-Authentication-Bypass-CVE-2024-21887-Command-Injection-for-Ivanti-Connect-Secure-and-Ivanti-Policy-Secure-Gateways?language=en_US; http://packetstormsecurity.com/files/176668/Ivanti-Connect-Secure-Unauthenticated-Remote-Code-Execution.html; https://nvd.nist.gov/vuln/detail/CVE-2024-21887</t>
  </si>
  <si>
    <t xml:space="preserve">CVE-2025-0282</t>
  </si>
  <si>
    <t xml:space="preserve">Ivanti Connect Secure - stack-based buffer overflow pre-auth RCE (zero-day, januari 2025)</t>
  </si>
  <si>
    <t xml:space="preserve">Een stack-based buffer overflow in de webserver van Ivanti Connect Secure (IFT-protocol) laat ongeauthenticeerde code-uitvoering toe; als zero-day misbruikt sinds december 2024 (UNC5337, SPAWN-malwarefamilie), met manipulatie van de interne Integrity Checker.</t>
  </si>
  <si>
    <t xml:space="preserve">Volledige compromittering van de VPN-appliance en toegang tot het interne netwerk.</t>
  </si>
  <si>
    <t xml:space="preserve">Controleer de versie (22.7R2.5 of hoger), voer de externe ICT uit en zoek naar IoC's (gewijzigde systeembestanden, SPAWN-componenten).</t>
  </si>
  <si>
    <t xml:space="preserve">Update naar 22.7R2.5 (ICS), 22.7R1.2 (IPS), 22.7R2.3 (ZTA); bij ICT-afwijkingen factory reset en herinstallatie; roteer credentials.</t>
  </si>
  <si>
    <t xml:space="preserve">ICT-mismatch, onverwachte crashes van de webserver en uitgaande verbindingen vanaf de appliance.</t>
  </si>
  <si>
    <t xml:space="preserve">CVSS:3.1/AV:N/AC:H/PR:N/UI:N/S:C/C:H/I:H/A:H</t>
  </si>
  <si>
    <t xml:space="preserve">Ivanti Connect Secure 22.7R2 t/m 22.7R2.4; Policy Secure &lt; 22.7R1.2; Neurons for ZTA Gateways &lt; 22.7R2.3</t>
  </si>
  <si>
    <t xml:space="preserve">22.7R2.5 / 22.7R1.2 / 22.7R2.3 (januari 2025)</t>
  </si>
  <si>
    <t xml:space="preserve">Ja - KEV sinds 2025-01-08</t>
  </si>
  <si>
    <t xml:space="preserve">CVE-2025-22457, AV-EXT-05</t>
  </si>
  <si>
    <t xml:space="preserve">KEV (2025-01-08); CVSS-bron: CNA</t>
  </si>
  <si>
    <t xml:space="preserve">https://forums.ivanti.com/s/article/Security-Advisory-Ivanti-Connect-Secure-Policy-Secure-ZTA-Gateways-CVE-2025-0282-CVE-2025-0283; https://nvd.nist.gov/vuln/detail/CVE-2025-0282</t>
  </si>
  <si>
    <t xml:space="preserve">CVE-2025-22457</t>
  </si>
  <si>
    <t xml:space="preserve">Ivanti Connect Secure - stack-based buffer overflow pre-auth RCE (april 2025)</t>
  </si>
  <si>
    <t xml:space="preserve">Een aanvankelijk als DoS ingeschatte buffer overflow (alleen cijfers en punten in de X-Forwarded-For-header) bleek tot RCE te leiden; UNC5221 misbruikte het vanaf maart 2025 tegen ICS 22.7R2.5 en ouder (TRAILBLAZE/BRUSHFIRE-malware).</t>
  </si>
  <si>
    <t xml:space="preserve">Pre-auth RCE op de VPN-appliance; persistente toegang en credentialdiefstal.</t>
  </si>
  <si>
    <t xml:space="preserve">Controleer de versie (22.7R2.6 of hoger) en voer de externe ICT uit; controleer of EOL-versies (9.x, Pulse Connect Secure) nog in gebruik zijn.</t>
  </si>
  <si>
    <t xml:space="preserve">Update naar 22.7R2.6 (ICS), 22.7R1.4 (IPS), 22.8R2.2 (ZTA); vervang EOL-appliances; factory reset bij IoC's.</t>
  </si>
  <si>
    <t xml:space="preserve">Crashes van de webserver (core dumps) en ICT-afwijkingen; uitgaande verbindingen vanaf de appliance.</t>
  </si>
  <si>
    <t xml:space="preserve">Ivanti Connect Secure &lt;= 22.7R2.5; Policy Secure &lt;= 22.7R1.3; ZTA Gateways &lt;= 22.8R2.1; Pulse Connect Secure 9.1x (EOL)</t>
  </si>
  <si>
    <t xml:space="preserve">22.7R2.6 / 22.7R1.4 / 22.8R2.2 (april 2025)</t>
  </si>
  <si>
    <t xml:space="preserve">Ja - KEV sinds 2025-04-04</t>
  </si>
  <si>
    <t xml:space="preserve">CVE-2025-0282, AV-EXT-05</t>
  </si>
  <si>
    <t xml:space="preserve">KEV (2025-04-04); CVSS-bron: CNA</t>
  </si>
  <si>
    <t xml:space="preserve">https://forums.ivanti.com/s/article/April-Security-Advisory-Ivanti-Connect-Secure-Policy-Secure-ZTA-Gateways-CVE-2025-22457; https://nvd.nist.gov/vuln/detail/CVE-2025-22457</t>
  </si>
  <si>
    <t xml:space="preserve">CVE-2025-4428</t>
  </si>
  <si>
    <t xml:space="preserve">Ivanti Endpoint Manager Mobile (EPMM) - RCE chained with auth bypass CVE-2025-4427</t>
  </si>
  <si>
    <t xml:space="preserve">Een authentication bypass in de API (CVE-2025-4427) gecombineerd met code injection via een open-source library (CVE-2025-4428, Hibernate Validator EL-injectie) gaf ongeauthenticeerde RCE op de MDM-server; in mei 2025 als zero-day misbruikt (UNC5221), met diefstal van device- en LDAP-gegevens.</t>
  </si>
  <si>
    <t xml:space="preserve">Overname van de MDM-server: toegang tot alle beheerde mobiele apparaten, LDAP-credentials en certificaten.</t>
  </si>
  <si>
    <t xml:space="preserve">Controleer de EPMM-versie (12.5.0.1 / 12.4.0.2 / 12.3.0.2 of hoger) en of de API vanaf internet bereikbaar is zonder filtering (RBAC/portal-ACL).</t>
  </si>
  <si>
    <t xml:space="preserve">Update EPMM; beperk API-toegang via de ingebouwde Portal ACL's of een WAF; roteer LDAP-/service-credentials bij verdenking.</t>
  </si>
  <si>
    <t xml:space="preserve">Alarmeer op verzoeken naar /api/v2/featureusage met EL-expressies (${...}) en op child-processen van de EPMM-webserver.</t>
  </si>
  <si>
    <t xml:space="preserve">CWE-94, CWE-288</t>
  </si>
  <si>
    <t xml:space="preserve">Ivanti EPMM 11.12.0.4 en eerder, 12.3.0.1, 12.4.0.1, 12.5.0.0 en eerder</t>
  </si>
  <si>
    <t xml:space="preserve">12.5.0.1 / 12.4.0.2 / 12.3.0.2 / 11.12.0.5 (mei 2025)</t>
  </si>
  <si>
    <t xml:space="preserve">Ja - KEV sinds 2025-05-19</t>
  </si>
  <si>
    <t xml:space="preserve">CVE-2026-1281, AV-MOB-11</t>
  </si>
  <si>
    <t xml:space="preserve">KEV (2025-05-19); CVSS-bron: CNA; Verwante CVE's zonder eigen rij: CVE-2025-4427</t>
  </si>
  <si>
    <t xml:space="preserve">https://forums.ivanti.com/s/article/Security-Advisory-Ivanti-Endpoint-Manager-Mobile-EPMM; https://nvd.nist.gov/vuln/detail/CVE-2025-4428</t>
  </si>
  <si>
    <t xml:space="preserve">CVE-2026-1281</t>
  </si>
  <si>
    <t xml:space="preserve">Ivanti Endpoint Manager Mobile (EPMM) - unauthenticated code injection RCE (met CVE-2026-1340)</t>
  </si>
  <si>
    <t xml:space="preserve">Twee code-injectiefouten in EPMM laten ongeauthenticeerde code-uitvoering op de MDM-server toe; CVE-2026-1281 werd eind januari 2026 als zero-day misbruikt en CVE-2026-1340 volgde in april 2026 in KEV.</t>
  </si>
  <si>
    <t xml:space="preserve">Overname van de MDM-server en alle beheerde apparaten, LDAP-credentials en certificaten.</t>
  </si>
  <si>
    <t xml:space="preserve">Controleer de EPMM-versie tegen het Ivanti-advies (12.x.0.x / 12.x.1.x RPM-fixes) en de blootstelling van de API; controleer op IoC's uit het advies.</t>
  </si>
  <si>
    <t xml:space="preserve">Installeer de RPM-fixes van Ivanti en upgrade naar de laatste release; beperk API-toegang; roteer credentials.</t>
  </si>
  <si>
    <t xml:space="preserve">Alarmeer op afwijkende API-verzoeken en child-processen van de EPMM-webserver.</t>
  </si>
  <si>
    <t xml:space="preserve">CWE-94</t>
  </si>
  <si>
    <t xml:space="preserve">Ivanti EPMM 12.x zonder de fixes van januari 2026 (zie advies CVE-2026-1281 / CVE-2026-1340)</t>
  </si>
  <si>
    <t xml:space="preserve">RPM-fixes januari 2026 en opvolgende releases</t>
  </si>
  <si>
    <t xml:space="preserve">Ja - KEV sinds 2026-01-29</t>
  </si>
  <si>
    <t xml:space="preserve">In het wild misbruikt (KEV 2026-01-29 en 2026-04-08)</t>
  </si>
  <si>
    <t xml:space="preserve">CVE-2025-4428, AV-EXT-05</t>
  </si>
  <si>
    <t xml:space="preserve">KEV; CVSS-bron: CNA; Verwante CVE's zonder eigen rij: CVE-2026-1340</t>
  </si>
  <si>
    <t xml:space="preserve">https://forums.ivanti.com/s/article/Security-Advisory-Ivanti-Endpoint-Manager-Mobile-EPMM-CVE-2026-1281-CVE-2026-1340; https://nvd.nist.gov/vuln/detail/CVE-2026-1281</t>
  </si>
  <si>
    <t xml:space="preserve">CVE-2026-10520</t>
  </si>
  <si>
    <t xml:space="preserve">Ivanti Sentry - unauthenticated OS command injection (root RCE)</t>
  </si>
  <si>
    <t xml:space="preserve">Een OS command injection in Ivanti Sentry (de ActiveSync/app-gateway van de MobileIron-suite) laat een ongeauthenticeerde aanvaller als root commando's uitvoeren; in juni 2026 toegevoegd aan KEV.</t>
  </si>
  <si>
    <t xml:space="preserve">Overname van de gateway die mail- en app-verkeer van mobiele apparaten afhandelt; onderschepping van credentials en pivot naar EPMM/Exchange.</t>
  </si>
  <si>
    <t xml:space="preserve">Controleer de Sentry-versie (R10.5.2 / R10.6.2 / R10.7.1 of hoger) en of de beheer- en gatewaypoorten (8443/443) vanaf internet bereikbaar zijn.</t>
  </si>
  <si>
    <t xml:space="preserve">Update Sentry; beperk toegang tot de beheerinterface (8443) tot de beheerzone.</t>
  </si>
  <si>
    <t xml:space="preserve">Alarmeer op onverwachte processen onder de Sentry-webserver en op configuratiewijzigingen.</t>
  </si>
  <si>
    <t xml:space="preserve">Ivanti Sentry &lt; R10.5.2, &lt; R10.6.2, &lt; R10.7.1</t>
  </si>
  <si>
    <t xml:space="preserve">R10.5.2 / R10.6.2 / R10.7.1 (juni 2026)</t>
  </si>
  <si>
    <t xml:space="preserve">Ja - KEV sinds 2026-06-11</t>
  </si>
  <si>
    <t xml:space="preserve">In het wild misbruikt (KEV 2026-06-11)</t>
  </si>
  <si>
    <t xml:space="preserve">CVE-2026-1281, AV-EXT-05</t>
  </si>
  <si>
    <t xml:space="preserve">KEV; zie ook CVE-2026-10523; CVSS-bron: CNA</t>
  </si>
  <si>
    <t xml:space="preserve">https://hub.ivanti.com/s/article/Security-Advisory-Ivanti-Sentry-CVE-2026-10520-CVE-2026-10523?language=en_US; https://nvd.nist.gov/vuln/detail/CVE-2026-10520</t>
  </si>
  <si>
    <t xml:space="preserve">CVE-2024-3400</t>
  </si>
  <si>
    <t xml:space="preserve">Palo Alto PAN-OS GlobalProtect - arbitrary file creation to command injection (root RCE)</t>
  </si>
  <si>
    <t xml:space="preserve">Via een gemanipuleerde SESSID-cookie kon een ongeauthenticeerde aanvaller bestanden met gekozen namen aanmaken op de firewall, wat via een cronjob tot command injection als root leidde (Operation MidnightEclipse, UPSTYLE-backdoor); treft GlobalProtect-portals/gateways op PAN-OS 10.2/11.0/11.1.</t>
  </si>
  <si>
    <t xml:space="preserve">Volledige overname van de firewall en VPN-gateway; configuratie- en credentialdiefstal, pivot naar intern.</t>
  </si>
  <si>
    <t xml:space="preserve">Controleer de PAN-OS-versie (10.2.9-h1 / 11.0.4-h1 / 11.1.2-h3 of hoger) en of GlobalProtect is geconfigureerd; controleer de logs op SESSID-cookies met pad-sequenties.</t>
  </si>
  <si>
    <t xml:space="preserve">Update PAN-OS (hotfixes april 2024), activeer Threat Prevention-signature 95187 e.v., onderzoek op compromittering (Palo Alto-levels 0-3) en reset/herinstalleer bij IoC's.</t>
  </si>
  <si>
    <t xml:space="preserve">GlobalProtect-logs met SESSID-waarden die paden bevatten; onverwachte uitgaande verbindingen vanaf de firewall.</t>
  </si>
  <si>
    <t xml:space="preserve">CWE-77, CWE-20</t>
  </si>
  <si>
    <t xml:space="preserve">PAN-OS 10.2 &lt; 10.2.9-h1, 11.0 &lt; 11.0.4-h1, 11.1 &lt; 11.1.2-h3 met GlobalProtect; Cloud NGFW, Panorama en Prisma Access niet getroffen</t>
  </si>
  <si>
    <t xml:space="preserve">10.2.9-h1 / 11.0.4-h1 / 11.1.2-h3 (14 april 2024)</t>
  </si>
  <si>
    <t xml:space="preserve">Ja - KEV sinds 2024-04-12</t>
  </si>
  <si>
    <t xml:space="preserve">KEV (2024-04-12); CVSS-bron: CNA</t>
  </si>
  <si>
    <t xml:space="preserve">https://security.paloaltonetworks.com/CVE-2024-3400; https://unit42.paloaltonetworks.com/cve-2024-3400/; https://nvd.nist.gov/vuln/detail/CVE-2024-3400</t>
  </si>
  <si>
    <t xml:space="preserve">CVE-2024-0012</t>
  </si>
  <si>
    <t xml:space="preserve">Palo Alto PAN-OS management interface - authentication bypass (chained with CVE-2024-9474 privesc)</t>
  </si>
  <si>
    <t xml:space="preserve">Een authentication bypass in de PAN-OS-beheerinterface (X-PAN-AUTHCHECK: off header) geeft ongeauthenticeerde beheerderstoegang; gecombineerd met CVE-2024-9474 (command injection als root) leidt dit tot volledige overname (Operation Lunar Peek, november 2024). In 2025 volgde CVE-2025-0108 met vergelijkbaar effect.</t>
  </si>
  <si>
    <t xml:space="preserve">Root op de firewall via een aan internet blootgestelde beheerinterface; webshells en configuratiediefstal.</t>
  </si>
  <si>
    <t xml:space="preserve">Controleer of de beheerinterface vanaf internet of gebruikersnetwerken bereikbaar is en of de versie gepatcht is (11.2.4-h1 / 11.1.5-h1 / 11.0.6-h1 / 10.2.12-h2 of hoger; voor CVE-2025-0108 latere hotfixes).</t>
  </si>
  <si>
    <t xml:space="preserve">Beheerinterface alleen via een beheer-VLAN/jump host (Palo Alto best practice), update PAN-OS, onderzoek op compromittering bij eerdere blootstelling.</t>
  </si>
  <si>
    <t xml:space="preserve">Alarmeer op verzoeken met X-PAN-AUTHCHECK: off en op onverwachte admin-logins of configuratiewijzigingen.</t>
  </si>
  <si>
    <t xml:space="preserve">CVSS:4.0/AV:N/AC:L/AT:N/PR:N/UI:N/VC:H/VI:H/VA:H/SC:L/SI:N/SA:N</t>
  </si>
  <si>
    <t xml:space="preserve">PAN-OS 11.2 &lt; 11.2.4-h1, 11.1 &lt; 11.1.5-h1, 11.0 &lt; 11.0.6-h1, 10.2 &lt; 10.2.12-h2 (beheerinterface blootgesteld)</t>
  </si>
  <si>
    <t xml:space="preserve">11.2.4-h1 / 11.1.5-h1 / 11.0.6-h1 / 10.2.12-h2 (november 2024)</t>
  </si>
  <si>
    <t xml:space="preserve">Ja - KEV sinds 2024-11-18</t>
  </si>
  <si>
    <t xml:space="preserve">AV-EXT-02, AV-NET-12</t>
  </si>
  <si>
    <t xml:space="preserve">KEV (2024-11-18); CVSS-bron: CNA; Verwante CVE's zonder eigen rij: CVE-2024-9474, CVE-2025-0108</t>
  </si>
  <si>
    <t xml:space="preserve">https://security.paloaltonetworks.com/CVE-2024-0012; https://nvd.nist.gov/vuln/detail/CVE-2024-0012</t>
  </si>
  <si>
    <t xml:space="preserve">CVE-2026-0300</t>
  </si>
  <si>
    <t xml:space="preserve">Palo Alto PAN-OS User-ID Authentication Portal (Captive Portal) - unauthenticated buffer overflow (root RCE)</t>
  </si>
  <si>
    <t xml:space="preserve">Een buffer overflow in de User-ID Authentication Portal van PAN-OS laat een ongeauthenticeerde aanvaller code uitvoeren als root op PA- en VM-Series firewalls door speciaal gevormde pakketten te sturen; in mei 2026 aan KEV toegevoegd.</t>
  </si>
  <si>
    <t xml:space="preserve">Volledige overname van de firewall vanaf elk netwerk dat de Captive Portal kan bereiken.</t>
  </si>
  <si>
    <t xml:space="preserve">Controleer of de User-ID Authentication Portal is ingeschakeld en vanaf welke zones bereikbaar is; controleer de PAN-OS-versie (12.1.7 / 11.2.12 / 11.1.15 / 10.2.18-h6 of hoger).</t>
  </si>
  <si>
    <t xml:space="preserve">Update PAN-OS; beperk de Authentication Portal tot vertrouwde interne IP-ranges volgens de best-practice-richtlijnen.</t>
  </si>
  <si>
    <t xml:space="preserve">Alarmeer op crashes van de authd/captive-portal-processen en op onverwachte processen op de firewall.</t>
  </si>
  <si>
    <t xml:space="preserve">CWE-787</t>
  </si>
  <si>
    <t xml:space="preserve">CVSS:4.0/AV:N/AC:L/AT:N/PR:N/UI:N/VC:H/VI:H/VA:H/SC:L/SI:L/SA:N</t>
  </si>
  <si>
    <t xml:space="preserve">PAN-OS 12.1 &lt; 12.1.7, 11.2 &lt; 11.2.12, 11.1 &lt; 11.1.15, 10.2 &lt; 10.2.18-h6 met User-ID Authentication Portal; Prisma Access, Cloud NGFW en Panorama niet getroffen</t>
  </si>
  <si>
    <t xml:space="preserve">12.1.7 / 11.2.12 / 11.1.15 / 10.2.18-h6 (mei 2026)</t>
  </si>
  <si>
    <t xml:space="preserve">Ja - KEV sinds 2026-05-06</t>
  </si>
  <si>
    <t xml:space="preserve">In het wild misbruikt (KEV 2026-05-06)</t>
  </si>
  <si>
    <t xml:space="preserve">AV-EXT-05, CVE-2024-3400</t>
  </si>
  <si>
    <t xml:space="preserve">https://security.paloaltonetworks.com/CVE-2026-0300; https://nvd.nist.gov/vuln/detail/CVE-2026-0300</t>
  </si>
  <si>
    <t xml:space="preserve">CVE-2026-0257</t>
  </si>
  <si>
    <t xml:space="preserve">Palo Alto PAN-OS GlobalProtect portal/gateway - authentication bypass (unauthorized VPN connection)</t>
  </si>
  <si>
    <t xml:space="preserve">Authentication-bypassfouten in de GlobalProtect-portal en -gateway (vertrouwen op cookies zonder validatie/integriteitscontrole) laten een aanvaller een VPN-verbinding opzetten zonder geldige credentials; vanaf mei 2026 in het wild misbruikt.</t>
  </si>
  <si>
    <t xml:space="preserve">Ongeautoriseerde VPN-toegang tot het interne netwerk met omzeiling van authenticatie en MFA.</t>
  </si>
  <si>
    <t xml:space="preserve">Controleer de PAN-OS-versie tegen de lange lijst hotfixes in het advies (o.a. 12.1.7, 11.2.12, 11.1.15, 10.2.18-h6) en of GlobalProtect portal/gateway extern bereikbaar zijn; analyseer GP-logs op logins zonder bijbehorende authenticatie-events.</t>
  </si>
  <si>
    <t xml:space="preserve">Update PAN-OS/Prisma Access conform het advies; herzie GlobalProtect-authenticatieprofielen en forceer herauthenticatie van clients.</t>
  </si>
  <si>
    <t xml:space="preserve">GlobalProtect-logs met succesvolle verbindingen zonder authenticatie-event; nieuwe gebruikers/apparaten vanaf onbekende locaties.</t>
  </si>
  <si>
    <t xml:space="preserve">CWE-565</t>
  </si>
  <si>
    <t xml:space="preserve">CVSS:4.0/AV:N/AC:L/AT:N/PR:N/UI:N/VC:L/VI:N/VA:N/SC:H/SI:H/SA:N</t>
  </si>
  <si>
    <t xml:space="preserve">PAN-OS 12.1, 11.2, 11.1 en 10.2 (diverse builds) met GlobalProtect; Prisma Access 10.2 &lt; 10.2.10-h36 en 11.2 &lt; 11.2.7-h13; Panorama en Cloud NGFW niet getroffen</t>
  </si>
  <si>
    <t xml:space="preserve">Zie advies CVE-2026-0257 (mei 2026)</t>
  </si>
  <si>
    <t xml:space="preserve">Ja - KEV sinds 2026-05-29</t>
  </si>
  <si>
    <t xml:space="preserve">In het wild misbruikt (KEV 2026-05-29)</t>
  </si>
  <si>
    <t xml:space="preserve">https://security.paloaltonetworks.com/CVE-2026-0257; https://nvd.nist.gov/vuln/detail/CVE-2026-0257</t>
  </si>
  <si>
    <t xml:space="preserve">CVE-2023-20198</t>
  </si>
  <si>
    <t xml:space="preserve">Cisco IOS XE web UI - privilege escalation to level 15 (implant campaign)</t>
  </si>
  <si>
    <t xml:space="preserve">Een fout in de web UI van IOS XE laat een ongeauthenticeerde aanvaller een lokaal account met privilege 15 aanmaken; gecombineerd met CVE-2023-20273 (privesc naar root) werd in oktober 2023 op meer dan 40.000 apparaten een Lua-implant geplaatst.</t>
  </si>
  <si>
    <t xml:space="preserve">Volledige controle over routers/switches met blootgestelde web UI; verkeersmanipulatie en persistente netwerktoegang.</t>
  </si>
  <si>
    <t xml:space="preserve">Controleer of HTTP(S)-server actief is (ip http server / secure-server) en vanaf welke netwerken bereikbaar; controleer de IOS XE-versie en zoek naar de implant (curl-check uit het Cisco-advies) en onbekende level-15-gebruikers.</t>
  </si>
  <si>
    <t xml:space="preserve">Schakel de web UI uit of beperk via ACL tot beheerders; update IOS XE; verwijder onbekende accounts en herstart (implant is niet persistent, de accounts wel).</t>
  </si>
  <si>
    <t xml:space="preserve">Syslog-meldingen over nieuwe gebruikers (%SYS-5-CONFIG_P), %WEBUI-6-INSTALL_OPERATION_INFO met onbekende gebruikersnamen.</t>
  </si>
  <si>
    <t xml:space="preserve">CWE-420</t>
  </si>
  <si>
    <t xml:space="preserve">Cisco IOS XE 16.x en 17.x met web UI ingeschakeld en blootgesteld</t>
  </si>
  <si>
    <t xml:space="preserve">IOS XE 17.9.4a, 17.6.6a, 17.3.8a, 16.12.10a e.a. (oktober 2023)</t>
  </si>
  <si>
    <t xml:space="preserve">Ja - KEV sinds 2023-10-16</t>
  </si>
  <si>
    <t xml:space="preserve">KEV (2023-10-16); CVSS-bron: CNA; Verwante CVE's zonder eigen rij: CVE-2023-20273</t>
  </si>
  <si>
    <t xml:space="preserve">https://sec.cloudapps.cisco.com/security/center/content/CiscoSecurityAdvisory/cisco-sa-iosxe-webui-privesc-j22SaA4z; https://nvd.nist.gov/vuln/detail/CVE-2023-20198</t>
  </si>
  <si>
    <t xml:space="preserve">CVE-2025-20333</t>
  </si>
  <si>
    <t xml:space="preserve">Cisco ASA / FTD VPN web server - RCE chained with auth bypass CVE-2025-20362 (ArcaneDoor II)</t>
  </si>
  <si>
    <t xml:space="preserve">Een buffer overflow in de VPN-webserver (CVE-2025-20333, geauthenticeerd) gecombineerd met een authorization bypass op VPN-endpoints (CVE-2025-20362) gaf ongeauthenticeerde root-RCE op ASA/FTD; UAT4356/Storm-1849 misbruikte dit sinds mei 2025 met ROM-manipulatie voor persistentie (CISA ED 25-03).</t>
  </si>
  <si>
    <t xml:space="preserve">Volledige compromittering van de firewall/VPN-concentrator, persistentie die reboots en upgrades overleeft op oudere hardware.</t>
  </si>
  <si>
    <t xml:space="preserve">Controleer de ASA/FTD-versie en of SSL-VPN/WebVPN extern actief is; voer de Cisco core-dump/forensische procedure uit op mogelijk getroffen apparaten (ED 25-03).</t>
  </si>
  <si>
    <t xml:space="preserve">Update conform het Cisco-advies (september 2025), vervang EOL-hardware (ASA 5500-X zonder Secure Boot), onderzoek op compromittering en roteer credentials/certificaten.</t>
  </si>
  <si>
    <t xml:space="preserve">Onverwachte reboots/crashes, uitgeschakelde logging, en afwijkende verzoeken naar WebVPN-endpoints.</t>
  </si>
  <si>
    <t xml:space="preserve">T1190, T1133, T1542</t>
  </si>
  <si>
    <t xml:space="preserve">CWE-120, CWE-862</t>
  </si>
  <si>
    <t xml:space="preserve">Cisco Secure Firewall ASA 9.8 t/m 9.22 en FTD 6.2.3 t/m 7.7 (diverse builds) met VPN-webservices</t>
  </si>
  <si>
    <t xml:space="preserve">Zie cisco-sa-asaftd-webvpn-z5xP8EUB / -YROOTUW (25 september 2025)</t>
  </si>
  <si>
    <t xml:space="preserve">Ja - KEV sinds 2025-09-25</t>
  </si>
  <si>
    <t xml:space="preserve">In het wild misbruikt (KEV 2025-09-25)</t>
  </si>
  <si>
    <t xml:space="preserve">AV-EXT-05, AV-NET-21</t>
  </si>
  <si>
    <t xml:space="preserve">KEV; CISA ED 25-03; CVSS-bron: CNA; Verwante CVE's zonder eigen rij: CVE-2025-20362</t>
  </si>
  <si>
    <t xml:space="preserve">https://sec.cloudapps.cisco.com/security/center/content/CiscoSecurityAdvisory/cisco-sa-asaftd-webvpn-z5xP8EUB; https://nvd.nist.gov/vuln/detail/CVE-2025-20333</t>
  </si>
  <si>
    <t xml:space="preserve">CVE-2026-20079</t>
  </si>
  <si>
    <t xml:space="preserve">Cisco Secure Firewall Management Center (FMC) - authentication bypass to root RCE (ook CVE-2026-20131 Java deserialization)</t>
  </si>
  <si>
    <t xml:space="preserve">Een onjuist opgestart systeemproces in FMC laat een ongeauthenticeerde aanvaller via gemanipuleerde HTTP-verzoeken scripts uitvoeren en root worden (CVE-2026-20079); eerder in 2026 werd ook een pre-auth Java-deserialisatie-RCE (CVE-2026-20131) in de FMC-webinterface misbruikt.</t>
  </si>
  <si>
    <t xml:space="preserve">Overname van de centrale firewallbeheerserver en daarmee van alle beheerde FTD-firewalls (policy-wijzigingen, verkeersomleiding).</t>
  </si>
  <si>
    <t xml:space="preserve">Controleer de FMC-versie tegen de Cisco-adviezen (maart en september 2026) en of de beheerinterface buiten de beheerzone bereikbaar is.</t>
  </si>
  <si>
    <t xml:space="preserve">Update FMC; beheerinterface alleen vanuit de beheerzone; onderzoek op compromittering bij eerdere blootstelling.</t>
  </si>
  <si>
    <t xml:space="preserve">Alarmeer op nieuwe processen/accounts op FMC en op policy-wijzigingen buiten changevensters.</t>
  </si>
  <si>
    <t xml:space="preserve">CWE-288, CWE-502</t>
  </si>
  <si>
    <t xml:space="preserve">Cisco Secure FMC 6.4.0.x, 7.0.x, 7.1.x, 7.2.x e.a. (zie advies)</t>
  </si>
  <si>
    <t xml:space="preserve">Zie cisco-sa-onprem-fmc-authbypass-5JPp45V2 en cisco-sa-fmc-rce-NKhnULJh (2026)</t>
  </si>
  <si>
    <t xml:space="preserve">Ja - KEV sinds 2026-09-09</t>
  </si>
  <si>
    <t xml:space="preserve">In het wild misbruikt (KEV 2026-09-09; CVE-2026-20131 op 2026-03-19)</t>
  </si>
  <si>
    <t xml:space="preserve">KEV; CVSS-bron: CNA; Verwante CVE's zonder eigen rij: CVE-2026-20131</t>
  </si>
  <si>
    <t xml:space="preserve">https://sec.cloudapps.cisco.com/security/center/content/CiscoSecurityAdvisory/cisco-sa-onprem-fmc-authbypass-5JPp45V2; https://nvd.nist.gov/vuln/detail/CVE-2026-20079</t>
  </si>
  <si>
    <t xml:space="preserve">CVE-2026-20182</t>
  </si>
  <si>
    <t xml:space="preserve">Cisco Catalyst SD-WAN Controller/Manager/Validator - peering authentication bypass (ook CVE-2026-20127)</t>
  </si>
  <si>
    <t xml:space="preserve">De peering-authenticatie tussen SD-WAN-componenten (vSmart/vManage/vBond) werkt niet correct, waardoor een ongeauthenticeerde aanvaller inlogt als intern hooggeprivilegieerd account en via NETCONF de SD-WAN-fabric kan herconfigureren; CVE-2026-20127 (februari 2026) en de vervolgfout CVE-2026-20182 (mei 2026) zijn beide actief misbruikt.</t>
  </si>
  <si>
    <t xml:space="preserve">Volledige controle over de WAN-fabric: verkeersomleiding/onderschepping van alle vestigingen en uitval.</t>
  </si>
  <si>
    <t xml:space="preserve">Controleer de Catalyst SD-WAN-versies tegen beide Cisco-adviezen en of control-connection-poorten (DTLS/TLS 12346 e.a.) vanaf internet bereikbaar zijn; gebruik de 'show control connections'-controles uit het advies.</t>
  </si>
  <si>
    <t xml:space="preserve">Update alle SD-WAN-controllers; beperk control-plane-poorten tot bekende peers; roteer certificaten bij verdenking.</t>
  </si>
  <si>
    <t xml:space="preserve">Alarmeer op nieuwe/onbekende control connections en op configuratiewijzigingen via NETCONF door interne accounts.</t>
  </si>
  <si>
    <t xml:space="preserve">T1190, T1557</t>
  </si>
  <si>
    <t xml:space="preserve">Cisco Catalyst SD-WAN Controller/Manager/Validator 17.x t/m 20.x (diverse builds, zie advies)</t>
  </si>
  <si>
    <t xml:space="preserve">Zie cisco-sa-sdwan-rpa-EHchtZk (februari 2026) en cisco-sa-sdwan-rpa2-v69WY2SW (mei 2026)</t>
  </si>
  <si>
    <t xml:space="preserve">Ja - KEV sinds 2026-05-14</t>
  </si>
  <si>
    <t xml:space="preserve">In het wild misbruikt (KEV 2026-02-25 en 2026-05-14)</t>
  </si>
  <si>
    <t xml:space="preserve">KEV; CVSS-bron: CNA; Verwante CVE's zonder eigen rij: CVE-2026-20127</t>
  </si>
  <si>
    <t xml:space="preserve">https://sec.cloudapps.cisco.com/security/center/content/CiscoSecurityAdvisory/cisco-sa-sdwan-rpa2-v69WY2SW; https://sec.cloudapps.cisco.com/security/center/content/CiscoSecurityAdvisory/cisco-sa-sdwan-rpa-EHchtZk; https://nvd.nist.gov/vuln/detail/CVE-2026-20182</t>
  </si>
  <si>
    <t xml:space="preserve">CVE-2025-20393</t>
  </si>
  <si>
    <t xml:space="preserve">Cisco Secure Email Gateway / Email and Web Manager - unauthenticated remote command execution (Spam Quarantine)</t>
  </si>
  <si>
    <t xml:space="preserve">Onvoldoende validatie van HTTP-verzoeken in de Spam Quarantine-functie van AsyncOS laat een ongeauthenticeerde aanvaller systeemcommando's als root uitvoeren; in december 2025 als zero-day misbruikt (UAT-9686) met persistente malware op de appliances.</t>
  </si>
  <si>
    <t xml:space="preserve">Overname van de mailgateway: lezen/wijzigen van e-mail, credentialdiefstal en pivot naar het interne netwerk.</t>
  </si>
  <si>
    <t xml:space="preserve">Controleer of Spam Quarantine extern bereikbaar is en de AsyncOS-versie tegen het Cisco-advies; voer de door Cisco gepubliceerde IoC-controles uit.</t>
  </si>
  <si>
    <t xml:space="preserve">Update AsyncOS conform het advies; schakel de externe Spam Quarantine uit of beperk tot interne gebruikers; onderzoek op compromittering.</t>
  </si>
  <si>
    <t xml:space="preserve">Alarmeer op onverwachte processen en bestanden op de appliance en op configuratiewijzigingen.</t>
  </si>
  <si>
    <t xml:space="preserve">Cisco Secure Email Gateway en Secure Email and Web Manager (AsyncOS 12.x t/m 15.x, zie advies) met Spam Quarantine ingeschakeld</t>
  </si>
  <si>
    <t xml:space="preserve">Zie cisco-sa-sma-attack-N9bf4 (december 2025)</t>
  </si>
  <si>
    <t xml:space="preserve">Ja - KEV sinds 2025-12-17</t>
  </si>
  <si>
    <t xml:space="preserve">In het wild misbruikt (KEV 2025-12-17)</t>
  </si>
  <si>
    <t xml:space="preserve">AV-EXT-03, AV-EXT-02</t>
  </si>
  <si>
    <t xml:space="preserve">https://sec.cloudapps.cisco.com/security/center/content/CiscoSecurityAdvisory/cisco-sa-sma-attack-N9bf4; https://nvd.nist.gov/vuln/detail/CVE-2025-20393</t>
  </si>
  <si>
    <t xml:space="preserve">CVE-2024-24919</t>
  </si>
  <si>
    <t xml:space="preserve">Check Point Security Gateway - unauthenticated information disclosure (arbitrary file read)</t>
  </si>
  <si>
    <t xml:space="preserve">Gateways met Remote Access VPN of Mobile Access ingeschakeld laten via een gemanipuleerd POST-verzoek willekeurige bestanden lezen (bv. /etc/shadow, lokale gebruikers, SSH-keys), waarmee aanvallers lokale accounts kraken en AD-credentials uit de configuratie halen.</t>
  </si>
  <si>
    <t xml:space="preserve">Credentialdiefstal en daarmee VPN-/netwerktoegang; gebruikt door meerdere actoren sinds april 2024.</t>
  </si>
  <si>
    <t xml:space="preserve">Controleer of IPsec VPN/Mobile Access-blades actief zijn en of de hotfix is geinstalleerd (sk182336); test met een niet-destructieve read van een onschuldig bestand binnen RoE.</t>
  </si>
  <si>
    <t xml:space="preserve">Installeer de hotfix, verwijder lokale accounts met wachtwoord-only-authenticatie, roteer credentials (incl. LDAP-account), MFA.</t>
  </si>
  <si>
    <t xml:space="preserve">Alarmeer op POST-verzoeken naar /clients/MyCRL met pad-sequenties.</t>
  </si>
  <si>
    <t xml:space="preserve">T1190, T1552, T1133</t>
  </si>
  <si>
    <t xml:space="preserve">CWE-200, CWE-22</t>
  </si>
  <si>
    <t xml:space="preserve">CVSS:3.1/AV:N/AC:L/PR:N/UI:N/S:C/C:H/I:N/A:N</t>
  </si>
  <si>
    <t xml:space="preserve">Check Point Quantum Security Gateway en CloudGuard Network R81.20, R81.10, R81, R80.40; Quantum Spark R81.10.x, R80.20.x (met Remote Access VPN / Mobile Access)</t>
  </si>
  <si>
    <t xml:space="preserve">Hotfix sk182336 (28 mei 2024)</t>
  </si>
  <si>
    <t xml:space="preserve">Ja - KEV sinds 2024-05-30</t>
  </si>
  <si>
    <t xml:space="preserve">KEV (2024-05-30); CVSS-bron: CNA</t>
  </si>
  <si>
    <t xml:space="preserve">https://support.checkpoint.com/results/sk/sk182336; https://nvd.nist.gov/vuln/detail/CVE-2024-24919</t>
  </si>
  <si>
    <t xml:space="preserve">CVE-2026-85102</t>
  </si>
  <si>
    <t xml:space="preserve">Check Point Quantum Security Gateway - improper certificate validation in VPN negotiation (pre-auth RCE; ook CVE-2026-50751 IKEv1 auth bypass)</t>
  </si>
  <si>
    <t xml:space="preserve">Onjuiste validatie van certificaatvertrouwen tijdens de VPN-onderhandeling laat een ongeauthenticeerde aanvaller code uitvoeren op de gateway (CVE-2026-85102, september 2026); eerder in 2026 liet een logische fout in de IKEv1-certificaatvalidatie (CVE-2026-50751) remote-access-VPN-verbindingen zonder wachtwoord toe.</t>
  </si>
  <si>
    <t xml:space="preserve">Overname van de firewall/VPN-gateway en ongeautoriseerde VPN-toegang tot het interne netwerk.</t>
  </si>
  <si>
    <t xml:space="preserve">Controleer de Jumbo Hotfix Take (R82.10 &gt; Take 43, R82 &gt; Take 125, R81.20 &gt; Take 165 voor 85102) en of IKEv1 nog is toegestaan voor remote access; controleer VPN-logs op verbindingen zonder gebruikersauthenticatie.</t>
  </si>
  <si>
    <t xml:space="preserve">Installeer de Jumbo Hotfixes (sk1000117, sk185033), schakel IKEv1 uit voor remote access, forceer certificaat- en MFA-authenticatie.</t>
  </si>
  <si>
    <t xml:space="preserve">Alarmeer op VPN-verbindingen met afwijkende certificaatketens en op gateway-crashes/herstarts.</t>
  </si>
  <si>
    <t xml:space="preserve">CWE-295, CWE-287</t>
  </si>
  <si>
    <t xml:space="preserve">Quantum Security Gateway R82.10 (JHF &lt;= 43), R82 (JHF &lt;= 125), R81.20 (JHF &lt;= 165); voor CVE-2026-50751 ook R81.10/R81/R80.40 en Spark-appliances</t>
  </si>
  <si>
    <t xml:space="preserve">Jumbo Hotfixes per sk1000117 (september 2026) en sk185033 (juni 2026)</t>
  </si>
  <si>
    <t xml:space="preserve">Ja - KEV sinds 2026-09-22</t>
  </si>
  <si>
    <t xml:space="preserve">In het wild misbruikt (KEV 2026-09-22; CVE-2026-50751 op 2026-06-08)</t>
  </si>
  <si>
    <t xml:space="preserve">CVE-2024-24919, AV-EXT-05</t>
  </si>
  <si>
    <t xml:space="preserve">KEV; CVSS-bron: CNA; Verwante CVE's zonder eigen rij: CVE-2026-50751</t>
  </si>
  <si>
    <t xml:space="preserve">https://support.checkpoint.com/results/sk/sk1000117; https://nvd.nist.gov/vuln/detail/CVE-2026-85102</t>
  </si>
  <si>
    <t xml:space="preserve">CVE-2024-40766</t>
  </si>
  <si>
    <t xml:space="preserve">SonicWall SonicOS - improper access control on management/SSLVPN (Akira ransomware)</t>
  </si>
  <si>
    <t xml:space="preserve">Een access-control-fout in SonicOS (Gen 5/6/7) geeft ongeautoriseerde toegang tot resources via de beheer- en SSLVPN-interfaces en kan de firewall laten crashen; vanaf september 2024 gebruikt door Akira voor initial access, vooral tegen lokale SSLVPN-accounts zonder MFA. Later volgde CVE-2024-53704 (SSLVPN-authenticatie-bypass).</t>
  </si>
  <si>
    <t xml:space="preserve">Ongeautoriseerde VPN-/beheertoegang en ransomware-initial access.</t>
  </si>
  <si>
    <t xml:space="preserve">Controleer SonicOS-versie (7.0.1-5035 of ouder kwetsbaar), of beheer/SSLVPN op WAN open staan en of lokale gebruikers MFA hebben; controleer op CVE-2024-53704-patchniveau (7.1.3-7015 / 8.0.0-8037).</t>
  </si>
  <si>
    <t xml:space="preserve">Update SonicOS, beperk beheer en SSLVPN tot vertrouwde bronnen, reset wachtwoorden van lokale gebruikers en forceer MFA, verwijder ongebruikte accounts.</t>
  </si>
  <si>
    <t xml:space="preserve">Alarmeer op SSLVPN-logins van lokale accounts vanaf nieuwe locaties en op firewall-crashes.</t>
  </si>
  <si>
    <t xml:space="preserve">CVSS:3.1/AV:N/AC:L/PR:N/UI:N/S:C/C:H/I:N/A:L</t>
  </si>
  <si>
    <t xml:space="preserve">SonicOS Gen 5 (5.9.2.14-12o en ouder), Gen 6 (6.5.4.14-109n en ouder), Gen 7 (7.0.1-5035 en ouder)</t>
  </si>
  <si>
    <t xml:space="preserve">5.9.2.14-13o / 6.5.4.15.116n / 7.0.1-5072 (augustus 2024)</t>
  </si>
  <si>
    <t xml:space="preserve">Ja - KEV sinds 2024-09-09</t>
  </si>
  <si>
    <t xml:space="preserve">In het wild misbruikt (ransomware); PoC voor 53704 publiek</t>
  </si>
  <si>
    <t xml:space="preserve">KEV (2024-09-09); CVSS-bron: ADP CISA-ADP; Verwante CVE's zonder eigen rij: CVE-2024-53704</t>
  </si>
  <si>
    <t xml:space="preserve">https://psirt.global.sonicwall.com/vuln-detail/SNWLID-2024-0015; https://nvd.nist.gov/vuln/detail/CVE-2024-40766</t>
  </si>
  <si>
    <t xml:space="preserve">CVE-2026-83548</t>
  </si>
  <si>
    <t xml:space="preserve">SonicWall SMA1000 Work Place - pre-authentication SSRF (zero-day; ook CVE-2025-23006 deserialization RCE)</t>
  </si>
  <si>
    <t xml:space="preserve">Een onbedoeld alternatief toegangspad in de Work Place-interface van SMA1000 laat een ongeauthenticeerde aanvaller server-side verzoeken doen naar interne functies en ongeautoriseerde acties uitvoeren (september 2026); in 2025 werd dezelfde productlijn al getroffen door een pre-auth deserialisatie-RCE in de AMC/CMC (CVE-2025-23006) en een SSRF-/code-injectieketen (CVE-2026-15409/15410).</t>
  </si>
  <si>
    <t xml:space="preserve">Overname van de secure-access-appliance en toegang tot het interne netwerk/credentials van VPN-gebruikers.</t>
  </si>
  <si>
    <t xml:space="preserve">Controleer de SMA1000-firmware (12.4.3-03453/12.5.0-02835 platform-hotfix en ouder kwetsbaar voor 83548) en of Work Place/AMC extern bereikbaar zijn; voer IoC-controles uit.</t>
  </si>
  <si>
    <t xml:space="preserve">Installeer de platform-hotfixes conform SNWLID-2026-0016 (en eerdere adviezen), beperk AMC/CMC tot de beheerzone, roteer credentials.</t>
  </si>
  <si>
    <t xml:space="preserve">Alarmeer op interne verzoeken afkomstig van de Work Place-component en op onverwachte beheeracties.</t>
  </si>
  <si>
    <t xml:space="preserve">CWE-918, CWE-441</t>
  </si>
  <si>
    <t xml:space="preserve">SMA1000 12.4.3-03453 (platform-hotfix) en ouder; 12.5.0-02835 (platform-hotfix) en ouder</t>
  </si>
  <si>
    <t xml:space="preserve">Zie SNWLID-2026-0016 (september 2026)</t>
  </si>
  <si>
    <t xml:space="preserve">Ja - KEV sinds 2026-09-02</t>
  </si>
  <si>
    <t xml:space="preserve">In het wild misbruikt (KEV 2026-09-02)</t>
  </si>
  <si>
    <t xml:space="preserve">KEV; CVSS-bron: ADP CISA-ADP; Verwante CVE's zonder eigen rij: CVE-2025-23006</t>
  </si>
  <si>
    <t xml:space="preserve">https://psirt.global.sonicwall.com/vuln-detail/SNWLID-2026-0016; https://nvd.nist.gov/vuln/detail/CVE-2026-83548</t>
  </si>
  <si>
    <t xml:space="preserve">CVE-2022-1388</t>
  </si>
  <si>
    <t xml:space="preserve">F5 BIG-IP iControl REST - authentication bypass to RCE</t>
  </si>
  <si>
    <t xml:space="preserve">Door de headers Connection: X-F5-Auth-Token en een willekeurige X-F5-Auth-Token mee te sturen met basic auth voor 'admin' omzeilt een aanvaller de authenticatie van iControl REST en kan via /mgmt/tm/util/bash commando's als root uitvoeren.</t>
  </si>
  <si>
    <t xml:space="preserve">Volledige overname van de load balancer/WAF; onderschepping van verkeer van alle achterliggende applicaties.</t>
  </si>
  <si>
    <t xml:space="preserve">Controleer de BIG-IP-versie en of de beheerinterface/self-IP's met iControl REST bereikbaar zijn; voer een niet-destructieve lees-call uit als PoC binnen RoE.</t>
  </si>
  <si>
    <t xml:space="preserve">Update naar 17.0.0 / 16.1.2.2 / 15.1.5.1 / 14.1.4.6 / 13.1.5; beheer alleen via beheer-VLAN; iControl REST op self-IP's blokkeren (Allow None).</t>
  </si>
  <si>
    <t xml:space="preserve">Alarmeer op verzoeken naar /mgmt/tm/util/bash en op X-F5-Auth-Token in Connection-headers.</t>
  </si>
  <si>
    <t xml:space="preserve">BIG-IP 16.1.x &lt; 16.1.2.2, 15.1.x &lt; 15.1.5.1, 14.1.x &lt; 14.1.4.6, 13.1.x &lt; 13.1.5, alle 12.1.x en 11.6.x (EoTS)</t>
  </si>
  <si>
    <t xml:space="preserve">17.0.0 / 16.1.2.2 / 15.1.5.1 / 14.1.4.6 / 13.1.5 (mei 2022)</t>
  </si>
  <si>
    <t xml:space="preserve">Ja - KEV sinds 2022-05-10</t>
  </si>
  <si>
    <t xml:space="preserve">CVE-2020-5902, AV-NET-12, AV-EXT-02</t>
  </si>
  <si>
    <t xml:space="preserve">KEV (2022-05-10); CVSS-bron: CNA</t>
  </si>
  <si>
    <t xml:space="preserve">https://support.f5.com/csp/article/K23605346; http://packetstormsecurity.com/files/167007/F5-BIG-IP-Remote-Code-Execution.html; https://nvd.nist.gov/vuln/detail/CVE-2022-1388</t>
  </si>
  <si>
    <t xml:space="preserve">CVE-2020-5902</t>
  </si>
  <si>
    <t xml:space="preserve">F5 BIG-IP TMUI - directory traversal to RCE</t>
  </si>
  <si>
    <t xml:space="preserve">Een path traversal (/tmui/login.jsp/..;/tmui/locallb/workspace/fileRead.jsp) in de Traffic Management User Interface gaf ongeauthenticeerde toegang tot bestanden en JSP-functies waarmee commando's als root konden worden uitgevoerd; binnen dagen massaal misbruikt (juli 2020).</t>
  </si>
  <si>
    <t xml:space="preserve">Volledige overname van de BIG-IP en achterliggende applicaties/credentials.</t>
  </si>
  <si>
    <t xml:space="preserve">Controleer de versie en of TMUI (443 op beheer/self-IP) bereikbaar is; test het traversal-pad met een niet-destructieve read binnen RoE.</t>
  </si>
  <si>
    <t xml:space="preserve">Update (15.1.0.4 / 14.1.2.6 / 13.1.3.4 / 12.1.5.2 / 11.6.5.2), beperk TMUI tot beheer-VLAN, pas de LocationMatch-mitigatie toe.</t>
  </si>
  <si>
    <t xml:space="preserve">Alarmeer op verzoeken met ..;/ in het pad naar /tmui/.</t>
  </si>
  <si>
    <t xml:space="preserve">BIG-IP 15.0.0-15.1.0.3, 14.1.0-14.1.2.5, 13.1.0-13.1.3.3, 12.1.0-12.1.5.1, 11.6.1-11.6.5.1</t>
  </si>
  <si>
    <t xml:space="preserve">15.1.0.4 / 14.1.2.6 / 13.1.3.4 / 12.1.5.2 / 11.6.5.2 (juli 2020)</t>
  </si>
  <si>
    <t xml:space="preserve">CVE-2022-1388, AV-EXT-02</t>
  </si>
  <si>
    <t xml:space="preserve">https://support.f5.com/csp/article/K52145254; http://packetstormsecurity.com/files/158333/BIG-IP-TMUI-Remote-Code-Execution.html; https://nvd.nist.gov/vuln/detail/CVE-2020-5902</t>
  </si>
  <si>
    <t xml:space="preserve">CVE-2026-94127</t>
  </si>
  <si>
    <t xml:space="preserve">F5 BIG-IP APM OAuth - unauthenticated RCE in TMM (ook CVE-2025-53521 APM RCE)</t>
  </si>
  <si>
    <t xml:space="preserve">Een heap overflow in de APM-OAuth-afhandeling van BIG-IP (als OAuth Authorization Server geconfigureerd) laat een ongeauthenticeerde aanvaller code uitvoeren in de TMM-dataplane; eerder (CVE-2025-53521, KEV maart 2026) gold dit voor APM-access-policies in het algemeen. Beide volgen op de F5-broncodediefstal van 2025.</t>
  </si>
  <si>
    <t xml:space="preserve">Overname van de BIG-IP via de data-plane (ook in Appliance mode) en daarmee van alle verkeer naar achterliggende applicaties.</t>
  </si>
  <si>
    <t xml:space="preserve">Controleer de BIG-IP-versie/hotfix tegen K000162605 (en K000156741) en of APM met OAuth-authorization-server-profielen is geconfigureerd op externe virtual servers.</t>
  </si>
  <si>
    <t xml:space="preserve">Installeer de engineering hotfixes/updates; evalueer het gebruik van APM als OAuth-server; monitor F5-adviezen na de broncodediefstal (oktober 2025).</t>
  </si>
  <si>
    <t xml:space="preserve">Alarmeer op TMM-crashes/core dumps en op onverwachte processen op de BIG-IP.</t>
  </si>
  <si>
    <t xml:space="preserve">CWE-122</t>
  </si>
  <si>
    <t xml:space="preserve">BIG-IP 21.1.0, 17.5.x, 17.1.x met APM OAuth Authorization Server (CVE-2026-94127); BIG-IP 15.1-17.5 met APM access policy (CVE-2025-53521)</t>
  </si>
  <si>
    <t xml:space="preserve">Zie K000162605 (september 2026) en K000156741</t>
  </si>
  <si>
    <t xml:space="preserve">In het wild misbruikt (KEV 2026-09-22; CVE-2025-53521 op 2026-03-27)</t>
  </si>
  <si>
    <t xml:space="preserve">KEV; CVSS-bron: CNA; Verwante CVE's zonder eigen rij: CVE-2025-53521</t>
  </si>
  <si>
    <t xml:space="preserve">https://my.f5.com/manage/s/article/K000162605; https://nvd.nist.gov/vuln/detail/CVE-2026-94127</t>
  </si>
  <si>
    <t xml:space="preserve">CVE-2025-9242</t>
  </si>
  <si>
    <t xml:space="preserve">WatchGuard Fireware OS iked - out-of-bounds write pre-auth RCE (IKEv2)</t>
  </si>
  <si>
    <t xml:space="preserve">Een out-of-bounds write in het iked-proces van Fireware OS laat een ongeauthenticeerde aanvaller code uitvoeren op Firebox-firewalls met mobile user VPN (IKEv2) of branch office VPN naar een dynamische peer; ook apparaten waar die configuratie later is verwijderd kunnen kwetsbaar blijven. Actief misbruikt sinds november 2025.</t>
  </si>
  <si>
    <t xml:space="preserve">Overname van de firewall/VPN-gateway, veel gebruikt in het Nederlandse MKB.</t>
  </si>
  <si>
    <t xml:space="preserve">Controleer de Fireware-versie (12.11.4 / 2025.1.1 / 12.5.13 / 12.3.1 of hoger) en of IKEv2-VPN (UDP 500/4500) op WAN actief is.</t>
  </si>
  <si>
    <t xml:space="preserve">Update Fireware OS; als workaround IKEv2-VPN uitschakelen of beperken tot bekende peers; roteer VPN-credentials.</t>
  </si>
  <si>
    <t xml:space="preserve">Alarmeer op crashes/herstarts van iked en op onverwachte configuratiewijzigingen.</t>
  </si>
  <si>
    <t xml:space="preserve">CVSS:4.0/AV:N/AC:L/AT:N/PR:N/UI:N/VC:H/VI:H/VA:H/SC:N/SI:N/SA:N</t>
  </si>
  <si>
    <t xml:space="preserve">Fireware OS 11.10.2 t/m 11.12.4_Update1, 12.0 t/m 12.11.3, 2025.1 (en 12.3.1/12.5.x T-series)</t>
  </si>
  <si>
    <t xml:space="preserve">12.11.4 / 2025.1.1 / 12.5.13 / 12.3.1_Update3 (september 2025)</t>
  </si>
  <si>
    <t xml:space="preserve">Ja - KEV sinds 2025-11-12</t>
  </si>
  <si>
    <t xml:space="preserve">In het wild misbruikt (KEV 2025-11-12); publieke analyse</t>
  </si>
  <si>
    <t xml:space="preserve">KEV; zie ook CVE-2025-14733 (december 2025); CVSS-bron: CNA</t>
  </si>
  <si>
    <t xml:space="preserve">https://psirt.watchguard.com/CVE-2025-9242; https://www.watchguard.com/wgrd-psirt/advisory/wgsa-2025-00015; https://nvd.nist.gov/vuln/detail/CVE-2025-9242</t>
  </si>
  <si>
    <t xml:space="preserve">CVE-2021-26855</t>
  </si>
  <si>
    <t xml:space="preserve">Microsoft Exchange Server - SSRF to RCE chain (ProxyLogon, met CVE-2021-27065)</t>
  </si>
  <si>
    <t xml:space="preserve">Een pre-auth SSRF in de Exchange-frontend (X-BEResource-cookie) laat een aanvaller zich authenticeren als de Exchange-server bij de backend; gecombineerd met CVE-2021-27065 (arbitrary file write) ontstaat RCE als SYSTEM. In maart 2021 door Hafnium en daarna massaal misbruikt (webshells).</t>
  </si>
  <si>
    <t xml:space="preserve">Volledige compromittering van on-premises Exchange (vaak met hoge AD-rechten) en mailboxen.</t>
  </si>
  <si>
    <t xml:space="preserve">Controleer de Exchange-build tegen de maart 2021 SU en zoek naar webshells/IoC's (Microsoft Test-ProxyLogon.ps1); test SSRF alleen niet-destructief binnen RoE.</t>
  </si>
  <si>
    <t xml:space="preserve">Installeer de security updates (maart 2021) of CU's, voer de Microsoft IoC-scan uit, roteer credentials; overweeg Exchange Online.</t>
  </si>
  <si>
    <t xml:space="preserve">IIS-logs met X-BEResource-cookies en verzoeken naar /ecp/ met SSRF-patronen; nieuwe .aspx-bestanden in de Exchange-webroot.</t>
  </si>
  <si>
    <t xml:space="preserve">CVSS:3.1/AV:N/AC:L/PR:N/UI:N/S:U/C:H/I:H/A:N</t>
  </si>
  <si>
    <t xml:space="preserve">Exchange Server 2013 (CU21-23), 2016 (CU10-19), 2019 (CU1-8) zonder SU van 2 maart 2021</t>
  </si>
  <si>
    <t xml:space="preserve">Security updates van 2 maart 2021 (KB5000871)</t>
  </si>
  <si>
    <t xml:space="preserve">CVE-2021-34473, CVE-2022-41040, AV-WEB-07</t>
  </si>
  <si>
    <t xml:space="preserve">https://msrc.microsoft.com/update-guide/vulnerability/CVE-2021-26855; https://nvd.nist.gov/vuln/detail/CVE-2021-26855</t>
  </si>
  <si>
    <t xml:space="preserve">CVE-2021-34473</t>
  </si>
  <si>
    <t xml:space="preserve">Microsoft Exchange Server - pre-auth path confusion to RCE (ProxyShell, met CVE-2021-34523/31207)</t>
  </si>
  <si>
    <t xml:space="preserve">Path confusion in de Autodiscover-frontend (/autodiscover/autodiscover.json?@foo.com/...) geeft ongeauthenticeerde toegang tot backend-endpoints; met CVE-2021-34523 (PowerShell-privilege escalation) en CVE-2021-31207 (export van mailbox met webshell) ontstaat RCE als SYSTEM. Vanaf augustus 2021 massaal misbruikt (ransomware).</t>
  </si>
  <si>
    <t xml:space="preserve">Volledige compromittering van Exchange en mailboxen; webshells als persistentie.</t>
  </si>
  <si>
    <t xml:space="preserve">Controleer de Exchange-build (april/mei 2021 SU of hoger) en test het Autodiscover-path-confusion-patroon niet-destructief (401 vs 200/302) binnen RoE.</t>
  </si>
  <si>
    <t xml:space="preserve">Installeer de SU's van april/mei 2021 (of later), scan op webshells, roteer credentials.</t>
  </si>
  <si>
    <t xml:space="preserve">IIS-logs met /autodiscover/autodiscover.json?@ en verzoeken naar /mapi/nspi of /PowerShell met Email-parameter.</t>
  </si>
  <si>
    <t xml:space="preserve">Exchange Server 2013 CU23, 2016 CU19/20, 2019 CU8/9 zonder SU van april 2021 (KB5001779) / mei 2021</t>
  </si>
  <si>
    <t xml:space="preserve">SU april 2021 (KB5001779) en mei 2021 (KB5003435)</t>
  </si>
  <si>
    <t xml:space="preserve">CVE-2021-26855, CVE-2022-41040</t>
  </si>
  <si>
    <t xml:space="preserve">https://msrc.microsoft.com/update-guide/vulnerability/CVE-2021-34473; https://nvd.nist.gov/vuln/detail/CVE-2021-34473</t>
  </si>
  <si>
    <t xml:space="preserve">CVE-2022-41040</t>
  </si>
  <si>
    <t xml:space="preserve">Microsoft Exchange Server - SSRF privilege escalation chained with CVE-2022-41082 RCE (ProxyNotShell)</t>
  </si>
  <si>
    <t xml:space="preserve">Een geauthenticeerde SSRF in de Autodiscover-frontend (CVE-2022-41040) gaf toegang tot de PowerShell-backend, waar CVE-2022-41082 via deserialisatie RCE opleverde; als zero-day misbruikt in augustus-september 2022 en later aangevuld met de OWASSRF-variant (CVE-2022-41080).</t>
  </si>
  <si>
    <t xml:space="preserve">RCE als SYSTEM op Exchange met een geldig gebruikersaccount (bv. uit phishing of spraying).</t>
  </si>
  <si>
    <t xml:space="preserve">Controleer de Exchange-build (november 2022 SU of hoger) en of de URL-rewrite-mitigatie is toegepast; test alleen niet-destructief.</t>
  </si>
  <si>
    <t xml:space="preserve">Installeer de SU van november 2022 (of later) en de URL Rewrite-regel; schakel remote PowerShell uit voor niet-beheerders.</t>
  </si>
  <si>
    <t xml:space="preserve">IIS-logs met autodiscover.json?@ gevolgd door /powershell; Exchange-logs met afwijkende PowerShell-sessies.</t>
  </si>
  <si>
    <t xml:space="preserve">CWE-918, CWE-502</t>
  </si>
  <si>
    <t xml:space="preserve">Exchange Server 2013 CU23, 2016 CU22/23, 2019 CU11/12 zonder SU van 8 november 2022</t>
  </si>
  <si>
    <t xml:space="preserve">SU november 2022 (KB5019758)</t>
  </si>
  <si>
    <t xml:space="preserve">Ja - KEV sinds 2022-09-30</t>
  </si>
  <si>
    <t xml:space="preserve">KEV (2022-09-30); CVSS-bron: CNA; Verwante CVE's zonder eigen rij: CVE-2022-41082</t>
  </si>
  <si>
    <t xml:space="preserve">https://msrc.microsoft.com/update-guide/vulnerability/CVE-2022-41040; https://nvd.nist.gov/vuln/detail/CVE-2022-41040</t>
  </si>
  <si>
    <t xml:space="preserve">CVE-2025-53770</t>
  </si>
  <si>
    <t xml:space="preserve">Microsoft SharePoint Server (on-prem) - unauthenticated deserialization RCE (ToolShell; met CVE-2025-53771, 49704, 49706)</t>
  </si>
  <si>
    <t xml:space="preserve">Een deserialisatiefout in on-premises SharePoint (patch-bypass van CVE-2025-49704/49706 uit Pwn2Own) laat ongeauthenticeerde code-uitvoering toe via /_layouts/15/ToolPane.aspx; aanvallers stalen de ASP.NET MachineKeys om persistente, geldige payloads te signeren. Vanaf 18 juli 2025 wereldwijd misbruikt (o.a. Storm-2603 met Warlock-ransomware; NCSC-NL-waarschuwing).</t>
  </si>
  <si>
    <t xml:space="preserve">Volledige compromittering van SharePoint-farms, diefstal van MachineKeys en credentials, pivot naar AD; MachineKey-rotatie noodzakelijk.</t>
  </si>
  <si>
    <t xml:space="preserve">Controleer de SharePoint-build (2016 &gt;= 16.0.5513.1001, 2019 &gt;= 16.0.10417.20037, SE &gt;= 16.0.18526.20508), zoek naar spinstall0.aspx en andere IoC's, en controleer of de MachineKeys na patchen zijn geroteerd.</t>
  </si>
  <si>
    <t xml:space="preserve">Installeer de updates van juli 2025, roteer ASP.NET MachineKeys (Update-SPMachineKey) en herstart IIS, schakel AMSI-integratie in Full Mode in, onderzoek op compromittering, overweeg migratie naar SharePoint Online.</t>
  </si>
  <si>
    <t xml:space="preserve">IIS-logs met POST naar /_layouts/15/ToolPane.aspx?DisplayMode=Edit met Referer /SignOut.aspx; nieuwe .aspx-bestanden in LAYOUTS; w3wp.exe die cmd/powershell start.</t>
  </si>
  <si>
    <t xml:space="preserve">T1190, T1505.003, T1552</t>
  </si>
  <si>
    <t xml:space="preserve">SharePoint Enterprise Server 2016 &lt; 16.0.5513.1001, SharePoint Server 2019 &lt; 16.0.10417.20037, Subscription Edition &lt; 16.0.18526.20508 (on-prem; SharePoint Online niet getroffen)</t>
  </si>
  <si>
    <t xml:space="preserve">Updates van 19-21 juli 2025 (KB5002768, KB5002754, KB5002760) + MachineKey-rotatie</t>
  </si>
  <si>
    <t xml:space="preserve">Ja - KEV sinds 2025-07-20</t>
  </si>
  <si>
    <t xml:space="preserve">CVE-2026-58644</t>
  </si>
  <si>
    <t xml:space="preserve">KEV (2025-07-20); CVSS-bron: CNA; Verwante CVE's zonder eigen rij: CVE-2025-53771, CVE-2025-49704, CVE-2025-49706</t>
  </si>
  <si>
    <t xml:space="preserve">https://msrc.microsoft.com/update-guide/vulnerability/CVE-2025-53770; https://nvd.nist.gov/vuln/detail/CVE-2025-53770</t>
  </si>
  <si>
    <t xml:space="preserve">Microsoft SharePoint Server (on-prem) - unauthenticated deserialization RCE 2026 (ook CVE-2026-20963, 50522, 55040)</t>
  </si>
  <si>
    <t xml:space="preserve">Ook in 2026 bleven on-premises SharePoint-servers doelwit: meerdere deserialisatie-RCE's (CVE-2026-20963 maart, CVE-2026-50522 en CVE-2026-58644 juli) en een JWT-/security-feature-bypass (CVE-2026-55040, augustus) zijn in het wild misbruikt en in KEV opgenomen.</t>
  </si>
  <si>
    <t xml:space="preserve">Volledige compromittering van de SharePoint-farm en pivot naar AD, vergelijkbaar met ToolShell.</t>
  </si>
  <si>
    <t xml:space="preserve">Controleer de SharePoint-build tegen de juli/augustus 2026-updates (2016 &gt;= 16.0.5561.1001, 2019 &gt;= 16.0.10417.20175, SE &gt;= 16.0.19725.20434), controleer AMSI Full Mode en zoek naar webshells.</t>
  </si>
  <si>
    <t xml:space="preserve">Installeer de laatste SharePoint-updates, roteer MachineKeys bij IoC's, beperk externe blootstelling (VPN/ZTNA of migratie naar SharePoint Online).</t>
  </si>
  <si>
    <t xml:space="preserve">w3wp.exe met child-processen, nieuwe .aspx in LAYOUTS, afwijkende POST-verzoeken naar _layouts-endpoints.</t>
  </si>
  <si>
    <t xml:space="preserve">SharePoint Enterprise Server 2016 &lt; 16.0.5561.1001, SharePoint Server 2019 &lt; 16.0.10417.20175, Subscription Edition &lt; 16.0.19725.20434</t>
  </si>
  <si>
    <t xml:space="preserve">Updates van juli en augustus 2026</t>
  </si>
  <si>
    <t xml:space="preserve">Ja - KEV sinds 2026-07-16</t>
  </si>
  <si>
    <t xml:space="preserve">In het wild misbruikt (KEV 2026-07-16 e.a.)</t>
  </si>
  <si>
    <t xml:space="preserve">KEV; CVSS-bron: CNA; Verwante CVE's zonder eigen rij: CVE-2026-20963, CVE-2026-50522, CVE-2026-55040</t>
  </si>
  <si>
    <t xml:space="preserve">https://msrc.microsoft.com/update-guide/vulnerability/CVE-2026-58644; https://nvd.nist.gov/vuln/detail/CVE-2026-58644</t>
  </si>
  <si>
    <t xml:space="preserve">CVE-2024-1709</t>
  </si>
  <si>
    <t xml:space="preserve">ConnectWise ScreenConnect - authentication bypass (SlashAndGrab; ook CVE-2026-84869)</t>
  </si>
  <si>
    <t xml:space="preserve">Door /SetupWizard.aspx/ met een extra slash aan te roepen kon een ongeauthenticeerde aanvaller de setup-wizard opnieuw doorlopen en een nieuwe admin aanmaken; met CVE-2024-1708 (path traversal) volgde RCE. Binnen dagen massaal misbruikt door ransomwaregroepen. In september 2026 werd ook CVE-2026-84869 (guest-to-host bestandsoverdracht en -uitvoering via de client) actief misbruikt.</t>
  </si>
  <si>
    <t xml:space="preserve">Overname van de remote-support-server en daarmee van alle beheerde endpoints (ransomware via RMM).</t>
  </si>
  <si>
    <t xml:space="preserve">Controleer de ScreenConnect-versie (23.9.8 of hoger; voor 2026 &gt;= 26.6.5) en of de server/webinterface extern bereikbaar is; controleer op onbekende admin-gebruikers en extensies.</t>
  </si>
  <si>
    <t xml:space="preserve">Update ScreenConnect (on-prem), beperk toegang tot de webinterface, MFA voor alle gebruikers, audit van gebruikers/extensies.</t>
  </si>
  <si>
    <t xml:space="preserve">Alarmeer op verzoeken naar /SetupWizard.aspx/ na installatie en op aanmaak van admin-accounts/extensies.</t>
  </si>
  <si>
    <t xml:space="preserve">T1190, T1219, T1136</t>
  </si>
  <si>
    <t xml:space="preserve">ScreenConnect 23.9.7 en eerder (CVE-2024-1709); ScreenConnect &lt; 26.6.5 (CVE-2026-84869)</t>
  </si>
  <si>
    <t xml:space="preserve">23.9.8 (februari 2024); 26.6.5 (september 2026)</t>
  </si>
  <si>
    <t xml:space="preserve">Ja - KEV sinds 2024-02-22</t>
  </si>
  <si>
    <t xml:space="preserve">KEV (2024-02-22; 2026-09-11); CVSS-bron: CNA; Verwante CVE's zonder eigen rij: CVE-2026-84869, CVE-2024-1708</t>
  </si>
  <si>
    <t xml:space="preserve">https://www.connectwise.com/company/trust/security-bulletins/connectwise-screenconnect-23.9.8; https://www.huntress.com/blog/vulnerability-reproduced-immediately-patch-screenconnect-23-9-8; https://nvd.nist.gov/vuln/detail/CVE-2024-1709</t>
  </si>
  <si>
    <t xml:space="preserve">CVE-2026-86218</t>
  </si>
  <si>
    <t xml:space="preserve">N-able N-central - pre-authentication RCE (static code injection; ook CVE-2025-8875/8876, CVE-2026-18556/18577)</t>
  </si>
  <si>
    <t xml:space="preserve">N-central (RMM, veel gebruikt door MSP's) bevat een pre-auth code-injectie die ongeauthenticeerde RCE op de server toelaat (september 2026); in 2025-2026 gingen een deserialisatie-/command-injection-paar (CVE-2025-8875/8876) en authenticatie-bypasses (CVE-2026-18556/18577) vooraf, alle in het wild misbruikt.</t>
  </si>
  <si>
    <t xml:space="preserve">Compromittering van de MSP-beheerserver en via de agents van alle klantomgevingen (supply-chain-ransomware).</t>
  </si>
  <si>
    <t xml:space="preserve">Controleer de N-central-versie (2026.3.1.14 of hoger) en externe blootstelling van de webinterface; controleer op onbekende gebruikers/scripts en agent-taken.</t>
  </si>
  <si>
    <t xml:space="preserve">Update N-central direct bij elk advies, beperk de webinterface tot bekende IP's/VPN, MFA verplicht, monitoring van uitgevoerde scripts via agents.</t>
  </si>
  <si>
    <t xml:space="preserve">Alarmeer op nieuwe geautomatiseerde taken/scripts naar veel endpoints en op admin-logins vanaf onbekende adressen.</t>
  </si>
  <si>
    <t xml:space="preserve">CWE-96</t>
  </si>
  <si>
    <t xml:space="preserve">CVSS:4.0/AV:N/AC:L/AT:N/PR:N/UI:N/VC:H/VI:H/VA:H/SC:H/SI:H/SA:H</t>
  </si>
  <si>
    <t xml:space="preserve">N-central &lt; 2026.3.1.14 (CVE-2026-86218); &lt; 2025.3.1 (CVE-2025-8875/8876); zie adviezen voor 18556/18577</t>
  </si>
  <si>
    <t xml:space="preserve">2026.3.1.14 (september 2026)</t>
  </si>
  <si>
    <t xml:space="preserve">Ja - KEV sinds 2026-09-08</t>
  </si>
  <si>
    <t xml:space="preserve">In het wild misbruikt (KEV 2026-09-08)</t>
  </si>
  <si>
    <t xml:space="preserve">CVE-2024-1709, AV-CLD-14</t>
  </si>
  <si>
    <t xml:space="preserve">KEV; CVSS-bron: CNA; Verwante CVE's zonder eigen rij: CVE-2025-8875, CVE-2026-18556</t>
  </si>
  <si>
    <t xml:space="preserve">https://me.n-able.com/s/security-advisory/aArVy0000002Ld3KAE/cve202686218-preauthentication-remote-code-execution; https://nvd.nist.gov/vuln/detail/CVE-2026-86218</t>
  </si>
  <si>
    <t xml:space="preserve">CVE-2026-1731</t>
  </si>
  <si>
    <t xml:space="preserve">BeyondTrust Remote Support / Privileged Remote Access - pre-authentication OS command injection</t>
  </si>
  <si>
    <t xml:space="preserve">Gemanipuleerde verzoeken naar BeyondTrust RS (en oudere PRA-versies) laten een ongeauthenticeerde aanvaller OS-commando's uitvoeren als de site-gebruiker; in februari 2026 toegevoegd aan KEV (eerder, december 2024, trof CVE-2024-12356 dezelfde producten en leidde tot de compromittering van het Amerikaanse Treasury via een API-key).</t>
  </si>
  <si>
    <t xml:space="preserve">Overname van de remote-support/PAM-appliance en daarmee van sessies naar kritieke systemen en opgeslagen credentials.</t>
  </si>
  <si>
    <t xml:space="preserve">Controleer de RS-versie (&gt; 25.3.1) en PRA-versie (&gt; 24.3.4) en of de appliance self-hosted en extern bereikbaar is; SaaS-instanties zijn door BeyondTrust gepatcht.</t>
  </si>
  <si>
    <t xml:space="preserve">Installeer de BeyondTrust-patch (BT26-02), beperk toegang tot de appliance, roteer API-keys en credentials, controleer sessielogs.</t>
  </si>
  <si>
    <t xml:space="preserve">Alarmeer op onverwachte processen onder de webserver van de appliance en op nieuwe representatives/API-accounts.</t>
  </si>
  <si>
    <t xml:space="preserve">T1190, T1219</t>
  </si>
  <si>
    <t xml:space="preserve">CVSS:4.0/AV:N/AC:L/AT:N/PR:N/UI:N/VC:H/VI:H/VA:H/SC:L/SI:H/SA:L</t>
  </si>
  <si>
    <t xml:space="preserve">BeyondTrust Remote Support &lt;= 25.3.1 en Privileged Remote Access &lt;= 24.3.4 (self-hosted)</t>
  </si>
  <si>
    <t xml:space="preserve">Zie BT26-02 (februari 2026)</t>
  </si>
  <si>
    <t xml:space="preserve">Ja - KEV sinds 2026-02-13</t>
  </si>
  <si>
    <t xml:space="preserve">In het wild misbruikt (KEV 2026-02-13)</t>
  </si>
  <si>
    <t xml:space="preserve">KEV; CVSS-bron: CNA; Verwante CVE's zonder eigen rij: CVE-2024-12356</t>
  </si>
  <si>
    <t xml:space="preserve">https://beyondtrustcorp.service-now.com/csm?id=csm_kb_article&amp;sysparm_article=KB0023293; https://www.beyondtrust.com/trust-center/security-advisories/bt26-02; https://nvd.nist.gov/vuln/detail/CVE-2026-1731</t>
  </si>
  <si>
    <t xml:space="preserve">CVE-2025-10035</t>
  </si>
  <si>
    <t xml:space="preserve">Fortra GoAnywhere MFT - License Servlet deserialization RCE</t>
  </si>
  <si>
    <t xml:space="preserve">De License Servlet van GoAnywhere MFT deserialiseert een aanvaller-gecontroleerd object als de licentie-responshandtekening geldig is; aanvallers (Storm-1175, Medusa-ransomware) misten de private sleutel kennelijk niet en misbruikten de fout al voor publicatie (september 2025). Opvolger van CVE-2023-0669 (Clop, 2023).</t>
  </si>
  <si>
    <t xml:space="preserve">Pre-auth RCE op de file-transfer-server; diefstal van alle uitgewisselde bestanden en initial access voor ransomware.</t>
  </si>
  <si>
    <t xml:space="preserve">Controleer de versie (7.8.4 / 7.6.3 Sustain of hoger) en of de admin-console extern bereikbaar is; zoek in logs naar SignedObject.getObject-fouten als IoC.</t>
  </si>
  <si>
    <t xml:space="preserve">Update GoAnywhere, beheerconsole niet aan internet, onderzoek op compromittering bij eerdere blootstelling.</t>
  </si>
  <si>
    <t xml:space="preserve">Logs met 'SignedObject.getObject' stack traces; onverwachte processen onder de GoAnywhere-service.</t>
  </si>
  <si>
    <t xml:space="preserve">CWE-502, CWE-77</t>
  </si>
  <si>
    <t xml:space="preserve">GoAnywhere MFT 7.8.3 en eerder (incl. 7.6.x Sustain)</t>
  </si>
  <si>
    <t xml:space="preserve">7.8.4 / 7.6.3 (september 2025)</t>
  </si>
  <si>
    <t xml:space="preserve">CVE-2023-34362, CVE-2025-31161</t>
  </si>
  <si>
    <t xml:space="preserve">https://www.fortra.com/security/advisories/product-security/fi-2025-012; https://nvd.nist.gov/vuln/detail/CVE-2025-10035</t>
  </si>
  <si>
    <t xml:space="preserve">CVE-2023-34362</t>
  </si>
  <si>
    <t xml:space="preserve">Progress MOVEit Transfer - unauthenticated SQL injection to RCE (Clop campaign)</t>
  </si>
  <si>
    <t xml:space="preserve">Een SQL-injectie in de MOVEit Transfer-webapplicatie (moveitisapi/guestaccess.aspx) liet ongeauthenticeerde aanvallers de database manipuleren, een admin-sessie forgen en via deserialisatie code uitvoeren; Clop stal in mei-juni 2023 data van honderden organisaties via de LEMURLOOT-webshell (human2.aspx).</t>
  </si>
  <si>
    <t xml:space="preserve">Diefstal van alle via MOVEit uitgewisselde bestanden en RCE op de server.</t>
  </si>
  <si>
    <t xml:space="preserve">Controleer de MOVEit Transfer-versie (2021.0.6 / 2021.1.4 / 2022.0.4 / 2022.1.5 / 2023.0.1 of hoger) en zoek naar human2.aspx en onbekende admin-/sessierecords.</t>
  </si>
  <si>
    <t xml:space="preserve">Update MOVEit, voer de Progress-IoC-controles uit, roteer service-account- en Azure-storage-credentials, beperk HTTP(S)-toegang tot de webinterface.</t>
  </si>
  <si>
    <t xml:space="preserve">IIS-logs met verzoeken naar human2.aspx en afwijkende POSTs naar guestaccess.aspx/moveitisapi.dll.</t>
  </si>
  <si>
    <t xml:space="preserve">MOVEit Transfer &lt; 2021.0.6 (13.0.6), &lt; 2021.1.4 (13.1.4), &lt; 2022.0.4 (14.0.4), &lt; 2022.1.5 (14.1.5), &lt; 2023.0.1 (15.0.1) en oudere versies</t>
  </si>
  <si>
    <t xml:space="preserve">Patches van 31 mei 2023 (en vervolgpatches juni 2023)</t>
  </si>
  <si>
    <t xml:space="preserve">Ja - KEV sinds 2023-06-02</t>
  </si>
  <si>
    <t xml:space="preserve">CVE-2025-10035, CVE-2025-31161</t>
  </si>
  <si>
    <t xml:space="preserve">KEV (2023-06-02); CVSS-bron: ADP CISA-ADP</t>
  </si>
  <si>
    <t xml:space="preserve">https://community.progress.com/s/article/MOVEit-Transfer-Critical-Vulnerability-31May2023; http://packetstormsecurity.com/files/172883/MOVEit-Transfer-SQL-Injection-Remote-Code-Execution.html; https://nvd.nist.gov/vuln/detail/CVE-2023-34362</t>
  </si>
  <si>
    <t xml:space="preserve">CVE-2025-31161</t>
  </si>
  <si>
    <t xml:space="preserve">CrushFTP - authentication bypass via AWS4-HMAC header (admin takeover; ook CVE-2025-54309)</t>
  </si>
  <si>
    <t xml:space="preserve">Een fout in de S3-compatibele AWS4-HMAC-authenticatie van de HTTP-component laat een aanvaller zonder wachtwoord inloggen als elke bekende gebruiker (bv. crushadmin) en de server overnemen, tenzij een DMZ-proxy wordt gebruikt; in juli 2025 volgde CVE-2025-54309 (AS2-validatie) met vergelijkbare impact, beide in het wild misbruikt.</t>
  </si>
  <si>
    <t xml:space="preserve">Beheerderstoegang tot de file-transfer-server, diefstal van bestanden en RCE via admin-functies.</t>
  </si>
  <si>
    <t xml:space="preserve">Controleer de versie (10.8.4 / 11.3.1 voor 31161; 10.8.5 / 11.3.4_23 voor 54309 of hoger) en of de HTTP(S)-interface direct (zonder DMZ-proxy) extern bereikbaar is.</t>
  </si>
  <si>
    <t xml:space="preserve">Update CrushFTP, gebruik de DMZ-proxy-architectuur, beperk beheer tot interne adressen, controleer op onbekende gebruikers.</t>
  </si>
  <si>
    <t xml:space="preserve">Alarmeer op logins met Authorization: AWS4-HMAC-headers zonder geldige S3-gebruikers en op admin-logins vanaf onbekende adressen.</t>
  </si>
  <si>
    <t xml:space="preserve">CWE-305, CWE-420</t>
  </si>
  <si>
    <t xml:space="preserve">CrushFTP 10 &lt; 10.8.4 en 11 &lt; 11.3.1 (CVE-2025-31161); 10 &lt; 10.8.5 en 11 &lt; 11.3.4_23 (CVE-2025-54309)</t>
  </si>
  <si>
    <t xml:space="preserve">10.8.4 / 11.3.1 (maart 2025); 10.8.5 / 11.3.4_23 (juli 2025)</t>
  </si>
  <si>
    <t xml:space="preserve">Ja - KEV sinds 2025-04-07</t>
  </si>
  <si>
    <t xml:space="preserve">KEV (2025-04-07; 2025-07-22); CVSS-bron: CNA; Verwante CVE's zonder eigen rij: CVE-2025-54309</t>
  </si>
  <si>
    <t xml:space="preserve">https://outpost24.com/blog/crushftp-auth-bypass-vulnerability/; https://crushftp.com/crush11wiki/Wiki.jsp?page=Update#section-Update-VulnerabilityInfo; https://nvd.nist.gov/vuln/detail/CVE-2025-31161</t>
  </si>
  <si>
    <t xml:space="preserve">CVE-2020-14008</t>
  </si>
  <si>
    <t xml:space="preserve">Zoho ManageEngine Applications Manager - authenticated RCE via JAR upload (WebLogic monitor)</t>
  </si>
  <si>
    <t xml:space="preserve">Een geauthenticeerde beheerder kan via de credential-testfunctie van de WebLogic-monitor een kwaadaardig weblogic.jar uploaden naar het verwachte bibliotheekpad; bij het testen laadt Applications Manager de klasse weblogic.jndi.Environment uit het JAR (JarLoader.loadClass/newInstance) en voert zo willekeurige Java-code uit, doorgaans als SYSTEM.</t>
  </si>
  <si>
    <t xml:space="preserve">Code-uitvoering als SYSTEM op de monitoringserver (reverse shell), toegang tot alle opgeslagen monitoring-credentials en pivot naar beheerde systemen.</t>
  </si>
  <si>
    <t xml:space="preserve">Controleer de buildversie (14720 of hoger gepatcht) en of beheerderstoegang verkrijgbaar is (default credentials admin/admin, zwakke wachtwoorden); demonstreer alleen met een onschadelijk JAR binnen RoE.</t>
  </si>
  <si>
    <t xml:space="preserve">Update naar build 14730 of hoger; verwijder default credentials; beperk de webinterface tot beheerders; draai de service onder een least-privilege account.</t>
  </si>
  <si>
    <t xml:space="preserve">Alarmeer op uploads in de WebLogic-monitorconfiguratie en op child-processen (cmd/powershell) van de Applications Manager Java-service.</t>
  </si>
  <si>
    <t xml:space="preserve">T1190, T1505</t>
  </si>
  <si>
    <t xml:space="preserve">CWE-434, CWE-94</t>
  </si>
  <si>
    <t xml:space="preserve">ManageEngine Applications Manager builds 14710 en eerder (t/m 14720)</t>
  </si>
  <si>
    <t xml:space="preserve">Build 14730 (september 2020)</t>
  </si>
  <si>
    <t xml:space="preserve">Ja (publieke PoC: github.com/0x0d3ad/CVE-2020-14008; Metasploit)</t>
  </si>
  <si>
    <t xml:space="preserve">AV-WEB-10, AV-NET-05, CVE-2021-40539, CVE-2022-47966</t>
  </si>
  <si>
    <t xml:space="preserve">Oorspronkelijke rij uit v0.9.1, aangevuld; CVSS-bron: NVD</t>
  </si>
  <si>
    <t xml:space="preserve">https://www.manageengine.com/products/applications_manager/issues.html#14730; https://nvd.nist.gov/vuln/detail/CVE-2020-14008</t>
  </si>
  <si>
    <t xml:space="preserve">CVE-2021-40539</t>
  </si>
  <si>
    <t xml:space="preserve">Zoho ManageEngine ADSelfService Plus - REST API authentication bypass to RCE</t>
  </si>
  <si>
    <t xml:space="preserve">Een authentication bypass in de REST API (/./RestAPI/...) van ADSelfService Plus laat een ongeauthenticeerde aanvaller een bestand uploaden en code uitvoeren; het product draait vaak met domain-admin-rechten voor wachtwoordreset en is daardoor direct een AD-compromittering (misbruikt door statelijke actoren, CISA/FBI-advies 2021).</t>
  </si>
  <si>
    <t xml:space="preserve">RCE als SYSTEM op een server met geprivilegieerde AD-credentials; directe domeincompromittering.</t>
  </si>
  <si>
    <t xml:space="preserve">Controleer de build (6114 of hoger) en of de applicatie extern bereikbaar is; test de REST-API-bypass alleen niet-destructief (statuscode-verschil) binnen RoE.</t>
  </si>
  <si>
    <t xml:space="preserve">Update naar build 6114+, haal het portaal achter VPN/MFA, draai met least-privilege service-account, onderzoek op webshells bij eerdere blootstelling.</t>
  </si>
  <si>
    <t xml:space="preserve">Alarmeer op verzoeken naar /./RestAPI/ en op nieuwe .jsp-bestanden in de webroot.</t>
  </si>
  <si>
    <t xml:space="preserve">CWE-706, CWE-287</t>
  </si>
  <si>
    <t xml:space="preserve">ADSelfService Plus builds 6113 en eerder</t>
  </si>
  <si>
    <t xml:space="preserve">Build 6114 (september 2021)</t>
  </si>
  <si>
    <t xml:space="preserve">CVE-2022-47966, CVE-2020-14008, AV-AD-20</t>
  </si>
  <si>
    <t xml:space="preserve">https://www.manageengine.com; https://www.manageengine.com/products/self-service-password/kb/how-to-fix-authentication-bypass-vulnerability-in-REST-API.html; https://nvd.nist.gov/vuln/detail/CVE-2021-40539</t>
  </si>
  <si>
    <t xml:space="preserve">Zoho ManageEngine (24 producten) - unauthenticated RCE via SAML (Apache Santuario XSLT)</t>
  </si>
  <si>
    <t xml:space="preserve">Door gebruik van de verouderde Apache Santuario xmlsec 1.4.1 verwerkten ManageEngine-producten XSLT-transformaties in SAML-responses, waardoor een ongeauthenticeerde aanvaller code kon uitvoeren zodra SAML SSO ooit geconfigureerd was (ServiceDesk Plus, ADSelfService Plus, Endpoint Central, PAM360, Password Manager Pro e.a.).</t>
  </si>
  <si>
    <t xml:space="preserve">RCE als SYSTEM op servers met geprivilegieerde credentials (PAM/wachtwoordbeheer) en AD-koppeling.</t>
  </si>
  <si>
    <t xml:space="preserve">Inventariseer ManageEngine-producten en builds tegen het Zoho-advies en controleer of SAML SSO (ooit) is geconfigureerd; PoC alleen met onschadelijke payload binnen RoE.</t>
  </si>
  <si>
    <t xml:space="preserve">Update alle ManageEngine-producten naar de gefixte builds (januari 2023), beperk externe blootstelling, roteer credentials bij compromittering.</t>
  </si>
  <si>
    <t xml:space="preserve">Alarmeer op SAML-responses met XSLT-elementen en op child-processen van de ManageEngine Java-services.</t>
  </si>
  <si>
    <t xml:space="preserve">CWE-20, CWE-91</t>
  </si>
  <si>
    <t xml:space="preserve">Zoho ManageEngine on-premise producten (o.a. ServiceDesk Plus &lt; 14004, ADSelfService Plus &lt; 6211, Endpoint Central &lt; 10.1.2228.11, Password Manager Pro &lt; 12124, PAM360 &lt; 5713) met SAML SSO</t>
  </si>
  <si>
    <t xml:space="preserve">Zie Zoho-advies CVE-2022-47966 (oktober 2022 - januari 2023)</t>
  </si>
  <si>
    <t xml:space="preserve">Ja - KEV sinds 2023-01-23</t>
  </si>
  <si>
    <t xml:space="preserve">AV-WEB-31, CVE-2021-40539</t>
  </si>
  <si>
    <t xml:space="preserve">KEV (2023-01-23); CVSS-bron: ADP CISA-ADP</t>
  </si>
  <si>
    <t xml:space="preserve">https://github.com/apache/santuario-xml-security-java/tags?after=1.4.6; https://www.manageengine.com/security/advisory/CVE/cve-2022-47966.html; https://nvd.nist.gov/vuln/detail/CVE-2022-47966</t>
  </si>
  <si>
    <t xml:space="preserve">CVE-2021-44228</t>
  </si>
  <si>
    <t xml:space="preserve">Apache Log4j 2 - JNDI lookup remote code execution (Log4Shell)</t>
  </si>
  <si>
    <t xml:space="preserve">Log4j 2.0-beta9 t/m 2.14.1 voert JNDI-lookups (${jndi:ldap://...}) uit in gelogde strings, waardoor elke door de aanvaller gecontroleerde invoer die gelogd wordt (headers, usernames, parameters) tot het laden van een externe klasse en RCE leidt; aanwezig in talloze Java-applicaties en appliances (VMware Horizon, vCenter, Unifi, Elasticsearch e.a.).</t>
  </si>
  <si>
    <t xml:space="preserve">Ongeauthenticeerde RCE op servers en appliances; nog jaren later aanwezig in legacy-software en embedded componenten.</t>
  </si>
  <si>
    <t xml:space="preserve">Injecteer een unieke DNS-callback-payload (eigen listener/Canary) in headers en invoervelden; inventariseer Java-applicaties en Log4j-versies via SCA/bestandssysteem (log4j-core-*.jar) binnen scope.</t>
  </si>
  <si>
    <t xml:space="preserve">Update Log4j naar 2.17.1+ (2.12.4 / 2.3.2 voor oude Java), verwijder de JndiLookup-klasse als workaround, patch getroffen producten, egress-filtering voor LDAP/RMI.</t>
  </si>
  <si>
    <t xml:space="preserve">WAF/IDS-signatures op ${jndi: en varianten; alarmeer op uitgaande LDAP/RMI-verbindingen vanaf applicatieservers.</t>
  </si>
  <si>
    <t xml:space="preserve">CWE-502, CWE-917</t>
  </si>
  <si>
    <t xml:space="preserve">Methodology and Resources - Log4Shell</t>
  </si>
  <si>
    <t xml:space="preserve">Apache Log4j 2.0-beta9 t/m 2.14.1 (2.15.0 onvolledig; zie CVE-2021-45046/45105/44832); log4j 1.x niet via deze CVE</t>
  </si>
  <si>
    <t xml:space="preserve">Log4j 2.17.1 (Java 8+), 2.12.4 (Java 7), 2.3.2 (Java 6)</t>
  </si>
  <si>
    <t xml:space="preserve">Ja - KEV sinds 2021-12-10</t>
  </si>
  <si>
    <t xml:space="preserve">Ja (publieke PoC's, Metasploit, massaal gescand)</t>
  </si>
  <si>
    <t xml:space="preserve">AV-WEB-23, AV-WEB-09</t>
  </si>
  <si>
    <t xml:space="preserve">KEV (2021-12-10); CVSS-bron: ADP CISA-ADP</t>
  </si>
  <si>
    <t xml:space="preserve">https://logging.apache.org/log4j/2.x/security.html; http://www.openwall.com/lists/oss-security/2021/12/10/1; https://nvd.nist.gov/vuln/detail/CVE-2021-44228</t>
  </si>
  <si>
    <t xml:space="preserve">CVE-2022-22965</t>
  </si>
  <si>
    <t xml:space="preserve">Spring Framework - RCE via data binding (Spring4Shell)</t>
  </si>
  <si>
    <t xml:space="preserve">Spring MVC/WebFlux op JDK 9+ laat via class.module.classLoader-binding van request-parameters Tomcat-logging-properties manipuleren, waarmee een JSP-webshell naar de webroot wordt geschreven; vereist een WAR-deployment op Tomcat (Spring Boot-JARs zijn standaard niet via deze route kwetsbaar).</t>
  </si>
  <si>
    <t xml:space="preserve">RCE op Java-webapplicaties op Tomcat; webshell-persistentie.</t>
  </si>
  <si>
    <t xml:space="preserve">Identificeer Spring-applicaties (WAR op Tomcat, JDK 9+) en Spring-versies; test de class.module.classLoader-parameterbinding niet-destructief (bv. 400 vs 200-gedrag) binnen RoE.</t>
  </si>
  <si>
    <t xml:space="preserve">Update naar Spring Framework 5.3.18+ / 5.2.20+ (Spring Boot 2.6.6 / 2.5.12), gebruik allowedFields in WebDataBinder, update Tomcat (10.0.20 / 9.0.62 / 8.5.78).</t>
  </si>
  <si>
    <t xml:space="preserve">WAF-signatures op class.module.classLoader in parameters; alarmeer op nieuwe .jsp-bestanden in de webroot.</t>
  </si>
  <si>
    <t xml:space="preserve">Spring Framework 5.3.0-5.3.17, 5.2.0-5.2.19 en ouder (JDK 9+, Tomcat WAR)</t>
  </si>
  <si>
    <t xml:space="preserve">Spring Framework 5.3.18 / 5.2.20 (31 maart 2022)</t>
  </si>
  <si>
    <t xml:space="preserve">Ja - KEV sinds 2022-04-04</t>
  </si>
  <si>
    <t xml:space="preserve">AV-WEB-23, CVE-2021-44228</t>
  </si>
  <si>
    <t xml:space="preserve">KEV (2022-04-04); CVSS-bron: ADP CISA-ADP</t>
  </si>
  <si>
    <t xml:space="preserve">https://tanzu.vmware.com/security/cve-2022-22965; https://tools.cisco.com/security/center/content/CiscoSecurityAdvisory/cisco-sa-java-spring-rce-Zx9GUc67; https://nvd.nist.gov/vuln/detail/CVE-2022-22965</t>
  </si>
  <si>
    <t xml:space="preserve">CVE-2017-5638</t>
  </si>
  <si>
    <t xml:space="preserve">Apache Struts 2 - Jakarta Multipart parser OGNL injection RCE (Equifax)</t>
  </si>
  <si>
    <t xml:space="preserve">Een OGNL-expressie in de Content-Type-header van een multipart-verzoek wordt bij een foutmelding geevalueerd, waardoor een ongeauthenticeerde aanvaller commando's uitvoert als de webservergebruiker; verantwoordelijk voor het Equifax-datalek (2017) en nog aanwezig in legacy Java-applicaties.</t>
  </si>
  <si>
    <t xml:space="preserve">Ongeauthenticeerde RCE op Struts-applicaties.</t>
  </si>
  <si>
    <t xml:space="preserve">Identificeer Struts 2-applicaties (.action/.do-endpoints, versie via bibliotheekbestanden) en test met een onschadelijke OGNL-payload in Content-Type (bv. een header-echo) binnen RoE.</t>
  </si>
  <si>
    <t xml:space="preserve">Update naar Struts 2.3.32 / 2.5.10.1 of hoger (en volg latere Struts-adviezen zoals CVE-2018-11776, CVE-2023-50164, CVE-2024-53677), of migreer weg van Struts 2.</t>
  </si>
  <si>
    <t xml:space="preserve">WAF/IDS-signatures op OGNL (%{ en #cmd=) in Content-Type/Content-Disposition.</t>
  </si>
  <si>
    <t xml:space="preserve">CWE-20, CWE-917</t>
  </si>
  <si>
    <t xml:space="preserve">Apache Struts 2.3.5-2.3.31 en 2.5-2.5.10</t>
  </si>
  <si>
    <t xml:space="preserve">Struts 2.3.32 / 2.5.10.1 (maart 2017)</t>
  </si>
  <si>
    <t xml:space="preserve">AV-WEB-39, AV-WEB-23</t>
  </si>
  <si>
    <t xml:space="preserve">https://nmap.org/nsedoc/scripts/http-vuln-cve2017-5638.html; http://www.arubanetworks.com/assets/alert/ARUBA-PSA-2017-002.txt; https://nvd.nist.gov/vuln/detail/CVE-2017-5638</t>
  </si>
  <si>
    <t xml:space="preserve">CVE-2021-41773</t>
  </si>
  <si>
    <t xml:space="preserve">Apache HTTP Server 2.4.49/2.4.50 - path traversal and RCE (met CVE-2021-42013)</t>
  </si>
  <si>
    <t xml:space="preserve">Een fout in path-normalisatie in Apache 2.4.49 (onvolledig gefixt in 2.4.50, CVE-2021-42013) laat via %2e%2e/ bestanden buiten de DocumentRoot lezen en, bij ingeschakelde mod_cgi, commando's uitvoeren; vereist dat 'require all denied' niet actief is voor de betreffende paden.</t>
  </si>
  <si>
    <t xml:space="preserve">Lezen van bronbestanden/credentials en RCE als de webservergebruiker.</t>
  </si>
  <si>
    <t xml:space="preserve">Controleer de Apache-versie (2.4.49/2.4.50) en test het traversal-pad (/cgi-bin/.%2e/%2e%2e/.../etc/passwd) niet-destructief binnen RoE.</t>
  </si>
  <si>
    <t xml:space="preserve">Update naar Apache 2.4.51 of hoger; 'Require all denied' op de filesystem-root; mod_cgi alleen waar nodig.</t>
  </si>
  <si>
    <t xml:space="preserve">WAF/IDS-signatures op %2e%2e en %%32%65 in URL-paden.</t>
  </si>
  <si>
    <t xml:space="preserve">Apache HTTP Server 2.4.49 (CVE-2021-41773) en 2.4.50 (CVE-2021-42013)</t>
  </si>
  <si>
    <t xml:space="preserve">Apache HTTP Server 2.4.51 (oktober 2021)</t>
  </si>
  <si>
    <t xml:space="preserve">KEV (2021-11-03); CVSS-bron: ADP CISA-ADP; Verwante CVE's zonder eigen rij: CVE-2021-42013</t>
  </si>
  <si>
    <t xml:space="preserve">https://httpd.apache.org/security/vulnerabilities_24.html; https://lists.apache.org/thread.html/r6abf5f2ba6f1aa8b1030f95367aaf17660c4e4c78cb2338aee18982f%40%3Cusers.httpd.apache.org%3E; https://nvd.nist.gov/vuln/detail/CVE-2021-41773</t>
  </si>
  <si>
    <t xml:space="preserve">CVE-2022-26134</t>
  </si>
  <si>
    <t xml:space="preserve">Atlassian Confluence Server/Data Center - OGNL injection pre-auth RCE</t>
  </si>
  <si>
    <t xml:space="preserve">Een OGNL-injectie in de URL-afhandeling (${...} in het URI-pad) van Confluence Server en Data Center laat een ongeauthenticeerde aanvaller code uitvoeren; als zero-day misbruikt (juni 2022) voor webshells (BEHINDER) en cryptominers.</t>
  </si>
  <si>
    <t xml:space="preserve">RCE als de Confluence-gebruiker; toegang tot alle wiki-inhoud (vaak credentials/architectuurdocumentatie) en pivot.</t>
  </si>
  <si>
    <t xml:space="preserve">Controleer de Confluence-versie (7.4.17 / 7.13.7 / 7.14.3 / 7.15.2 / 7.16.4 / 7.17.4 / 7.18.1 of hoger) en test met een onschadelijke OGNL-expressie (header-echo) binnen RoE.</t>
  </si>
  <si>
    <t xml:space="preserve">Update Confluence of pas de xwork-jar-mitigatie toe; beperk externe blootstelling (VPN/SSO); onderzoek op webshells.</t>
  </si>
  <si>
    <t xml:space="preserve">Access-logs met ${ in het URI-pad; nieuwe .jsp-bestanden en child-processen van de Confluence Java-service.</t>
  </si>
  <si>
    <t xml:space="preserve">CWE-917</t>
  </si>
  <si>
    <t xml:space="preserve">Confluence Server/Data Center 1.3.0 t/m 7.4.16, 7.13.0-7.13.6, 7.14.0-7.14.2, 7.15.0-7.15.1, 7.16.0-7.16.3, 7.17.0-7.17.3, 7.18.0</t>
  </si>
  <si>
    <t xml:space="preserve">7.4.17 / 7.13.7 / 7.14.3 / 7.15.2 / 7.16.4 / 7.17.4 / 7.18.1 (3 juni 2022)</t>
  </si>
  <si>
    <t xml:space="preserve">Ja - KEV sinds 2022-06-02</t>
  </si>
  <si>
    <t xml:space="preserve">CVE-2023-22515, CVE-2023-22527, AV-WEB-39</t>
  </si>
  <si>
    <t xml:space="preserve">KEV (2022-06-02); CVSS-bron: ADP CISA-ADP</t>
  </si>
  <si>
    <t xml:space="preserve">https://jira.atlassian.com/browse/CONFSERVER-79016; http://packetstormsecurity.com/files/167432/Confluence-OGNL-Injection-Proof-Of-Concept.html; https://nvd.nist.gov/vuln/detail/CVE-2022-26134</t>
  </si>
  <si>
    <t xml:space="preserve">CVE-2023-22515</t>
  </si>
  <si>
    <t xml:space="preserve">Atlassian Confluence Data Center/Server - broken access control (unauthenticated admin account creation)</t>
  </si>
  <si>
    <t xml:space="preserve">Via het endpoint /server-info.action?bootstrapStatusProvider.applicationConfig.setupComplete=false kon de setup-modus worden heropend, waarna /setup/setupadministrator.action een nieuwe beheerder aanmaakt; als zero-day misbruikt (Storm-0062, september 2023).</t>
  </si>
  <si>
    <t xml:space="preserve">Beheerderstoegang tot Confluence en vervolgens RCE via plugins; volledige toegang tot documentatie.</t>
  </si>
  <si>
    <t xml:space="preserve">Controleer de versie (8.3.3 / 8.4.3 / 8.5.2 of hoger; &lt; 8.0.0 niet kwetsbaar) en of /setup/-endpoints bereikbaar zijn; zoek naar onverwachte admin-accounts en confluence-administrators-leden.</t>
  </si>
  <si>
    <t xml:space="preserve">Update Confluence, blokkeer /setup/* op de reverse proxy, audit admin-accounts, beperk externe blootstelling.</t>
  </si>
  <si>
    <t xml:space="preserve">Access-logs met setupComplete=false en verzoeken naar /setup/setupadministrator.action; nieuwe gebruikers in confluence-administrators.</t>
  </si>
  <si>
    <t xml:space="preserve">CWE-20, CWE-284</t>
  </si>
  <si>
    <t xml:space="preserve">CVSS:3.0/AV:N/AC:L/PR:N/UI:N/S:C/C:H/I:H/A:H</t>
  </si>
  <si>
    <t xml:space="preserve">Confluence Data Center en Server 8.0.0 t/m 8.3.2, 8.4.0-8.4.2, 8.5.0-8.5.1 (Atlassian Cloud niet getroffen)</t>
  </si>
  <si>
    <t xml:space="preserve">8.3.3 / 8.4.3 / 8.5.2 (oktober 2023)</t>
  </si>
  <si>
    <t xml:space="preserve">Ja - KEV sinds 2023-10-05</t>
  </si>
  <si>
    <t xml:space="preserve">CVE-2022-26134, CVE-2023-22527</t>
  </si>
  <si>
    <t xml:space="preserve">KEV (2023-10-05); CVSS-bron: CNA</t>
  </si>
  <si>
    <t xml:space="preserve">http://packetstormsecurity.com/files/175225/Atlassian-Confluence-Unauthenticated-Remote-Code-Execution.html; https://confluence.atlassian.com/display/KB/FAQ+for+CVE-2023-22515; https://nvd.nist.gov/vuln/detail/CVE-2023-22515</t>
  </si>
  <si>
    <t xml:space="preserve">CVE-2023-22527</t>
  </si>
  <si>
    <t xml:space="preserve">Atlassian Confluence Data Center/Server - server-side template injection pre-auth RCE</t>
  </si>
  <si>
    <t xml:space="preserve">Een template injection (OGNL via Velocity-templates, /template/aui/text-inline.vm) in oudere Confluence 8.x-versies geeft ongeauthenticeerde RCE; binnen dagen na publicatie massaal misbruikt (januari 2024), o.a. voor cryptominers en ransomware (Cerber).</t>
  </si>
  <si>
    <t xml:space="preserve">RCE als de Confluence-gebruiker en toegang tot alle wiki-data.</t>
  </si>
  <si>
    <t xml:space="preserve">Controleer de versie (8.5.4 / 8.6.0 of hoger niet kwetsbaar) en test met een onschadelijke OGNL-payload (header-echo) in de label-parameter binnen RoE.</t>
  </si>
  <si>
    <t xml:space="preserve">Update naar 8.5.4+ (LTS) of 8.6+; beperk externe blootstelling.</t>
  </si>
  <si>
    <t xml:space="preserve">Access-logs met POST naar /template/aui/text-inline.vm; child-processen van de Confluence-service.</t>
  </si>
  <si>
    <t xml:space="preserve">CWE-74, CWE-1336</t>
  </si>
  <si>
    <t xml:space="preserve">Confluence Data Center/Server 8.0.x t/m 8.4.x en 8.5.0-8.5.3</t>
  </si>
  <si>
    <t xml:space="preserve">8.5.4 (LTS) / 8.6.0+ (december 2023)</t>
  </si>
  <si>
    <t xml:space="preserve">Ja - KEV sinds 2024-01-24</t>
  </si>
  <si>
    <t xml:space="preserve">AV-WEB-16, CVE-2022-26134</t>
  </si>
  <si>
    <t xml:space="preserve">KEV (2024-01-24); CVSS-bron: CNA</t>
  </si>
  <si>
    <t xml:space="preserve">https://confluence.atlassian.com/pages/viewpage.action?pageId=1333335615; https://jira.atlassian.com/browse/CONFSERVER-93833; https://nvd.nist.gov/vuln/detail/CVE-2023-22527</t>
  </si>
  <si>
    <t xml:space="preserve">CVE-2024-4577</t>
  </si>
  <si>
    <t xml:space="preserve">PHP-CGI on Windows - argument injection RCE (Best-Fit encoding)</t>
  </si>
  <si>
    <t xml:space="preserve">Op Windows-servers met bepaalde codepages (o.a. Chinees/Japans, maar ook via andere locale-instellingen) vertaalt 'Best-Fit' een soft hyphen (%AD) naar een streepje, waardoor PHP-CGI argumenten zoals -d allow_url_include=1 accepteert en code uit de request body uitvoert; bypass van CVE-2012-1823. Direct na publicatie misbruikt (TellYouThePass-ransomware) en standaard aanwezig in XAMPP.</t>
  </si>
  <si>
    <t xml:space="preserve">Ongeauthenticeerde RCE op PHP-webservers op Windows.</t>
  </si>
  <si>
    <t xml:space="preserve">Identificeer PHP op Windows in CGI-modus (XAMPP, IIS met php-cgi) en de PHP-versie; test met een onschadelijke payload (phpinfo) via de %ADd-parameter binnen RoE.</t>
  </si>
  <si>
    <t xml:space="preserve">Update PHP naar 8.3.8 / 8.2.20 / 8.1.29; gebruik FastCGI/FPM i.p.v. CGI; mod_rewrite-mitigatie voor %AD; vervang PHP 8.0/7.x (EOL).</t>
  </si>
  <si>
    <t xml:space="preserve">WAF-signatures op %ADd in query strings; alarmeer op child-processen van php-cgi.exe.</t>
  </si>
  <si>
    <t xml:space="preserve">CWE-78, CWE-88</t>
  </si>
  <si>
    <t xml:space="preserve">PHP 8.3 &lt; 8.3.8, 8.2 &lt; 8.2.20, 8.1 &lt; 8.1.29 en alle EOL-versies (8.0, 7.x, 5.x) in CGI-modus op Windows</t>
  </si>
  <si>
    <t xml:space="preserve">PHP 8.3.8 / 8.2.20 / 8.1.29 (6 juni 2024)</t>
  </si>
  <si>
    <t xml:space="preserve">Ja - KEV sinds 2024-06-12</t>
  </si>
  <si>
    <t xml:space="preserve">AV-WEB-04, AV-WEB-18</t>
  </si>
  <si>
    <t xml:space="preserve">KEV (2024-06-12); CVSS-bron: CNA</t>
  </si>
  <si>
    <t xml:space="preserve">https://github.com/php/php-src/security/advisories/GHSA-3qgc-jrrr-25jv; https://blog.orange.tw/2024/06/cve-2024-4577-yet-another-php-rce.html; https://nvd.nist.gov/vuln/detail/CVE-2024-4577</t>
  </si>
  <si>
    <t xml:space="preserve">CVE-2019-18935</t>
  </si>
  <si>
    <t xml:space="preserve">Progress Telerik UI for ASP.NET AJAX - RadAsyncUpload deserialization RCE</t>
  </si>
  <si>
    <t xml:space="preserve">De RadAsyncUpload-handler deserialiseert .NET-objecten uit de rauPostData-parameter; met bekende of te kraken encryptiesleutels (CVE-2017-11317/11357, default keys) kan een aanvaller een DLL uploaden en laden voor RCE als de IIS-apppool. Nog veelvuldig in oudere .NET-applicaties (overheid, zorg) aanwezig.</t>
  </si>
  <si>
    <t xml:space="preserve">RCE op .NET-webapplicaties; gebruikt door statelijke actoren tegen Amerikaanse overheidsinstanties (CISA 2023).</t>
  </si>
  <si>
    <t xml:space="preserve">Identificeer Telerik-componenten en versies (Telerik.Web.UI.dll, /Telerik.Web.UI.WebResource.axd?type=rau) en controleer versie &lt; 2020.1.114 en of de encryptiesleutels standaard of bekend zijn; PoC alleen binnen RoE.</t>
  </si>
  <si>
    <t xml:space="preserve">Update naar Telerik UI 2020.1.114+ (en configureer type-allowlisting), stel sterke unieke encryptiesleutels in, verwijder ongebruikte handlers.</t>
  </si>
  <si>
    <t xml:space="preserve">IIS-logs met POST naar Telerik.Web.UI.WebResource.axd?type=rau; onverwachte DLL's in Windows\Temp en child-processen van w3wp.exe.</t>
  </si>
  <si>
    <t xml:space="preserve">Telerik UI for ASP.NET AJAX 2011.1.315 t/m 2019.3.1023 (vooral &lt; 2017.2.621 met bekende default keys)</t>
  </si>
  <si>
    <t xml:space="preserve">2020.1.114 (standaardinstelling voorkomt exploitatie) en sterke sleutels</t>
  </si>
  <si>
    <t xml:space="preserve">AV-WEB-09, AV-WEB-23</t>
  </si>
  <si>
    <t xml:space="preserve">https://www.telerik.com/support/whats-new/release-history; https://codewhitesec.blogspot.com/2019/02/telerik-revisited.html; https://nvd.nist.gov/vuln/detail/CVE-2019-18935</t>
  </si>
  <si>
    <t xml:space="preserve">CVE-2023-23752</t>
  </si>
  <si>
    <t xml:space="preserve">Joomla! 4.x - improper access check on webservice endpoints (config/credential disclosure)</t>
  </si>
  <si>
    <t xml:space="preserve">De REST API van Joomla 4.0.0-4.2.7 laat via ?public=true ongeauthenticeerde toegang tot /api/index.php/v1/config/application, waarin databasecredentials en configuratie staan; in combinatie met blootgestelde MySQL leidt dit tot overname van de site.</t>
  </si>
  <si>
    <t xml:space="preserve">Lekkage van database-credentials en gebruikerslijsten; vaak directe overname van de website.</t>
  </si>
  <si>
    <t xml:space="preserve">Controleer de Joomla-versie en vraag het config-endpoint met public=true op (niet-destructief) binnen RoE.</t>
  </si>
  <si>
    <t xml:space="preserve">Update naar Joomla 4.2.8 of hoger; roteer databasecredentials; MySQL alleen lokaal bereikbaar.</t>
  </si>
  <si>
    <t xml:space="preserve">Access-logs met /api/index.php/v1/config/application?public=true.</t>
  </si>
  <si>
    <t xml:space="preserve">CVSS:3.1/AV:N/AC:L/PR:N/UI:N/S:U/C:L/I:N/A:N</t>
  </si>
  <si>
    <t xml:space="preserve">Joomla! 4.0.0 t/m 4.2.7</t>
  </si>
  <si>
    <t xml:space="preserve">Joomla! 4.2.8 (februari 2023)</t>
  </si>
  <si>
    <t xml:space="preserve">Ja - KEV sinds 2024-01-08</t>
  </si>
  <si>
    <t xml:space="preserve">AV-WEB-48, CVE-2026-48907</t>
  </si>
  <si>
    <t xml:space="preserve">KEV (2024-01-08); CVSS-bron: ADP CISA-ADP</t>
  </si>
  <si>
    <t xml:space="preserve">https://developer.joomla.org/security-centre/894-20230201-core-improper-access-check-in-webservice-endpoints.html; https://nvd.nist.gov/vuln/detail/CVE-2023-23752</t>
  </si>
  <si>
    <t xml:space="preserve">CVE-2026-48907</t>
  </si>
  <si>
    <t xml:space="preserve">Joomla JCE editor extension - unauthenticated profile creation to PHP upload/RCE</t>
  </si>
  <si>
    <t xml:space="preserve">De JCE-editorextensie (zeer veel gebruikt op Joomla-sites) liet ongeauthenticeerde gebruikers nieuwe editorprofielen aanmaken, waarmee vervolgens PHP-bestanden geupload en uitgevoerd konden worden; in juni 2026 aan KEV toegevoegd, gevolgd door vergelijkbare upload-RCE's in andere Joomla-extensies (SP Page Builder, Balbooa Forms, iCagenda, Page Builder CK).</t>
  </si>
  <si>
    <t xml:space="preserve">Volledige overname van de website (webshell), defacement en gebruik als phishing-/malwarehost.</t>
  </si>
  <si>
    <t xml:space="preserve">Inventariseer geinstalleerde Joomla-extensies en versies (JCE &lt; 2.9.99.5) en controleer of de profiel-/uploadendpoints zonder authenticatie bereikbaar zijn.</t>
  </si>
  <si>
    <t xml:space="preserve">Update JCE naar 2.9.99.5+ en alle andere extensies; verwijder ongebruikte extensies; blokkeer PHP-uitvoering in uploadmappen; WAF.</t>
  </si>
  <si>
    <t xml:space="preserve">Alarmeer op nieuwe .php-bestanden in images/media-mappen en op POST-verzoeken naar JCE-profielendpoints.</t>
  </si>
  <si>
    <t xml:space="preserve">CWE-284, CWE-434</t>
  </si>
  <si>
    <t xml:space="preserve">JCE extension for Joomla 1.0.0 t/m 2.9.99.4</t>
  </si>
  <si>
    <t xml:space="preserve">JCE 2.9.99.5 (juni 2026)</t>
  </si>
  <si>
    <t xml:space="preserve">Ja - KEV sinds 2026-06-16</t>
  </si>
  <si>
    <t xml:space="preserve">In het wild misbruikt (KEV 2026-06-16)</t>
  </si>
  <si>
    <t xml:space="preserve">CVE-2023-23752, AV-WEB-10, AV-WEB-23</t>
  </si>
  <si>
    <t xml:space="preserve">KEV; verwant: CVE-2026-48908, CVE-2026-56290, CVE-2026-56291, CVE-2026-48939; CVSS-bron: CNA</t>
  </si>
  <si>
    <t xml:space="preserve">https://www.joomlacontenteditor.net/; https://nvd.nist.gov/vuln/detail/CVE-2026-48907</t>
  </si>
  <si>
    <t xml:space="preserve">CVE-2018-7600</t>
  </si>
  <si>
    <t xml:space="preserve">Drupal 7/8 - unauthenticated RCE via Form API renderable arrays (Drupalgeddon2)</t>
  </si>
  <si>
    <t xml:space="preserve">Onvoldoende sanitisatie van invoer in de Form API (#-sleutels in render arrays) laat een ongeauthenticeerde aanvaller PHP-code uitvoeren via o.a. het registratieformulier (user/register) of AJAX-callbacks; massaal misbruikt in 2018 en nog aanwezig op verlaten Drupal-sites.</t>
  </si>
  <si>
    <t xml:space="preserve">RCE als de webservergebruiker en volledige overname van de site/database.</t>
  </si>
  <si>
    <t xml:space="preserve">Controleer de Drupal-versie (&lt; 7.58 / 8.3.9 / 8.4.6 / 8.5.1) en test met een onschadelijke payload (echo) via de bekende form-endpoints binnen RoE.</t>
  </si>
  <si>
    <t xml:space="preserve">Update Drupal (en volg SA-CORE-2018-004 voor Drupalgeddon3); migreer verlaten 7.x/8.x-sites (EOL).</t>
  </si>
  <si>
    <t xml:space="preserve">WAF-signatures op #post_render/#markup in POST-parameters; nieuwe PHP-bestanden in sites/default/files.</t>
  </si>
  <si>
    <t xml:space="preserve">CWE-20, CWE-94</t>
  </si>
  <si>
    <t xml:space="preserve">Drupal &lt; 7.58, 8.x &lt; 8.3.9, 8.4.x &lt; 8.4.6, 8.5.x &lt; 8.5.1</t>
  </si>
  <si>
    <t xml:space="preserve">Drupal 7.58 / 8.3.9 / 8.4.6 / 8.5.1 (28 maart 2018)</t>
  </si>
  <si>
    <t xml:space="preserve">CVE-2026-9082, AV-WEB-23</t>
  </si>
  <si>
    <t xml:space="preserve">https://github.com/g0rx/CVE-2018-7600-Drupal-RCE; http://www.securitytracker.com/id/1040598; https://nvd.nist.gov/vuln/detail/CVE-2018-7600</t>
  </si>
  <si>
    <t xml:space="preserve">CVE-2026-9082</t>
  </si>
  <si>
    <t xml:space="preserve">Drupal core - highly critical unauthenticated SQL injection (SA-CORE-2026-004)</t>
  </si>
  <si>
    <t xml:space="preserve">Een SQL-injectie in Drupal core (8.9 t/m 11.3) laat een ongeauthenticeerde aanvaller de database manipuleren, met als gevolg accountovername en code-uitvoering; door Drupal als 'highly critical' geclassificeerd en in mei 2026 aan KEV toegevoegd.</t>
  </si>
  <si>
    <t xml:space="preserve">Overname van Drupal-sites (admin-accounts, PHP-uitvoering via modules) en datalek van de database.</t>
  </si>
  <si>
    <t xml:space="preserve">Controleer de Drupal-versie (10.4.10 / 10.5.10 / 10.6.9 / 11.1.10 / 11.2.12 / 11.3.10 of hoger) via CHANGELOG/composer.lock; PoC alleen niet-destructief (bv. time-based check) binnen RoE.</t>
  </si>
  <si>
    <t xml:space="preserve">Update Drupal core direct; roteer databasecredentials en controleer op nieuwe admin-accounts bij eerdere blootstelling.</t>
  </si>
  <si>
    <t xml:space="preserve">WAF-logs met SQL-metatekens in de getroffen parameters; databasequeries met sleep/benchmark; nieuwe gebruikers met beheerdersrol.</t>
  </si>
  <si>
    <t xml:space="preserve">Drupal core 8.9.0 t/m 10.4.9, 10.5.0-10.5.9, 10.6.0-10.6.8, 11.0.0-11.1.9, 11.2.0-11.2.11, 11.3.0-11.3.9</t>
  </si>
  <si>
    <t xml:space="preserve">10.4.10 / 10.5.10 / 10.6.9 / 11.1.10 / 11.2.12 / 11.3.10 (mei 2026)</t>
  </si>
  <si>
    <t xml:space="preserve">Ja - KEV sinds 2026-05-22</t>
  </si>
  <si>
    <t xml:space="preserve">In het wild misbruikt (KEV 2026-05-22)</t>
  </si>
  <si>
    <t xml:space="preserve">CVE-2018-7600, AV-WEB-03</t>
  </si>
  <si>
    <t xml:space="preserve">https://www.drupal.org/sa-core-2026-004; https://nvd.nist.gov/vuln/detail/CVE-2026-9082</t>
  </si>
  <si>
    <t xml:space="preserve">CVE-2026-63030</t>
  </si>
  <si>
    <t xml:space="preserve">WordPress core - REST API batch-route confusion + SQL injection to RCE (met CVE-2026-60137, CVE-2026-87902)</t>
  </si>
  <si>
    <t xml:space="preserve">Een route-verwarring in het REST API batch-endpoint gecombineerd met een SQL-injectie in WP_Query (author__not_in, CVE-2026-60137) geeft ongeauthenticeerde aanvallers SQL-injectie en uiteindelijk RCE op WordPress 6.9.x/7.0.x; in juli 2026 massaal misbruikt. In september 2026 volgde een LFI-naar-RCE in de template-resolutie (CVE-2026-87902).</t>
  </si>
  <si>
    <t xml:space="preserve">Overname van WordPress-sites op grote schaal (ca. 40% van het web), webshells, SEO-spam en phishing-hosting.</t>
  </si>
  <si>
    <t xml:space="preserve">Controleer de WordPress-versie (6.9.5 / 7.0.2 of hoger; voor 87902 7.1.2) via readme/HTML; test de batch-route alleen niet-destructief binnen RoE.</t>
  </si>
  <si>
    <t xml:space="preserve">Automatische core-updates inschakelen, update naar 7.0.2+/7.1.2+, WAF, beperk REST API voor anonieme gebruikers waar mogelijk.</t>
  </si>
  <si>
    <t xml:space="preserve">Access-logs met POST /wp-json/batch/v1 met geneste routes en SQL-metatekens; nieuwe PHP-bestanden in wp-content/uploads.</t>
  </si>
  <si>
    <t xml:space="preserve">CWE-436, CWE-89</t>
  </si>
  <si>
    <t xml:space="preserve">WordPress 6.9.0 t/m 6.9.4 en 7.0.0 t/m 7.0.1 (CVE-2026-63030); WordPress &lt; 7.1.2 (CVE-2026-87902)</t>
  </si>
  <si>
    <t xml:space="preserve">WordPress 6.9.5 / 7.0.2 (juli 2026); 7.1.2 (september 2026)</t>
  </si>
  <si>
    <t xml:space="preserve">Ja - KEV sinds 2026-07-21</t>
  </si>
  <si>
    <t xml:space="preserve">In het wild misbruikt (KEV 2026-07-21; 2026-09-25)</t>
  </si>
  <si>
    <t xml:space="preserve">AV-WEB-03, AV-WEB-23</t>
  </si>
  <si>
    <t xml:space="preserve">KEV; CVSS-bron: CNA; Verwante CVE's zonder eigen rij: CVE-2026-60137, CVE-2026-87902</t>
  </si>
  <si>
    <t xml:space="preserve">https://github.com/WordPress/wordpress-develop/security/advisories/GHSA-ff9f-jf42-662q; https://wordpress.org/news/2026/07/wordpress-7-0-2-release/; https://nvd.nist.gov/vuln/detail/CVE-2026-63030</t>
  </si>
  <si>
    <t xml:space="preserve">CVE-2023-46604</t>
  </si>
  <si>
    <t xml:space="preserve">Apache ActiveMQ - OpenWire protocol deserialization RCE</t>
  </si>
  <si>
    <t xml:space="preserve">De OpenWire-marshaller (TCP 61616) instantieert willekeurige klassen uit de classpath op basis van door de aanvaller opgegeven typen, waardoor via een Spring XML-configuratie op een externe URL commando's worden uitgevoerd; direct misbruikt voor HelloKitty/TellYouThePass-ransomware en Godzilla-webshells.</t>
  </si>
  <si>
    <t xml:space="preserve">Ongeauthenticeerde RCE op message brokers die vaak diep in het interne netwerk staan.</t>
  </si>
  <si>
    <t xml:space="preserve">Scan op OpenWire (61616) en de ActiveMQ-versie (banner/web console 8161); PoC alleen met een onschadelijke Spring-configuratie binnen RoE.</t>
  </si>
  <si>
    <t xml:space="preserve">Update naar 5.15.16 / 5.16.7 / 5.17.6 / 5.18.3 of hoger (ook clients); beperk toegang tot broker-poorten; schakel de web console uit of beveilig deze.</t>
  </si>
  <si>
    <t xml:space="preserve">Alarmeer op uitgaande HTTP-verzoeken van de broker naar onbekende URL's (XML-configuratie) en op child-processen van de ActiveMQ-JVM.</t>
  </si>
  <si>
    <t xml:space="preserve">CVSS:3.1/AV:N/AC:L/PR:N/UI:N/S:C/C:L/I:H/A:H</t>
  </si>
  <si>
    <t xml:space="preserve">Apache ActiveMQ 5.18.0-5.18.2, 5.17.0-5.17.5, 5.16.0-5.16.6, &lt; 5.15.16 (en Legacy OpenWire Module)</t>
  </si>
  <si>
    <t xml:space="preserve">5.15.16 / 5.16.7 / 5.17.6 / 5.18.3 (oktober 2023)</t>
  </si>
  <si>
    <t xml:space="preserve">Ja - KEV sinds 2023-11-02</t>
  </si>
  <si>
    <t xml:space="preserve">AV-WEB-09, AV-NET-14</t>
  </si>
  <si>
    <t xml:space="preserve">KEV (2023-11-02); CVSS-bron: CNA</t>
  </si>
  <si>
    <t xml:space="preserve">https://activemq.apache.org/security-advisories.data/CVE-2023-46604-announcement.txt; https://www.openwall.com/lists/oss-security/2023/10/27/5; https://nvd.nist.gov/vuln/detail/CVE-2023-46604</t>
  </si>
  <si>
    <t xml:space="preserve">CVE-2025-29927</t>
  </si>
  <si>
    <t xml:space="preserve">Next.js middleware - authorization bypass via x-middleware-subrequest header</t>
  </si>
  <si>
    <t xml:space="preserve">Door de interne header x-middleware-subrequest met de juiste waarde (bv. middleware:middleware:middleware...) mee te sturen slaat Next.js de middleware over, waardoor autorisatie-, CSP- en redirect-logica die in middleware is geimplementeerd volledig wordt omzeild (self-hosted; Vercel/Netlify waren beschermd).</t>
  </si>
  <si>
    <t xml:space="preserve">Toegang tot beschermde pagina's/API-routes zonder authenticatie wanneer autorisatie alleen in middleware plaatsvindt.</t>
  </si>
  <si>
    <t xml:space="preserve">Identificeer Next.js-applicaties en versies (X-Powered-By, _next-paden, package.json via source maps) en herhaal een geblokkeerd verzoek met de x-middleware-subrequest-header (niet-destructief).</t>
  </si>
  <si>
    <t xml:space="preserve">Update naar Next.js 15.2.3 / 14.2.25 / 13.5.9 / 12.3.5; strip de header op de reverse proxy; dwing autorisatie ook af in route handlers/server components (defense in depth).</t>
  </si>
  <si>
    <t xml:space="preserve">Alarmeer op inkomende verzoeken met de x-middleware-subrequest-header vanaf externe bronnen.</t>
  </si>
  <si>
    <t xml:space="preserve">Next.js 11.1.4 t/m 12.3.4, 13.0.0-13.5.8, 14.0.0-14.2.24, 15.0.0-15.2.2 (self-hosted met middleware)</t>
  </si>
  <si>
    <t xml:space="preserve">Next.js 15.2.3 / 14.2.25 / 13.5.9 / 12.3.5 (maart 2025)</t>
  </si>
  <si>
    <t xml:space="preserve">Ja (triviaal; publieke PoC's)</t>
  </si>
  <si>
    <t xml:space="preserve">AV-WEB-02, AV-WEB-01</t>
  </si>
  <si>
    <t xml:space="preserve">Niet in KEV; wel breed gescand; CVSS-bron: CNA</t>
  </si>
  <si>
    <t xml:space="preserve">https://github.com/vercel/next.js/security/advisories/GHSA-f82v-jwr5-mffw; https://github.com/vercel/next.js/commit/52a078da3884efe6501613c7834a3d02a91676d2; https://nvd.nist.gov/vuln/detail/CVE-2025-29927</t>
  </si>
  <si>
    <t xml:space="preserve">CVE-2025-55182</t>
  </si>
  <si>
    <t xml:space="preserve">React Server Components / Next.js - pre-auth deserialization RCE (React2Shell)</t>
  </si>
  <si>
    <t xml:space="preserve">React Server Components (react-server-dom-webpack/-turbopack/-parcel 19.0-19.2) deserialiseren Server Function-payloads onveilig, waardoor een ongeauthenticeerde HTTP-request tot code-uitvoering op de server leidt; raakt Next.js 15/16 App Router-applicaties en werd binnen 48 uur massaal misbruikt (o.a. door Chinese statelijke actoren), gevolgd door een bypass (CVE-2025-66478).</t>
  </si>
  <si>
    <t xml:space="preserve">RCE op moderne React/Next.js-servers, inclusief SaaS-platformen; diefstal van omgevingsvariabelen/secrets.</t>
  </si>
  <si>
    <t xml:space="preserve">Identificeer Next.js App Router/RSC-applicaties en de React-versie (package.json via source maps, headers) en controleer op 19.0.1 / 19.1.2 / 19.2.1 of hoger; PoC alleen met onschadelijke payload binnen RoE.</t>
  </si>
  <si>
    <t xml:space="preserve">Update React/RSC naar 19.0.1 / 19.1.2 / 19.2.1+ en Next.js naar de bijbehorende patchrelease (15.0.5 e.v.); WAF-regels als tijdelijke mitigatie; roteer secrets bij eerdere blootstelling.</t>
  </si>
  <si>
    <t xml:space="preserve">Alarmeer op POST-verzoeken met Next-Action-headers en afwijkende multipart/RSC-payloads; child-processen van node.</t>
  </si>
  <si>
    <t xml:space="preserve">React Server Components 19.0.0, 19.1.0, 19.1.1, 19.2.0 (react-server-dom-webpack/-turbopack/-parcel); Next.js 15.x/16.x App Router</t>
  </si>
  <si>
    <t xml:space="preserve">React 19.0.1 / 19.1.2 / 19.2.1 en Next.js-patchreleases (3 december 2025); zie ook CVE-2025-66478</t>
  </si>
  <si>
    <t xml:space="preserve">Ja - KEV sinds 2025-12-05</t>
  </si>
  <si>
    <t xml:space="preserve">CVE-2025-29927, AV-WEB-09, AV-WEB-23</t>
  </si>
  <si>
    <t xml:space="preserve">KEV (2025-12-05); CVSS-bron: CNA</t>
  </si>
  <si>
    <t xml:space="preserve">https://www.facebook.com/security/advisories/cve-2025-55182; https://react.dev/blog/2025/12/03/critical-security-vulnerability-in-react-server-components; https://nvd.nist.gov/vuln/detail/CVE-2025-55182</t>
  </si>
  <si>
    <t xml:space="preserve">CVE-2021-43798</t>
  </si>
  <si>
    <t xml:space="preserve">Grafana - unauthenticated path traversal (plugin assets)</t>
  </si>
  <si>
    <t xml:space="preserve">Het pad /public/plugins/&lt;plugin-id&gt;/../../../../etc/passwd laat een ongeauthenticeerde aanvaller willekeurige bestanden lezen van de Grafana-server, inclusief grafana.ini en de database met datasource-credentials; pas in oktober 2025 aan KEV toegevoegd wegens aanhoudend misbruik.</t>
  </si>
  <si>
    <t xml:space="preserve">Lekkage van configuratie en datasource-credentials (databases, cloudaccounts) en van sessiegegevens.</t>
  </si>
  <si>
    <t xml:space="preserve">Controleer de Grafana-versie (8.0.0-beta1 t/m 8.3.0 kwetsbaar) en test het traversal-pad met een onschadelijk bestand binnen RoE.</t>
  </si>
  <si>
    <t xml:space="preserve">Update naar 8.3.1 / 8.2.7 / 8.1.8 / 8.0.7 of hoger; roteer datasource-credentials en secret_key bij blootstelling; Grafana achter SSO/VPN.</t>
  </si>
  <si>
    <t xml:space="preserve">Access-logs met ../ in /public/plugins/-paden.</t>
  </si>
  <si>
    <t xml:space="preserve">Grafana 8.0.0-beta1 t/m 8.3.0 (behalve 8.0.7, 8.1.8, 8.2.7)</t>
  </si>
  <si>
    <t xml:space="preserve">Grafana 8.3.1 / 8.2.7 / 8.1.8 / 8.0.7 (december 2021)</t>
  </si>
  <si>
    <t xml:space="preserve">Ja - KEV sinds 2025-10-09</t>
  </si>
  <si>
    <t xml:space="preserve">AV-WEB-11, AV-WEB-48</t>
  </si>
  <si>
    <t xml:space="preserve">KEV (2025-10-09); CVSS-bron: CNA</t>
  </si>
  <si>
    <t xml:space="preserve">https://github.com/grafana/grafana/security/advisories/GHSA-8pjx-jj86-j47p; https://github.com/grafana/grafana/commit/c798c0e958d15d9cc7f27c72113d572fa58545ce; https://nvd.nist.gov/vuln/detail/CVE-2021-43798</t>
  </si>
  <si>
    <t xml:space="preserve">CVE-2025-24813</t>
  </si>
  <si>
    <t xml:space="preserve">Apache Tomcat - partial PUT path equivalence to RCE / information disclosure</t>
  </si>
  <si>
    <t xml:space="preserve">Bij een write-enabled Default Servlet (readonly=false, niet standaard) met partial PUT kan een aanvaller via een pad met interne punt (file.Name) een geserialiseerd sessiebestand uploaden dat door file-based session persistence wordt gedeserialiseerd, met RCE als gevolg; ook mogelijk: lezen/injecteren van gevoelige uploads.</t>
  </si>
  <si>
    <t xml:space="preserve">RCE op Tomcat-servers met schrijfbare Default Servlet; in het wild misbruikt binnen dagen na publicatie.</t>
  </si>
  <si>
    <t xml:space="preserve">Controleer de Tomcat-versie (11.0.3 / 10.1.35 / 9.0.99 of hoger) en of PUT op de Default Servlet is toegestaan (OPTIONS/PUT-test) en session persistence met PersistentManager actief is.</t>
  </si>
  <si>
    <t xml:space="preserve">Update Tomcat; readonly=true (standaard) op de Default Servlet; geen file-based session persistence; beperk HTTP-methods.</t>
  </si>
  <si>
    <t xml:space="preserve">Access-logs met PUT-verzoeken met Content-Range en bestandsnamen met ongebruikelijke punten; nieuwe .session-bestanden.</t>
  </si>
  <si>
    <t xml:space="preserve">CWE-44, CWE-502</t>
  </si>
  <si>
    <t xml:space="preserve">Apache Tomcat 11.0.0-M1 t/m 11.0.2, 10.1.0-M1 t/m 10.1.34, 9.0.0.M1 t/m 9.0.98 (en EOL 8.5.x) met writes op de Default Servlet</t>
  </si>
  <si>
    <t xml:space="preserve">Tomcat 11.0.3 / 10.1.35 / 9.0.99 (maart 2025)</t>
  </si>
  <si>
    <t xml:space="preserve">Ja - KEV sinds 2025-04-01</t>
  </si>
  <si>
    <t xml:space="preserve">AV-WEB-49, AV-WEB-09</t>
  </si>
  <si>
    <t xml:space="preserve">KEV (2025-04-01); CVSS-bron: ADP CISA-ADP</t>
  </si>
  <si>
    <t xml:space="preserve">https://lists.apache.org/thread/j5fkjv2k477os90nczf2v9l61fb0kkgq; https://nvd.nist.gov/vuln/detail/CVE-2025-24813</t>
  </si>
  <si>
    <t xml:space="preserve">CVE-2020-14882</t>
  </si>
  <si>
    <t xml:space="preserve">Oracle WebLogic Server - console authentication bypass to RCE (met CVE-2020-14883)</t>
  </si>
  <si>
    <t xml:space="preserve">Een path traversal (/console/css/%252e%252e%252fconsole.portal) omzeilt de authenticatie van de WebLogic Administration Console, waarna via CVE-2020-14883 (handle-parameter met com.tangosol.coherence.mvel2.sh.ShellSession of FileSystemXmlConfig) code wordt uitgevoerd; binnen een week massaal misbruikt (Cobalt Strike, cryptominers).</t>
  </si>
  <si>
    <t xml:space="preserve">Ongeauthenticeerde RCE op WebLogic-servers (vaak met gevoelige bedrijfsapplicaties).</t>
  </si>
  <si>
    <t xml:space="preserve">Controleer of de console (7001/7002) bereikbaar is en de WebLogic-versie; test de bypass met een GET naar console.portal (niet-destructief) binnen RoE.</t>
  </si>
  <si>
    <t xml:space="preserve">Installeer de Oracle CPU van oktober 2020 of hoger; console niet aan internet (of uitschakelen); beperk toegang via netwerkbeleid.</t>
  </si>
  <si>
    <t xml:space="preserve">Access-logs met %252e%252e%252f in /console/-paden en handle=-parameters met klassenamen.</t>
  </si>
  <si>
    <t xml:space="preserve">CWE-22, CWE-287</t>
  </si>
  <si>
    <t xml:space="preserve">Oracle WebLogic Server 10.3.6.0.0, 12.1.3.0.0, 12.2.1.3.0, 12.2.1.4.0, 14.1.1.0.0</t>
  </si>
  <si>
    <t xml:space="preserve">Oracle Critical Patch Update oktober 2020</t>
  </si>
  <si>
    <t xml:space="preserve">CVE-2026-21962, AV-NET-12</t>
  </si>
  <si>
    <t xml:space="preserve">KEV (2021-11-03); CVSS-bron: CNA; Verwante CVE's zonder eigen rij: CVE-2020-14883</t>
  </si>
  <si>
    <t xml:space="preserve">https://www.oracle.com/security-alerts/cpuoct2020.html; http://packetstormsecurity.com/files/159769/Oracle-WebLogic-Server-Remote-Code-Execution.html; https://nvd.nist.gov/vuln/detail/CVE-2020-14882</t>
  </si>
  <si>
    <t xml:space="preserve">CVE-2026-21962</t>
  </si>
  <si>
    <t xml:space="preserve">Oracle HTTP Server / WebLogic Server Proxy Plug-in - unauthenticated access control bypass</t>
  </si>
  <si>
    <t xml:space="preserve">Een access-control-fout in de WebLogic Server Proxy Plug-in voor Apache HTTP Server en IIS laat een ongeauthenticeerde aanvaller via HTTP de proxy en achterliggende componenten compromitteren (volledige C/I-impact met scope change); gepubliceerd in de CPU van januari 2026 en in augustus 2026 aan KEV toegevoegd.</t>
  </si>
  <si>
    <t xml:space="preserve">Toegang tot/wijziging van alle data achter de proxy en pivot naar WebLogic-applicaties.</t>
  </si>
  <si>
    <t xml:space="preserve">Identificeer Oracle HTTP Server/WebLogic-proxy-deployments (headers, /weblogic-paden) en controleer de versie (12.2.1.4.0, 14.1.1.0.0, 14.1.2.0.0) tegen de CPU van januari 2026.</t>
  </si>
  <si>
    <t xml:space="preserve">Installeer de Oracle CPU van januari 2026 (of hoger); beperk de blootstelling van beheer-/proxy-endpoints.</t>
  </si>
  <si>
    <t xml:space="preserve">Afwijkende verzoeken naar WebLogic-proxy-paden en authenticatieloze toegang tot beschermde backend-URL's.</t>
  </si>
  <si>
    <t xml:space="preserve">CVSS:3.1/AV:N/AC:L/PR:N/UI:N/S:C/C:H/I:H/A:N</t>
  </si>
  <si>
    <t xml:space="preserve">Oracle HTTP Server / WebLogic Server Proxy Plug-in 12.2.1.4.0, 14.1.1.0.0, 14.1.2.0.0 (IIS: alleen 12.2.1.4.0)</t>
  </si>
  <si>
    <t xml:space="preserve">Oracle Critical Patch Update januari 2026</t>
  </si>
  <si>
    <t xml:space="preserve">Ja - KEV sinds 2026-08-24</t>
  </si>
  <si>
    <t xml:space="preserve">In het wild misbruikt (KEV 2026-08-24)</t>
  </si>
  <si>
    <t xml:space="preserve">https://www.oracle.com/security-alerts/cpujan2026.html; https://nvd.nist.gov/vuln/detail/CVE-2026-21962</t>
  </si>
  <si>
    <t xml:space="preserve">CVE-2025-61882</t>
  </si>
  <si>
    <t xml:space="preserve">Oracle E-Business Suite - unauthenticated RCE (BI Publisher Integration; Cl0p data-theft campaign)</t>
  </si>
  <si>
    <t xml:space="preserve">Een keten van fouten in Oracle Concurrent Processing/BI Publisher Integration van E-Business Suite 12.2.3-12.2.14 laat ongeauthenticeerde aanvallers via HTTP code uitvoeren; vanaf augustus 2025 door Cl0p (FIN11) gebruikt voor grootschalige datadiefstal en afpersing, voordat Oracle op 4 oktober 2025 een noodpatch uitbracht.</t>
  </si>
  <si>
    <t xml:space="preserve">Volledige toegang tot ERP-/HR-/financiele data en RCE op de applicatieservers.</t>
  </si>
  <si>
    <t xml:space="preserve">Controleer de EBS-versie en of de CPU van oktober 2025 (incl. alert CVE-2025-61882 en de voorafgaande juli-CPU) is geinstalleerd; controleer of EBS-webcomponenten extern bereikbaar zijn; zoek IoC's uit het Oracle-/Mandiant-advies.</t>
  </si>
  <si>
    <t xml:space="preserve">Installeer de Oracle-noodpatch en CPU's; beperk externe blootstelling van EBS (VPN/WAF); onderzoek op compromittering en datadiefstal.</t>
  </si>
  <si>
    <t xml:space="preserve">Access-logs met verzoeken naar /OA_HTML/configurator/UiServlet en SyncServlet met afwijkende payloads; uitgaande verbindingen vanaf EBS-servers.</t>
  </si>
  <si>
    <t xml:space="preserve">T1190, T1567</t>
  </si>
  <si>
    <t xml:space="preserve">CWE-287, CWE-918</t>
  </si>
  <si>
    <t xml:space="preserve">Oracle E-Business Suite 12.2.3 t/m 12.2.14 (Oracle Concurrent Processing, BI Publisher Integration)</t>
  </si>
  <si>
    <t xml:space="preserve">Security Alert CVE-2025-61882 (4 oktober 2025) bovenop CPU oktober 2023+</t>
  </si>
  <si>
    <t xml:space="preserve">Ja - KEV sinds 2025-10-06</t>
  </si>
  <si>
    <t xml:space="preserve">In het wild misbruikt (zero-day); exploit gelekt door Scattered LAPSUS$ Hunters</t>
  </si>
  <si>
    <t xml:space="preserve">KEV (2025-10-06); zie ook CVE-2025-61884; CVSS-bron: CNA; Verwante CVE's zonder eigen rij: CVE-2026-46817</t>
  </si>
  <si>
    <t xml:space="preserve">https://www.oracle.com/security-alerts/alert-cve-2025-61882.html; https://nvd.nist.gov/vuln/detail/CVE-2025-61882</t>
  </si>
  <si>
    <t xml:space="preserve">CVE-2025-31324</t>
  </si>
  <si>
    <t xml:space="preserve">SAP NetWeaver Visual Composer - unauthenticated file upload RCE (Metadata Uploader)</t>
  </si>
  <si>
    <t xml:space="preserve">Het endpoint /developmentserver/metadatauploader van Visual Composer (VCFRAMEWORK 7.50) mist autorisatie, waardoor een ongeauthenticeerde aanvaller JSP-webshells uploadt en uitvoert als de SAP-adm-gebruiker; vanaf maart 2025 door meerdere (Chinese) actoren en ransomwaregroepen misbruikt, later gevolgd door de deserialisatievariant CVE-2025-42999.</t>
  </si>
  <si>
    <t xml:space="preserve">Volledige compromittering van SAP-systemen (ERP-data, credentials, pivot naar het SAP-landschap).</t>
  </si>
  <si>
    <t xml:space="preserve">Controleer of Visual Composer is geinstalleerd en of /developmentserver/metadatauploader zonder authenticatie antwoordt (HEAD/GET); controleer SAP Note 3594142/3604119; zoek naar .jsp-bestanden in de irj-webroot.</t>
  </si>
  <si>
    <t xml:space="preserve">Installeer SAP Notes 3594142 en 3604119 (of hoger), schakel Visual Composer uit als het niet wordt gebruikt, beperk externe toegang tot SAP-webendpoints.</t>
  </si>
  <si>
    <t xml:space="preserve">Alarmeer op POST-verzoeken naar /developmentserver/metadatauploader en op nieuwe .jsp-bestanden onder j2ee/cluster/apps/sap.com/irj/servlet_jsp/irj/root.</t>
  </si>
  <si>
    <t xml:space="preserve">CWE-434, CWE-862</t>
  </si>
  <si>
    <t xml:space="preserve">SAP NetWeaver AS Java met Visual Composer VCFRAMEWORK 7.50</t>
  </si>
  <si>
    <t xml:space="preserve">SAP Note 3594142 (april 2025) + 3604119 (mei 2025, CVE-2025-42999)</t>
  </si>
  <si>
    <t xml:space="preserve">Ja - KEV sinds 2025-04-29</t>
  </si>
  <si>
    <t xml:space="preserve">KEV (2025-04-29); CVSS-bron: CNA; Verwante CVE's zonder eigen rij: CVE-2025-42999</t>
  </si>
  <si>
    <t xml:space="preserve">https://me.sap.com/notes/3594142; https://url.sap/sapsecuritypatchday; https://nvd.nist.gov/vuln/detail/CVE-2025-31324</t>
  </si>
  <si>
    <t xml:space="preserve">CVE-2025-49113</t>
  </si>
  <si>
    <t xml:space="preserve">Roundcube Webmail - authenticated PHP object deserialization RCE</t>
  </si>
  <si>
    <t xml:space="preserve">De _from-parameter in program/actions/settings/upload.php wordt niet gevalideerd, waardoor een ingelogde gebruiker een PHP-object-injectie en RCE op de mailserver kan bereiken; een decennium oude fout, binnen dagen na patch geexploiteerd en in februari 2026 aan KEV toegevoegd (ook geliefd bij statelijke actoren).</t>
  </si>
  <si>
    <t xml:space="preserve">RCE op de webmailserver met een gewoon mailaccount (uit phishing/spraying); toegang tot alle mailboxen.</t>
  </si>
  <si>
    <t xml:space="preserve">Controleer de Roundcube-versie (1.6.11 / 1.5.10 of hoger) via de loginpagina/CHANGELOG en of externe gebruikers kunnen inloggen; PoC alleen met testaccount binnen RoE.</t>
  </si>
  <si>
    <t xml:space="preserve">Update Roundcube; MFA op webmail; beperk PHP-uitvoering en uitgaande verbindingen van de webmailserver.</t>
  </si>
  <si>
    <t xml:space="preserve">Alarmeer op POST-verzoeken naar settings/upload met afwijkende _from-waarden en op child-processen van PHP-FPM.</t>
  </si>
  <si>
    <t xml:space="preserve">T1190, T1114</t>
  </si>
  <si>
    <t xml:space="preserve">Roundcube Webmail &lt; 1.5.10 en 1.6.x &lt; 1.6.11</t>
  </si>
  <si>
    <t xml:space="preserve">Roundcube 1.6.11 / 1.5.10 (1 juni 2025)</t>
  </si>
  <si>
    <t xml:space="preserve">Ja - KEV sinds 2026-02-20</t>
  </si>
  <si>
    <t xml:space="preserve">AV-WEB-09, AV-EXT-06</t>
  </si>
  <si>
    <t xml:space="preserve">KEV (2026-02-20); CVSS-bron: CNA</t>
  </si>
  <si>
    <t xml:space="preserve">https://roundcube.net/news/2025/06/01/security-updates-1.6.11-and-1.5.10; https://github.com/roundcube/roundcubemail/pull/9865; https://nvd.nist.gov/vuln/detail/CVE-2025-49113</t>
  </si>
  <si>
    <t xml:space="preserve">CVE-2025-54253</t>
  </si>
  <si>
    <t xml:space="preserve">Adobe Experience Manager Forms (JEE) - misconfiguration leading to unauthenticated RCE</t>
  </si>
  <si>
    <t xml:space="preserve">AEM Forms on JEE 6.5.23 en eerder bevatte een Struts2-dev-mode/OGNL-misconfiguratie waardoor een ongeauthenticeerde aanvaller via de admin-UI code kon uitvoeren; samen met CVE-2025-54254 (XXE) gepubliceerd na een publieke PoC en in oktober 2025 aan KEV toegevoegd.</t>
  </si>
  <si>
    <t xml:space="preserve">RCE op AEM-servers die veelal publieke websites en formulieren van grote organisaties bedienen.</t>
  </si>
  <si>
    <t xml:space="preserve">Identificeer AEM Forms JEE-installaties (/adminui, /lc/) en versie; controleer op 6.5.0-0108 of hoger; PoC alleen niet-destructief binnen RoE.</t>
  </si>
  <si>
    <t xml:space="preserve">Installeer AEM Forms 6.5.0-0108 (APSB25-82) of migreer naar een ondersteunde release; beperk de admin-UI tot interne adressen.</t>
  </si>
  <si>
    <t xml:space="preserve">Access-logs met OGNL-expressies naar /adminui-paden; child-processen van de AEM-JVM.</t>
  </si>
  <si>
    <t xml:space="preserve">A03:2025, A02:2025</t>
  </si>
  <si>
    <t xml:space="preserve">CWE-863, CWE-917</t>
  </si>
  <si>
    <t xml:space="preserve">Adobe Experience Manager Forms on JEE 6.5.23.0 en eerder</t>
  </si>
  <si>
    <t xml:space="preserve">AEM Forms on JEE 6.5.0-0108 (augustus 2025, APSB25-82)</t>
  </si>
  <si>
    <t xml:space="preserve">Ja - KEV sinds 2025-10-15</t>
  </si>
  <si>
    <t xml:space="preserve">Ja (publieke PoC)</t>
  </si>
  <si>
    <t xml:space="preserve">KEV (2025-10-15); CVSS-bron: CNA; Verwante CVE's zonder eigen rij: CVE-2025-54254</t>
  </si>
  <si>
    <t xml:space="preserve">https://helpx.adobe.com/security/products/aem-forms/apsb25-82.html; https://nvd.nist.gov/vuln/detail/CVE-2025-54253</t>
  </si>
  <si>
    <t xml:space="preserve">CVE-2026-75650</t>
  </si>
  <si>
    <t xml:space="preserve">Adobe Commerce / Magento - template engine injection pre-auth RCE (ook CVE-2025-54236 SessionReaper)</t>
  </si>
  <si>
    <t xml:space="preserve">Een template-injectie in Adobe Commerce en Magento Open Source laat een ongeauthenticeerde aanvaller code uitvoeren (september 2026); in 2025 ging de REST-API-sessieovername SessionReaper (CVE-2025-54236) vooraf, die massaal werd misbruikt voor accountovername en webshells op webwinkels.</t>
  </si>
  <si>
    <t xml:space="preserve">Overname van e-commerceplatformen: skimming van betaalgegevens (Magecart), klantdata en volledige servercompromittering.</t>
  </si>
  <si>
    <t xml:space="preserve">Controleer de Magento-/Adobe Commerce-versie en hotfixes (APSB26-146 voor 75650; APSB25-88/hotfix voor 54236) via /magento_version of composer.lock; PoC alleen binnen RoE.</t>
  </si>
  <si>
    <t xml:space="preserve">Installeer de Adobe-hotfixes/patchreleases direct, WAF voor REST-/GraphQL-API's, monitoring op skimmerinjecties, roteer admin-credentials.</t>
  </si>
  <si>
    <t xml:space="preserve">Alarmeer op afwijkende REST-API-verzoeken (customer/address met geneste objecten), nieuwe PHP-bestanden en gewijzigde JavaScript in de storefront.</t>
  </si>
  <si>
    <t xml:space="preserve">CWE-1336, CWE-20</t>
  </si>
  <si>
    <t xml:space="preserve">Adobe Commerce/B2B en Magento Open Source 2.4.4 t/m 2.4.9 zonder augustus/september 2026-hotfix (75650); 2.4.4-p15 t/m 2.4.9-alpha2 zonder hotfix (54236)</t>
  </si>
  <si>
    <t xml:space="preserve">Hotfix per APSB26-146 (september 2026); hotfix/patch per APSB25-88 (september 2025)</t>
  </si>
  <si>
    <t xml:space="preserve">In het wild misbruikt (KEV 2026-09-08; 2025-10-24)</t>
  </si>
  <si>
    <t xml:space="preserve">KEV; CVSS-bron: CNA; Verwante CVE's zonder eigen rij: CVE-2025-54236, CVE-2026-71362</t>
  </si>
  <si>
    <t xml:space="preserve">https://helpx.adobe.com/security/products/magento/apsb26-146.html; https://nvd.nist.gov/vuln/detail/CVE-2026-75650</t>
  </si>
  <si>
    <t xml:space="preserve">CVE-2025-53690</t>
  </si>
  <si>
    <t xml:space="preserve">Sitecore XM/XP - ViewState deserialization RCE via sample machine key</t>
  </si>
  <si>
    <t xml:space="preserve">Oudere Sitecore-installaties (t/m 9.0) gebruikten de in de documentatie gepubliceerde voorbeeld-ASP.NET-machineKey, waardoor aanvallers geldige ViewState-payloads konden signeren en code uitvoeren (WEEPSTEEL-recon, EarthWorm, Dwagent); door Mandiant in september 2025 gemeld.</t>
  </si>
  <si>
    <t xml:space="preserve">RCE op Sitecore-webservers (veel gebruikt door overheid en grote merken) en pivot naar het interne netwerk.</t>
  </si>
  <si>
    <t xml:space="preserve">Controleer de Sitecore-versie en of de machineKey in web.config overeenkomt met de gepubliceerde voorbeeldsleutel of anderszins bekend is; test ViewState-signing alleen binnen RoE.</t>
  </si>
  <si>
    <t xml:space="preserve">Roteer de ASP.NET machineKey (unieke, geheime sleutels), update Sitecore, onderzoek IIS-logs op compromittering; algemene regel: nooit voorbeeldsleutels uit documentatie gebruiken.</t>
  </si>
  <si>
    <t xml:space="preserve">IIS-logs met grote __VIEWSTATE-POSTs en ViewState-MAC-fouten (Event 1316); child-processen van w3wp.exe.</t>
  </si>
  <si>
    <t xml:space="preserve">CWE-502, CWE-321</t>
  </si>
  <si>
    <t xml:space="preserve">Sitecore Experience Manager (XM) en Experience Platform (XP) t/m 9.0 geinstalleerd met de voorbeeld-machineKey</t>
  </si>
  <si>
    <t xml:space="preserve">Sleutelrotatie (KB1003865); nieuwere versies genereren unieke sleutels</t>
  </si>
  <si>
    <t xml:space="preserve">Ja - KEV sinds 2025-09-04</t>
  </si>
  <si>
    <t xml:space="preserve">In het wild misbruikt (KEV 2025-09-04); ViewState-tooling publiek (ysoserial.net)</t>
  </si>
  <si>
    <t xml:space="preserve">AV-WEB-09, AV-WEB-18, CVE-2025-53770</t>
  </si>
  <si>
    <t xml:space="preserve">https://cloud.google.com/blog/topics/threat-intelligence/viewstate-deserialization-zero-day-vulnerability; https://support.sitecore.com/kb?id=kb_article_view&amp;sysparm_article=KB1003865; https://nvd.nist.gov/vuln/detail/CVE-2025-53690</t>
  </si>
  <si>
    <t xml:space="preserve">CVE-2025-32432</t>
  </si>
  <si>
    <t xml:space="preserve">Craft CMS - unauthenticated RCE (chained with Yii CVE-2024-58136)</t>
  </si>
  <si>
    <t xml:space="preserve">Een fout in de asset-transform-afhandeling van Craft CMS (3.0.0-RC1 t/m 5.6.16) laat ongeauthenticeerde aanvallers PHP-code uitvoeren, in combinatie met een Yii-frameworkfout (CVE-2024-58136); begin 2025 gebruikt om honderden Craft-sites te compromitteren en in maart 2026 aan KEV toegevoegd.</t>
  </si>
  <si>
    <t xml:space="preserve">Volledige overname van de website en server.</t>
  </si>
  <si>
    <t xml:space="preserve">Controleer de Craft-versie (3.9.15 / 4.14.15 / 5.6.17 of hoger) via composer.lock/headers; PoC alleen met onschadelijke payload binnen RoE.</t>
  </si>
  <si>
    <t xml:space="preserve">Update Craft CMS en Yii; roteer security keys (CRAFT_SECURITY_KEY) en databasecredentials bij eerdere blootstelling.</t>
  </si>
  <si>
    <t xml:space="preserve">Access-logs met POST naar /index.php?p=admin/actions/assets/generate-transform met afwijkende payloads; nieuwe PHP-bestanden.</t>
  </si>
  <si>
    <t xml:space="preserve">CVSS:3.1/AV:N/AC:L/PR:N/UI:N/S:C/C:H/I:H/A:L</t>
  </si>
  <si>
    <t xml:space="preserve">Craft CMS 3.0.0-RC1 t/m 3.9.14, 4.0.0-RC1 t/m 4.14.14, 5.0.0-RC1 t/m 5.6.16</t>
  </si>
  <si>
    <t xml:space="preserve">Craft 3.9.15 / 4.14.15 / 5.6.17 (april 2025)</t>
  </si>
  <si>
    <t xml:space="preserve">Ja - KEV sinds 2026-03-20</t>
  </si>
  <si>
    <t xml:space="preserve">KEV (2026-03-20); CVSS-bron: CNA; Verwante CVE's zonder eigen rij: CVE-2024-58136</t>
  </si>
  <si>
    <t xml:space="preserve">https://github.com/craftcms/cms/security/advisories/GHSA-f3gw-9ww9-jmc3; https://github.com/craftcms/cms/commit/e1c85441fa47eeb7c688c2053f25419bc0547b47; https://nvd.nist.gov/vuln/detail/CVE-2025-32432</t>
  </si>
  <si>
    <t xml:space="preserve">CVE-2026-5430</t>
  </si>
  <si>
    <t xml:space="preserve">WSO2 API Manager / Universal Gateway - JWT algorithm mismatch authentication bypass (account takeover)</t>
  </si>
  <si>
    <t xml:space="preserve">De JWT-authenticatie van meerdere WSO2-producten accepteert tokens met andere algoritmen dan geconfigureerd, waardoor een aanvaller een zelfgemaakte JWT laat valideren en willekeurige (admin-)accounts overneemt; in september 2026 aan KEV toegevoegd. Klassiek voorbeeld van algorithm confusion (zie AV-WEB-14).</t>
  </si>
  <si>
    <t xml:space="preserve">Volledige accountovername inclusief beheerders van de API-gateway en daarmee van alle achterliggende API's.</t>
  </si>
  <si>
    <t xml:space="preserve">Controleer de WSO2-versie/updatelevel tegen WSO2-2026-5328 en test (met testtenant) of een JWT met afwijkend alg/none wordt geaccepteerd.</t>
  </si>
  <si>
    <t xml:space="preserve">Installeer de WSO2-updates; dwing een strikte algoritme-allowlist af in de JWT-validatie; roteer sleutels en controleer op onbekende admin-sessies.</t>
  </si>
  <si>
    <t xml:space="preserve">Alarmeer op JWT's met onverwachte alg-headers en op admin-logins zonder IdP-event.</t>
  </si>
  <si>
    <t xml:space="preserve">T1190, T1606</t>
  </si>
  <si>
    <t xml:space="preserve">WSO2 API Manager 4.1.0-4.6.0, Universal Gateway/Traffic Manager/API Control Plane 4.5.0-4.6.0 zonder update (zie advies)</t>
  </si>
  <si>
    <t xml:space="preserve">Zie WSO2 Security Advisory WSO2-2026-5328 (augustus 2026)</t>
  </si>
  <si>
    <t xml:space="preserve">Ja - KEV sinds 2026-09-24</t>
  </si>
  <si>
    <t xml:space="preserve">In het wild misbruikt (KEV 2026-09-24)</t>
  </si>
  <si>
    <t xml:space="preserve">AV-WEB-14, AV-API-02</t>
  </si>
  <si>
    <t xml:space="preserve">https://security.docs.wso2.com/en/latest/security-announcements/security-advisories/2026/WSO2-2026-5328/; https://nvd.nist.gov/vuln/detail/CVE-2026-5430</t>
  </si>
  <si>
    <t xml:space="preserve">CVE-2024-23897</t>
  </si>
  <si>
    <t xml:space="preserve">Jenkins CLI - unauthenticated arbitrary file read (args4j @-expansion) to RCE</t>
  </si>
  <si>
    <t xml:space="preserve">De Jenkins CLI-parser vervangt een @-teken gevolgd door een bestandspad door de inhoud van dat bestand, waardoor ongeauthenticeerde aanvallers (bij standaard 'anonymous read') bestanden op de controller lezen, inclusief secrets, en via o.a. 'Remember me'-cookies of cross-site WebSocket RCE bereiken; in 2024 misbruikt door ransomwaregroepen.</t>
  </si>
  <si>
    <t xml:space="preserve">Diefstal van credentials/SSH-keys/cloudtokens uit de CI-server en RCE; supply-chain-risico voor alle gebouwde software.</t>
  </si>
  <si>
    <t xml:space="preserve">Controleer de Jenkins-versie (2.442 / LTS 2.426.3 of hoger) en of de CLI-endpoints bereikbaar zijn (/cli); test met een onschadelijk bestand (niet-destructief) binnen RoE.</t>
  </si>
  <si>
    <t xml:space="preserve">Update Jenkins, schakel CLI-toegang uit indien ongebruikt, geen anonieme leesrechten, Jenkins achter SSO/VPN, roteer credentials bij blootstelling.</t>
  </si>
  <si>
    <t xml:space="preserve">Access-logs met POST naar /cli met afwijkende payloads; alarmeer op nieuwe admin-gebruikers en pipeline-wijzigingen.</t>
  </si>
  <si>
    <t xml:space="preserve">CWE-27</t>
  </si>
  <si>
    <t xml:space="preserve">Jenkins 2.441 en eerder, LTS 2.426.2 en eerder</t>
  </si>
  <si>
    <t xml:space="preserve">Jenkins 2.442 / LTS 2.426.3 (januari 2024)</t>
  </si>
  <si>
    <t xml:space="preserve">Ja - KEV sinds 2024-08-19</t>
  </si>
  <si>
    <t xml:space="preserve">AV-CLD-14, CVE-2026-63077</t>
  </si>
  <si>
    <t xml:space="preserve">KEV (2024-08-19); CVSS-bron: ADP CISA-ADP</t>
  </si>
  <si>
    <t xml:space="preserve">https://www.jenkins.io/security/advisory/2024-01-24/#SECURITY-3314; https://www.sonarsource.com/blog/excessive-expansion-uncovering-critical-security-vulnerabilities-in-jenkins/; https://nvd.nist.gov/vuln/detail/CVE-2024-23897</t>
  </si>
  <si>
    <t xml:space="preserve">CVE-2023-7028</t>
  </si>
  <si>
    <t xml:space="preserve">GitLab CE/EE - account takeover via password reset to unverified e-mail</t>
  </si>
  <si>
    <t xml:space="preserve">Het wachtwoordresetformulier accepteerde een array van e-mailadressen, waardoor de resetlink ook naar een door de aanvaller gecontroleerd adres werd gestuurd; zonder MFA leidt dit direct tot overname van elk account inclusief beheerders (januari 2024, massaal misbruikt).</t>
  </si>
  <si>
    <t xml:space="preserve">Overname van GitLab-accounts en broncode, CI/CD-secrets en deploy-pipelines.</t>
  </si>
  <si>
    <t xml:space="preserve">Controleer de GitLab-versie (16.1.6 t/m 16.7.2 of hoger) en of self-managed GitLab extern bereikbaar is met wachtwoordreset ingeschakeld; test alleen met een eigen testaccount binnen RoE.</t>
  </si>
  <si>
    <t xml:space="preserve">Update GitLab; MFA verplicht voor alle gebruikers; controleer op resetaanvragen met meerdere adressen in de logs (gitlab-rails/production_json.log).</t>
  </si>
  <si>
    <t xml:space="preserve">Logs met 'params' die een array van e-mailadressen bevatten bij /users/password; onverwachte wachtwoordwijzigingen van beheerders.</t>
  </si>
  <si>
    <t xml:space="preserve">T1190, T1098</t>
  </si>
  <si>
    <t xml:space="preserve">GitLab CE/EE 16.1 t/m 16.1.5, 16.2-16.2.8, 16.3-16.3.6, 16.4-16.4.4, 16.5-16.5.5, 16.6-16.6.3, 16.7-16.7.1</t>
  </si>
  <si>
    <t xml:space="preserve">GitLab 16.1.6 / 16.2.9 / 16.3.7 / 16.4.5 / 16.5.6 / 16.6.4 / 16.7.2 (januari 2024)</t>
  </si>
  <si>
    <t xml:space="preserve">Ja - KEV sinds 2024-05-01</t>
  </si>
  <si>
    <t xml:space="preserve">AV-WEB-45, CVE-2026-85706</t>
  </si>
  <si>
    <t xml:space="preserve">KEV (2024-05-01); CVSS-bron: CNA</t>
  </si>
  <si>
    <t xml:space="preserve">https://gitlab.com/gitlab-org/gitlab/-/issues/436084; https://hackerone.com/reports/2293343; https://nvd.nist.gov/vuln/detail/CVE-2023-7028</t>
  </si>
  <si>
    <t xml:space="preserve">CVE-2026-85706</t>
  </si>
  <si>
    <t xml:space="preserve">GitLab CE/EE - unauthenticated arbitrary file read (repository commits API path traversal)</t>
  </si>
  <si>
    <t xml:space="preserve">Onvoldoende padbeperking en ontbrekende authenticatie in de repository commits API laten een ongeauthenticeerde aanvaller willekeurige bestanden van de GitLab-server lezen (secrets, gitlab.rb, databaseconfig, tokens); in september 2026 aan KEV toegevoegd.</t>
  </si>
  <si>
    <t xml:space="preserve">Lekkage van secrets die tot volledige overname van GitLab en gekoppelde cloud-/CI-omgevingen leidt.</t>
  </si>
  <si>
    <t xml:space="preserve">Controleer de GitLab-versie (18.11.12 / 19.0.9 / 19.1.8 / 19.2.6 / 19.3.2 of hoger) en externe blootstelling; test met een onschadelijk bestand binnen RoE.</t>
  </si>
  <si>
    <t xml:space="preserve">Update GitLab direct; roteer alle secrets (runner-tokens, OAuth, database, Rails secret) bij eerdere blootstelling.</t>
  </si>
  <si>
    <t xml:space="preserve">Access-logs met traversal-sequenties in /api/v4/projects/*/repository/commits-verzoeken.</t>
  </si>
  <si>
    <t xml:space="preserve">GitLab CE/EE 18.7 t/m 18.11.11, 19.0-19.0.8, 19.1-19.1.7, 19.2-19.2.5, 19.3-19.3.1</t>
  </si>
  <si>
    <t xml:space="preserve">GitLab 18.11.12 / 19.0.9 / 19.1.8 / 19.2.6 / 19.3.2 (september 2026)</t>
  </si>
  <si>
    <t xml:space="preserve">Ja - KEV sinds 2026-09-11</t>
  </si>
  <si>
    <t xml:space="preserve">In het wild misbruikt (KEV 2026-09-11)</t>
  </si>
  <si>
    <t xml:space="preserve">CVE-2023-7028, AV-CLD-14</t>
  </si>
  <si>
    <t xml:space="preserve">https://gitlab.com/gitlab-org/gitlab/-/work_items/627748; https://hackerone.com/reports/3909881; https://nvd.nist.gov/vuln/detail/CVE-2026-85706</t>
  </si>
  <si>
    <t xml:space="preserve">CVE-2026-63077</t>
  </si>
  <si>
    <t xml:space="preserve">JetBrains TeamCity - unauthenticated RCE via agent polling protocol (XStream deserialization; ook CVE-2024-27198)</t>
  </si>
  <si>
    <t xml:space="preserve">Het agent-polling-protocol van TeamCity deserialiseert onvertrouwde data (XStream), waardoor een ongeauthenticeerde aanvaller code uitvoert op de CI-server (augustus 2026); eerder (CVE-2024-27198/27199, maart 2024) gaf een authentication bypass al admin-toegang en werd dit o.a. door ransomwaregroepen misbruikt (APT29 misbruikte eerder CVE-2023-42793).</t>
  </si>
  <si>
    <t xml:space="preserve">Overname van de build-server en daarmee van broncode, secrets en software-supply-chain naar klanten.</t>
  </si>
  <si>
    <t xml:space="preserve">Controleer de TeamCity-versie (2026.1.3 / 2025.11.7 of hoger; voor 27198 2023.11.4) en of de server extern bereikbaar is; PoC alleen binnen RoE.</t>
  </si>
  <si>
    <t xml:space="preserve">Update TeamCity; server niet direct aan internet; roteer secrets en controleer op onbekende admin-gebruikers/tokens.</t>
  </si>
  <si>
    <t xml:space="preserve">Alarmeer op afwijkende agent-registraties/polling-verzoeken en op child-processen van de TeamCity-JVM.</t>
  </si>
  <si>
    <t xml:space="preserve">T1190, T1195.002</t>
  </si>
  <si>
    <t xml:space="preserve">TeamCity &lt; 2026.1.3 en &lt; 2025.11.7 (CVE-2026-63077); &lt; 2023.11.4 (CVE-2024-27198)</t>
  </si>
  <si>
    <t xml:space="preserve">TeamCity 2026.1.3 / 2025.11.7 (juli 2026); 2023.11.4 (maart 2024)</t>
  </si>
  <si>
    <t xml:space="preserve">Ja - KEV sinds 2026-08-05</t>
  </si>
  <si>
    <t xml:space="preserve">In het wild misbruikt (KEV 2026-08-05; CVE-2024-27198 Metasploit)</t>
  </si>
  <si>
    <t xml:space="preserve">CVE-2024-23897, AV-CLD-14</t>
  </si>
  <si>
    <t xml:space="preserve">KEV; CVSS-bron: CNA; Verwante CVE's zonder eigen rij: CVE-2024-27198</t>
  </si>
  <si>
    <t xml:space="preserve">https://www.jetbrains.com/privacy-security/issues-fixed/; https://nvd.nist.gov/vuln/detail/CVE-2026-63077</t>
  </si>
  <si>
    <t xml:space="preserve">CVE-2026-82329</t>
  </si>
  <si>
    <t xml:space="preserve">JFrog Artifactory - authentication weakness leading to administrative access (join key)</t>
  </si>
  <si>
    <t xml:space="preserve">Onder de standaardconfiguratie laat een authenticatiezwakte (misbruik van de join key voor het minten van admin-tokens) een ongeauthenticeerde aanvaller met netwerktoegang beheerdersrechten verkrijgen op self-hosted Artifactory; samen met CVE-2026-42016/42018 in september 2026 aan KEV toegevoegd.</t>
  </si>
  <si>
    <t xml:space="preserve">Overname van de artefact-repository: manipulatie van packages/containers (supply chain), diefstal van credentials en tokens.</t>
  </si>
  <si>
    <t xml:space="preserve">Controleer de Artifactory-versie tegen de JFrog-adviezen (7.111.21 / 7.117.28 / 7.125.20 / 7.133.29 / 7.146.38 / 7.161.20 of hoger) en of de instantie buiten de beheerzone bereikbaar is.</t>
  </si>
  <si>
    <t xml:space="preserve">Update Artifactory; roteer join keys en admin-tokens; beperk netwerktoegang; signeer en verifieer artefacten (SLSA).</t>
  </si>
  <si>
    <t xml:space="preserve">Alarmeer op aanmaak van admin-tokens/gebruikers en op wijzigingen aan bestaande artefacten/versies.</t>
  </si>
  <si>
    <t xml:space="preserve">T1190, T1195.001</t>
  </si>
  <si>
    <t xml:space="preserve">JFrog Artifactory Self-Hosted &lt; 7.111.21, 7.117.0-7.117.27, 7.125.0-7.125.19, 7.133.0-7.133.28, 7.146.0-7.146.37, 7.161.0-7.161.19</t>
  </si>
  <si>
    <t xml:space="preserve">Zie JFrog Security Advisories (augustus/september 2026)</t>
  </si>
  <si>
    <t xml:space="preserve">AV-CLD-19, AV-CLD-14</t>
  </si>
  <si>
    <t xml:space="preserve">KEV; CVSS-bron: CNA; Verwante CVE's zonder eigen rij: CVE-2026-42016</t>
  </si>
  <si>
    <t xml:space="preserve">https://docs.jfrog.com/releases/docs/jfrog-security-advisories; https://docs.jfrog.com/releases/docs/artifactory-self-managed-releases; https://nvd.nist.gov/vuln/detail/CVE-2026-82329</t>
  </si>
  <si>
    <t xml:space="preserve">CVE-2026-72898</t>
  </si>
  <si>
    <t xml:space="preserve">Metabase - unauthenticated SQL injection in password reset endpoint (admin takeover)</t>
  </si>
  <si>
    <t xml:space="preserve">Het /reset_password-endpoint van Metabase (open-source BI) is kwetsbaar voor SQL-injectie, waarmee een ongeauthenticeerde aanvaller beheerderstoegang tot de Metabase-instantie en daarmee tot alle gekoppelde databases verkrijgt; in augustus 2026 aan KEV toegevoegd.</t>
  </si>
  <si>
    <t xml:space="preserve">Toegang tot alle bedrijfsdata via gekoppelde datasources en, via native queries, vaak RCE op databaseservers.</t>
  </si>
  <si>
    <t xml:space="preserve">Controleer de Metabase-versie (x.58.24 / x.59.21 / x.60.17 / x.61.11 / x.62.9 / x.63.5 of hoger) en externe blootstelling; PoC alleen niet-destructief (time-based) binnen RoE.</t>
  </si>
  <si>
    <t xml:space="preserve">Update Metabase; Metabase achter SSO/VPN; least-privilege databaseaccounts voor datasources; roteer credentials bij blootstelling.</t>
  </si>
  <si>
    <t xml:space="preserve">Alarmeer op afwijkende POST-verzoeken naar /api/session/reset_password en op nieuwe admin-gebruikers.</t>
  </si>
  <si>
    <t xml:space="preserve">Metabase x.58.0-x.58.23, x.59.0-x.59.20, x.60.0-x.60.16, x.61.0-x.61.10, x.62.0-x.62.8, x.63.0-x.63.4</t>
  </si>
  <si>
    <t xml:space="preserve">x.58.24 / x.59.21 / x.60.17 / x.61.11 / x.62.9 / x.63.5 (augustus 2026)</t>
  </si>
  <si>
    <t xml:space="preserve">Ja - KEV sinds 2026-08-11</t>
  </si>
  <si>
    <t xml:space="preserve">In het wild misbruikt (KEV 2026-08-11)</t>
  </si>
  <si>
    <t xml:space="preserve">AV-WEB-03, AV-WEB-45, AV-NET-14</t>
  </si>
  <si>
    <t xml:space="preserve">https://github.com/metabase/metabase/security/advisories/GHSA-vwf4-m7j8-wcjf; https://www.metabase.com/blog/security-update; https://nvd.nist.gov/vuln/detail/CVE-2026-72898</t>
  </si>
  <si>
    <t xml:space="preserve">CVE-2021-36934</t>
  </si>
  <si>
    <t xml:space="preserve">Windows - overly permissive ACLs on SAM/SYSTEM/SECURITY hives (HiveNightmare / SeriousSAM)</t>
  </si>
  <si>
    <t xml:space="preserve">Op Windows 10 1809+ en Windows 11 konden gewone gebruikers de registry-hives SAM, SYSTEM en SECURITY lezen via Volume Shadow Copies, waarmee lokale wachtwoordhashes, de machine-account-hash en DPAPI-sleutels te extraheren zijn (pass-the-hash, silver tickets).</t>
  </si>
  <si>
    <t xml:space="preserve">Lokale escalatie naar SYSTEM en diefstal van credentials vanaf elk gebruikersaccount, zolang shadow copies bestaan.</t>
  </si>
  <si>
    <t xml:space="preserve">Controleer de ACL van %windir%\system32\config\SAM (icacls) en of shadow copies aanwezig zijn (vssadmin list shadows) op een representatieve werkplek.</t>
  </si>
  <si>
    <t xml:space="preserve">Installeer de update van augustus 2021 en herstel ACL's (icacls ... /inheritance:e) en verwijder bestaande shadow copies (KB5005357).</t>
  </si>
  <si>
    <t xml:space="preserve">Alarmeer op toegang tot \\?\GLOBALROOT\Device\HarddiskVolumeShadowCopy*\Windows\System32\config door gebruikersprocessen.</t>
  </si>
  <si>
    <t xml:space="preserve">T1003.002, T1068</t>
  </si>
  <si>
    <t xml:space="preserve">Windows 10 1809 t/m 21H1 en Windows 11 (preview) zonder update van augustus 2021</t>
  </si>
  <si>
    <t xml:space="preserve">Update van 10 augustus 2021 + handmatige ACL-/shadow-copy-opschoning</t>
  </si>
  <si>
    <t xml:space="preserve">AV-HOST-01, AV-HOST-04, AV-AD-05</t>
  </si>
  <si>
    <t xml:space="preserve">KEV (2022-02-10); CVSS-bron: CNA</t>
  </si>
  <si>
    <t xml:space="preserve">https://msrc.microsoft.com/update-guide/vulnerability/CVE-2021-36934; https://nvd.nist.gov/vuln/detail/CVE-2021-36934</t>
  </si>
  <si>
    <t xml:space="preserve">CVE-2025-29824</t>
  </si>
  <si>
    <t xml:space="preserve">Windows CLFS driver - use-after-free local privilege escalation (ransomware zero-day)</t>
  </si>
  <si>
    <t xml:space="preserve">Een use-after-free in de Common Log File System-driver (clfs.sys) laat een lokale gebruiker SYSTEM worden; als zero-day gebruikt door Storm-2460 (PipeMagic) voor RansomEXX-ransomware. CLFS is een terugkerende bron van in-the-wild LPE's (CVE-2023-28252, CVE-2025-32701/32706).</t>
  </si>
  <si>
    <t xml:space="preserve">Betrouwbare escalatie naar SYSTEM na initial access; credentialdumping en ransomware-uitrol.</t>
  </si>
  <si>
    <t xml:space="preserve">Controleer het patchniveau (april 2025 of later) op werkplekken en servers; PoC alleen op testsystemen.</t>
  </si>
  <si>
    <t xml:space="preserve">Installeer de update van april 2025; patchmanagement met KEV-prioriteit; EDR met exploit-detectie.</t>
  </si>
  <si>
    <t xml:space="preserve">EDR-detectie op CLFS-exploitgedrag (BLF-bestanden in gebruikersmappen, PipeMagic-IoC's) en op SYSTEM-processen gestart vanuit gebruikerssessies.</t>
  </si>
  <si>
    <t xml:space="preserve">Windows 10/11 en Windows Server 2008 R2 t/m 2025 zonder update van 8 april 2025 (Windows 11 24H2 niet exploitabel door mitigaties)</t>
  </si>
  <si>
    <t xml:space="preserve">Update van april 2025</t>
  </si>
  <si>
    <t xml:space="preserve">Ja - KEV sinds 2025-04-08</t>
  </si>
  <si>
    <t xml:space="preserve">In het wild misbruikt (KEV 2025-04-08); publieke analyse</t>
  </si>
  <si>
    <t xml:space="preserve">KEV; CVSS-bron: CNA; Verwante CVE's zonder eigen rij: CVE-2023-28252</t>
  </si>
  <si>
    <t xml:space="preserve">https://msrc.microsoft.com/update-guide/vulnerability/CVE-2025-29824; https://nvd.nist.gov/vuln/detail/CVE-2025-29824</t>
  </si>
  <si>
    <t xml:space="preserve">CVE-2026-85880</t>
  </si>
  <si>
    <t xml:space="preserve">Windows ALPC - heap-based buffer overflow local privilege escalation (in the wild)</t>
  </si>
  <si>
    <t xml:space="preserve">Een heap overflow in Windows Advanced Local Procedure Call laat een lokale gebruiker code uitvoeren als SYSTEM; in september 2026 als zero-day gepatcht en aan KEV toegevoegd, een van de reeks Windows-LPE's die in 2026 in aanvalsketens zijn gebruikt (naast o.a. CVE-2026-21519 DWM en CVE-2026-68820 afd.sys).</t>
  </si>
  <si>
    <t xml:space="preserve">Escalatie naar SYSTEM na phishing of webshell; opstap voor credentialdumping en laterale beweging.</t>
  </si>
  <si>
    <t xml:space="preserve">Controleer het patchniveau (september 2026 of later); PoC alleen op testsystemen.</t>
  </si>
  <si>
    <t xml:space="preserve">Installeer de update van september 2026; patchmanagement met KEV-prioriteit; EDR in block-mode.</t>
  </si>
  <si>
    <t xml:space="preserve">EDR-detectie op ALPC-exploitpatronen en onverwachte SYSTEM-processen uit gebruikerscontext.</t>
  </si>
  <si>
    <t xml:space="preserve">CWE-122, CWE-908</t>
  </si>
  <si>
    <t xml:space="preserve">Windows 10/11 en Windows Server 2012 t/m 2025 zonder update van 8 september 2026</t>
  </si>
  <si>
    <t xml:space="preserve">Update van september 2026 (bv. 10.0.19045.7725)</t>
  </si>
  <si>
    <t xml:space="preserve">AV-HOST-07, CVE-2025-29824</t>
  </si>
  <si>
    <t xml:space="preserve">https://msrc.microsoft.com/update-guide/vulnerability/CVE-2026-85880; https://nvd.nist.gov/vuln/detail/CVE-2026-85880</t>
  </si>
  <si>
    <t xml:space="preserve">CVE-2021-4034</t>
  </si>
  <si>
    <t xml:space="preserve">Linux polkit pkexec - local privilege escalation (PwnKit)</t>
  </si>
  <si>
    <t xml:space="preserve">pkexec verwerkt argc=0 onjuist en leest/schrijft buiten de argumentenlijst, waardoor via omgevingsvariabelen (GCONV_PATH) een gedeelde bibliotheek als root wordt geladen; aanwezig in bijna elke Linux-distributie sinds 2009 en triviaal te exploiteren.</t>
  </si>
  <si>
    <t xml:space="preserve">Elke lokale gebruiker wordt root op ongepatchte Linux-systemen.</t>
  </si>
  <si>
    <t xml:space="preserve">Controleer de polkit/pkexec-versie en SUID-bit (ls -l $(which pkexec)) tegen de distributiepatch van januari 2022; PoC alleen binnen RoE (betrouwbaar en niet-destructief).</t>
  </si>
  <si>
    <t xml:space="preserve">Update polkit (distributiepatch januari 2022); als workaround het SUID-bit van pkexec verwijderen (chmod 0755).</t>
  </si>
  <si>
    <t xml:space="preserve">Auditd/EDR op pkexec-aanroepen zonder argumenten en op GCONV_PATH in de omgeving.</t>
  </si>
  <si>
    <t xml:space="preserve">T1068, T1548.001</t>
  </si>
  <si>
    <t xml:space="preserve">polkit (pkexec) 0.105 t/m 0.120 op alle grote distributies (RHEL 6-8, Ubuntu 14.04-21.10, Debian, SLES e.a.) zonder patch van 25 januari 2022</t>
  </si>
  <si>
    <t xml:space="preserve">Distributiepatches januari 2022 (polkit 0.120-2 e.a.)</t>
  </si>
  <si>
    <t xml:space="preserve">Ja - KEV sinds 2022-06-27</t>
  </si>
  <si>
    <t xml:space="preserve">KEV (2022-06-27); CVSS-bron: ADP CISA-ADP</t>
  </si>
  <si>
    <t xml:space="preserve">https://access.redhat.com/security/vulnerabilities/RHSB-2022-001; https://www.qualys.com/2022/01/25/cve-2021-4034/pwnkit.txt; https://nvd.nist.gov/vuln/detail/CVE-2021-4034</t>
  </si>
  <si>
    <t xml:space="preserve">CVE-2022-0847</t>
  </si>
  <si>
    <t xml:space="preserve">Linux kernel - pipe buffer flag initialization (Dirty Pipe) local privilege escalation</t>
  </si>
  <si>
    <t xml:space="preserve">Ongeinitialiseerde flags in de pipe-bufferstructuur laten een onbevoorrechte gebruiker schrijven in de page cache van read-only bestanden (bv. /etc/passwd, SUID-binaries), zonder sporen op schijf; ook bruikbaar voor container-escape in sommige configuraties.</t>
  </si>
  <si>
    <t xml:space="preserve">Lokale escalatie naar root op Linux 5.8 t/m 5.16.10 (ook Android 12).</t>
  </si>
  <si>
    <t xml:space="preserve">Controleer de kernelversie (5.8 &lt;= versie &lt; 5.16.11 / 5.15.25 / 5.10.102 kwetsbaar) op servers, containers-hosts en appliances; PoC alleen binnen RoE.</t>
  </si>
  <si>
    <t xml:space="preserve">Update de kernel (5.16.11 / 5.15.25 / 5.10.102 of distributiepatch); herstart; EOL-kernels vervangen.</t>
  </si>
  <si>
    <t xml:space="preserve">Beperkt; EDR op afwijkende splice/pipe-syscallpatronen en wijzigingen aan SUID-binaries in geheugen.</t>
  </si>
  <si>
    <t xml:space="preserve">CWE-665</t>
  </si>
  <si>
    <t xml:space="preserve">Linux kernel 5.8 t/m 5.16.10 (fix in 5.16.11, 5.15.25, 5.10.102)</t>
  </si>
  <si>
    <t xml:space="preserve">Kernel 5.16.11 / 5.15.25 / 5.10.102 (februari 2022)</t>
  </si>
  <si>
    <t xml:space="preserve">Ja - KEV sinds 2022-04-25</t>
  </si>
  <si>
    <t xml:space="preserve">AV-HOST-03, AV-HOST-07</t>
  </si>
  <si>
    <t xml:space="preserve">KEV (2022-04-25); CVSS-bron: ADP CISA-ADP</t>
  </si>
  <si>
    <t xml:space="preserve">https://bugzilla.redhat.com/show_bug.cgi?id=2060795; https://dirtypipe.cm4all.com/; https://nvd.nist.gov/vuln/detail/CVE-2022-0847</t>
  </si>
  <si>
    <t xml:space="preserve">CVE-2023-4911</t>
  </si>
  <si>
    <t xml:space="preserve">glibc ld.so GLIBC_TUNABLES - buffer overflow local privilege escalation (Looney Tunables)</t>
  </si>
  <si>
    <t xml:space="preserve">De dynamische loader verwerkt de omgevingsvariabele GLIBC_TUNABLES onjuist, waardoor via een SUID-binary een buffer overflow en root-rechten te verkrijgen zijn op glibc 2.34-2.38 (Fedora, Ubuntu 22.04/23.04, Debian 12 e.a.); door Kinsing-malware misbruikt in cloudomgevingen.</t>
  </si>
  <si>
    <t xml:space="preserve">Lokale escalatie naar root op moderne Linux-distributies.</t>
  </si>
  <si>
    <t xml:space="preserve">Controleer de glibc-versie (2.34 t/m 2.38 zonder patch) via ldd --version/pakketversie; PoC alleen binnen RoE.</t>
  </si>
  <si>
    <t xml:space="preserve">Update glibc (patches oktober 2023); herstart diensten die glibc gebruiken.</t>
  </si>
  <si>
    <t xml:space="preserve">Auditd op processen met GLIBC_TUNABLES in de omgeving die SUID-binaries starten.</t>
  </si>
  <si>
    <t xml:space="preserve">GNU C Library 2.34 t/m 2.38 (ongepatcht); RHEL 8/9, Ubuntu 22.04/23.04, Debian 12/13, Fedora 37/38 e.a.</t>
  </si>
  <si>
    <t xml:space="preserve">Distributiepatches oktober 2023 (RHSA-2023:5453 e.a.)</t>
  </si>
  <si>
    <t xml:space="preserve">Ja - KEV sinds 2023-11-21</t>
  </si>
  <si>
    <t xml:space="preserve">KEV (2023-11-21); CVSS-bron: CNA</t>
  </si>
  <si>
    <t xml:space="preserve">https://access.redhat.com/errata/RHSA-2023:5453; https://access.redhat.com/errata/RHSA-2023:5454; https://nvd.nist.gov/vuln/detail/CVE-2023-4911</t>
  </si>
  <si>
    <t xml:space="preserve">CVE-2024-1086</t>
  </si>
  <si>
    <t xml:space="preserve">Linux kernel netfilter nf_tables - use-after-free local privilege escalation</t>
  </si>
  <si>
    <t xml:space="preserve">Een double-free in nft_verdict_init()/nf_hook_slow() van netfilter laat een onbevoorrechte gebruiker (met user namespaces) de kernel compromitteren en root worden; de publieke exploit werkt betrouwbaar op kernels 5.14 t/m 6.6 van veel distributies en is door ransomwaregroepen gebruikt.</t>
  </si>
  <si>
    <t xml:space="preserve">Lokale escalatie naar root op een breed scala aan Linux-systemen, ook vanuit containers met user namespaces.</t>
  </si>
  <si>
    <t xml:space="preserve">Controleer de kernelversie (3.15 t/m 6.8-rc1 zonder fix) en of unprivileged user namespaces zijn ingeschakeld (kernel.unprivileged_userns_clone / user.max_user_namespaces); PoC alleen binnen RoE.</t>
  </si>
  <si>
    <t xml:space="preserve">Update de kernel (fix in 6.8 en de stable-backports van januari-februari 2024); als mitigatie unprivileged user namespaces uitschakelen of nf_tables blokkeren.</t>
  </si>
  <si>
    <t xml:space="preserve">EDR/auditd op aanmaak van user namespaces gevolgd door nf_tables-operaties door gewone gebruikers.</t>
  </si>
  <si>
    <t xml:space="preserve">Linux kernel 3.15 t/m 6.8-rc1 (fix commit f342de4e2f33); exploit gericht op 5.14-6.6</t>
  </si>
  <si>
    <t xml:space="preserve">Kernel 6.8 en stable-backports (januari-februari 2024)</t>
  </si>
  <si>
    <t xml:space="preserve">Ja (publieke exploit, Notselwyn)</t>
  </si>
  <si>
    <t xml:space="preserve">https://git.kernel.org/pub/scm/linux/kernel/git/torvalds/linux.git/commit/?id=f342de4e2f33e0e39165d8639387aa6c19dff660; https://kernel.dance/f342de4e2f33e0e39165d8639387aa6c19dff660; https://nvd.nist.gov/vuln/detail/CVE-2024-1086</t>
  </si>
  <si>
    <t xml:space="preserve">CVE-2021-3156</t>
  </si>
  <si>
    <t xml:space="preserve">sudo - heap-based buffer overflow in sudoedit (Baron Samedit)</t>
  </si>
  <si>
    <t xml:space="preserve">Een off-by-one in de argumentverwerking van sudo (sudoedit -s met een argument eindigend op een backslash) veroorzaakt een heap overflow die elke lokale gebruiker, ook zonder sudo-rechten, root maakt; aanwezig van 2011 tot januari 2021.</t>
  </si>
  <si>
    <t xml:space="preserve">Root voor elke lokale gebruiker op ongepatchte systemen (incl. macOS en appliances met oude sudo).</t>
  </si>
  <si>
    <t xml:space="preserve">Controleer de sudo-versie (1.8.2-1.8.31p2 en 1.9.0-1.9.5p1 kwetsbaar) of test met sudoedit -s '\' (foutmelding 'sudoedit:' = kwetsbaar) binnen RoE.</t>
  </si>
  <si>
    <t xml:space="preserve">Update sudo naar 1.9.5p2 of de distributiepatch.</t>
  </si>
  <si>
    <t xml:space="preserve">Auditd op sudoedit-aanroepen met afwijkende argumenten; crashes van sudo.</t>
  </si>
  <si>
    <t xml:space="preserve">T1068, T1548.003</t>
  </si>
  <si>
    <t xml:space="preserve">CWE-193</t>
  </si>
  <si>
    <t xml:space="preserve">sudo 1.8.2 t/m 1.8.31p2 en 1.9.0 t/m 1.9.5p1</t>
  </si>
  <si>
    <t xml:space="preserve">sudo 1.9.5p2 (26 januari 2021)</t>
  </si>
  <si>
    <t xml:space="preserve">Ja - KEV sinds 2022-04-06</t>
  </si>
  <si>
    <t xml:space="preserve">AV-HOST-03, CVE-2025-32463</t>
  </si>
  <si>
    <t xml:space="preserve">KEV (2022-04-06); CVSS-bron: ADP CISA-ADP</t>
  </si>
  <si>
    <t xml:space="preserve">https://lists.debian.org/debian-lts-announce/2021/01/msg00022.html; http://seclists.org/fulldisclosure/2021/Jan/79; https://nvd.nist.gov/vuln/detail/CVE-2021-3156</t>
  </si>
  <si>
    <t xml:space="preserve">CVE-2025-32463</t>
  </si>
  <si>
    <t xml:space="preserve">sudo --chroot - local privilege escalation via user-controlled nsswitch.conf</t>
  </si>
  <si>
    <t xml:space="preserve">Met de optie --chroot (-R) laadt sudo /etc/nsswitch.conf uit de door de gebruiker opgegeven directory, waardoor een eigen NSS-bibliotheek als root wordt geladen; werkt standaard (geen sudo-regels nodig) op sudo 1.9.14-1.9.17 en is in het wild misbruikt.</t>
  </si>
  <si>
    <t xml:space="preserve">Root voor elke lokale gebruiker op recente distributies (Ubuntu 24.04, Fedora, Debian 13 e.a.) zonder patch.</t>
  </si>
  <si>
    <t xml:space="preserve">Controleer de sudo-versie (1.9.14 t/m 1.9.17 kwetsbaar; 1.9.17p1 gefixt) en of de chroot-optie beschikbaar is; PoC alleen binnen RoE.</t>
  </si>
  <si>
    <t xml:space="preserve">Update sudo naar 1.9.17p1 of de distributiepatch (juni-juli 2025); de chroot-functie is in latere versies verwijderd.</t>
  </si>
  <si>
    <t xml:space="preserve">Auditd op sudo-aanroepen met -R/--chroot en op het laden van bibliotheken vanuit gebruikersmappen door sudo.</t>
  </si>
  <si>
    <t xml:space="preserve">CWE-829</t>
  </si>
  <si>
    <t xml:space="preserve">sudo 1.9.14 t/m 1.9.17</t>
  </si>
  <si>
    <t xml:space="preserve">sudo 1.9.17p1 (30 juni 2025)</t>
  </si>
  <si>
    <t xml:space="preserve">AV-HOST-03, CVE-2021-3156</t>
  </si>
  <si>
    <t xml:space="preserve">KEV (2025-09-29); Stratascale (Rich Mirch); CVSS-bron: CNA</t>
  </si>
  <si>
    <t xml:space="preserve">https://www.sudo.ws/security/advisories/; https://www.sudo.ws/releases/changelog/; https://nvd.nist.gov/vuln/detail/CVE-2025-32463</t>
  </si>
  <si>
    <t xml:space="preserve">CVE-2026-31431</t>
  </si>
  <si>
    <t xml:space="preserve">Linux kernel algif_aead - page cache write local privilege escalation (in the wild)</t>
  </si>
  <si>
    <t xml:space="preserve">De in-place verwerking in de AF_ALG AEAD-interface (algif_aead) laat een onbevoorrechte gebruiker schrijven in de page cache van read-only bestanden, vergelijkbaar met Dirty Pipe; aanwezig sinds kernel 4.14 en in mei 2026 aan KEV toegevoegd na misbruik.</t>
  </si>
  <si>
    <t xml:space="preserve">Lokale escalatie naar root op een breed scala aan Linux-kernels (4.14 t/m 6.19) zonder backport.</t>
  </si>
  <si>
    <t xml:space="preserve">Controleer de kernelversie tegen de stable-backports (5.10.254, 5.15.204, 6.1.170, 6.6.137, 6.12.85, 6.18.22, 6.19.12, 7.0) en of de AF_ALG-interface beschikbaar is (CONFIG_CRYPTO_USER_API_AEAD); PoC alleen binnen RoE.</t>
  </si>
  <si>
    <t xml:space="preserve">Update de kernel naar een versie met de fix; als mitigatie de algif_aead-module blocklisten waar niet nodig.</t>
  </si>
  <si>
    <t xml:space="preserve">Auditd/EDR op AF_ALG-sockets met AEAD-operaties door gewone gebruikers en op wijzigingen aan SUID-binaries/configbestanden in geheugen.</t>
  </si>
  <si>
    <t xml:space="preserve">CWE-669</t>
  </si>
  <si>
    <t xml:space="preserve">Linux kernel 4.14 t/m 6.19.x zonder stable-backport (april 2026)</t>
  </si>
  <si>
    <t xml:space="preserve">Kernel 7.0 en stable-backports 6.19.12 / 6.18.22 / 6.12.85 / 6.6.137 / 6.1.170 / 5.15.204 / 5.10.254</t>
  </si>
  <si>
    <t xml:space="preserve">Ja - KEV sinds 2026-05-01</t>
  </si>
  <si>
    <t xml:space="preserve">In het wild misbruikt (KEV 2026-05-01)</t>
  </si>
  <si>
    <t xml:space="preserve">CVE-2022-0847, AV-HOST-03, AV-HOST-07</t>
  </si>
  <si>
    <t xml:space="preserve">https://git.kernel.org/stable/c/893d22e0135fa394db81df88697fba6032747667; https://git.kernel.org/stable/c/19d43105a97be0810edbda875f2cd03f30dc130c; https://nvd.nist.gov/vuln/detail/CVE-2026-31431</t>
  </si>
  <si>
    <t xml:space="preserve">CVE-2022-30190</t>
  </si>
  <si>
    <t xml:space="preserve">Microsoft MSDT ms-msdt: URL protocol - RCE via Office documents (Follina)</t>
  </si>
  <si>
    <t xml:space="preserve">Office-documenten (ook in Protected View/RTF-preview) konden via een externe OLE-referentie het ms-msdt:-protocol aanroepen en PowerShell laten uitvoeren zonder macro's; als zero-day misbruikt in phishingcampagnes (mei-juni 2022).</t>
  </si>
  <si>
    <t xml:space="preserve">Code-uitvoering met gebruikersrechten bij openen of zelfs previewen van een document; initial access.</t>
  </si>
  <si>
    <t xml:space="preserve">Controleer het patchniveau (juni 2022) en of de ms-msdt-protocolhandler nog geregistreerd is (reg query HKCR\ms-msdt); simuleer alleen met een onschadelijke payload binnen RoE.</t>
  </si>
  <si>
    <t xml:space="preserve">Installeer de update van juni 2022 of verwijder de ms-msdt-protocolhandler; ASR-regel 'Block all Office applications from creating child processes'.</t>
  </si>
  <si>
    <t xml:space="preserve">EDR op msdt.exe gestart vanuit Office-processen en op sdiagnhost.exe die PowerShell start.</t>
  </si>
  <si>
    <t xml:space="preserve">T1203, T1566.001, T1218.005</t>
  </si>
  <si>
    <t xml:space="preserve">CWE-610</t>
  </si>
  <si>
    <t xml:space="preserve">CVSS:3.1/AV:L/AC:L/PR:N/UI:R/S:U/C:H/I:H/A:H</t>
  </si>
  <si>
    <t xml:space="preserve">Windows 7 t/m 11 en Server 2008-2022 met MSDT zonder update van 14 juni 2022</t>
  </si>
  <si>
    <t xml:space="preserve">Update van juni 2022 (KB5014699 e.a.)</t>
  </si>
  <si>
    <t xml:space="preserve">Ja - KEV sinds 2022-06-14</t>
  </si>
  <si>
    <t xml:space="preserve">AV-SE-11, AV-SE-02, AV-HOST-06</t>
  </si>
  <si>
    <t xml:space="preserve">KEV (2022-06-14); CVSS-bron: CNA</t>
  </si>
  <si>
    <t xml:space="preserve">https://msrc.microsoft.com/update-guide/vulnerability/CVE-2022-30190; https://nvd.nist.gov/vuln/detail/CVE-2022-30190</t>
  </si>
  <si>
    <t xml:space="preserve">CVE-2023-23397</t>
  </si>
  <si>
    <t xml:space="preserve">Microsoft Outlook - zero-click NTLM credential leak via reminder sound (PidLidReminderFileParameter)</t>
  </si>
  <si>
    <t xml:space="preserve">Een gemanipuleerde afspraak/taak met een UNC-pad in de reminder-geluidseigenschap laat Outlook voor Windows automatisch (bij het verwerken van de herinnering, zonder klik) NTLM-authenticatie uitvoeren naar de aanvallersserver; door APT28 gebruikt tegen Europese overheden en defensie (2022-2023).</t>
  </si>
  <si>
    <t xml:space="preserve">Lekkage van NetNTLMv2-hashes voor relay of offline kraken zonder gebruikersinteractie.</t>
  </si>
  <si>
    <t xml:space="preserve">Controleer het patchniveau van Outlook (maart 2023 of later) en of uitgaand SMB naar internet is geblokkeerd; gebruik het Microsoft-script (CVE-2023-23397.ps1) om bestaande berichten te scannen.</t>
  </si>
  <si>
    <t xml:space="preserve">Installeer de Outlook-update van maart 2023, blokkeer uitgaand SMB (445) naar internet, voeg gebruikers toe aan Protected Users, beperk NTLM.</t>
  </si>
  <si>
    <t xml:space="preserve">Alarmeer op uitgaande SMB-verbindingen vanaf werkplekken naar externe adressen en op mailitems met PidLidReminderFileParameter die UNC-paden bevatten.</t>
  </si>
  <si>
    <t xml:space="preserve">T1187, T1566</t>
  </si>
  <si>
    <t xml:space="preserve">CWE-20, CWE-294</t>
  </si>
  <si>
    <t xml:space="preserve">Microsoft Outlook 2013 SP1, 2016, 2019, LTSC 2021 en Microsoft 365 Apps voor Windows zonder update van 14 maart 2023</t>
  </si>
  <si>
    <t xml:space="preserve">Outlook-updates van maart 2023</t>
  </si>
  <si>
    <t xml:space="preserve">Ja - KEV sinds 2023-03-14</t>
  </si>
  <si>
    <t xml:space="preserve">AV-NET-03, AV-AD-14, CVE-2025-24054</t>
  </si>
  <si>
    <t xml:space="preserve">KEV (2023-03-14); CVSS-bron: CNA</t>
  </si>
  <si>
    <t xml:space="preserve">https://msrc.microsoft.com/update-guide/vulnerability/CVE-2023-23397; https://nvd.nist.gov/vuln/detail/CVE-2023-23397</t>
  </si>
  <si>
    <t xml:space="preserve">CVE-2025-8088</t>
  </si>
  <si>
    <t xml:space="preserve">WinRAR - path traversal via alternate data streams (RomCom zero-day)</t>
  </si>
  <si>
    <t xml:space="preserve">Gemanipuleerde RAR-archieven met alternate data streams laten WinRAR bestanden uitpakken naar een door de aanvaller gekozen pad (bv. de Startup-map), waardoor bij de volgende login code wordt uitgevoerd; door RomCom en Paper Werewolf in phishingcampagnes gebruikt (juli-augustus 2025).</t>
  </si>
  <si>
    <t xml:space="preserve">Persistente code-uitvoering met gebruikersrechten na het uitpakken van een bijlage.</t>
  </si>
  <si>
    <t xml:space="preserve">Inventariseer WinRAR-versies op werkplekken (7.12 en ouder kwetsbaar; geen auto-update) en controleer of archieven uit e-mail worden gefilterd of in een sandbox worden geopend.</t>
  </si>
  <si>
    <t xml:space="preserve">Update WinRAR naar 7.13 of hoger (handmatig, geen auto-update), overweeg standaardisatie op een beheerde archiver, blokkeer RAR-bijlagen of detoneer in sandbox.</t>
  </si>
  <si>
    <t xml:space="preserve">EDR op bestanden die door WinRAR.exe in Startup-mappen worden geschreven; mailfiltering op RAR met ADS.</t>
  </si>
  <si>
    <t xml:space="preserve">T1204.002, T1547.001, T1566.001</t>
  </si>
  <si>
    <t xml:space="preserve">CWE-35</t>
  </si>
  <si>
    <t xml:space="preserve">CVSS:4.0/AV:L/AC:L/AT:N/PR:N/UI:A/VC:H/VI:H/VA:H/SC:N/SI:N/SA:N</t>
  </si>
  <si>
    <t xml:space="preserve">WinRAR voor Windows t/m 7.12 (ook UnRAR.dll en portable UnRAR)</t>
  </si>
  <si>
    <t xml:space="preserve">WinRAR 7.13 (31 juli 2025)</t>
  </si>
  <si>
    <t xml:space="preserve">Ja - KEV sinds 2025-08-12</t>
  </si>
  <si>
    <t xml:space="preserve">Ja (in het wild; publieke PoC's)</t>
  </si>
  <si>
    <t xml:space="preserve">AV-SE-11, CVE-2025-0411</t>
  </si>
  <si>
    <t xml:space="preserve">KEV (2025-08-12); ESET; CVSS-bron: CNA; Verwante CVE's zonder eigen rij: CVE-2025-6218</t>
  </si>
  <si>
    <t xml:space="preserve">https://www.win-rar.com/singlenewsview.html?&amp;L=0&amp;tx_ttnews%5Btt_news%5D=283&amp;cHash=a64b4a8f662d3639dec8d65f47bc93c5; https://nvd.nist.gov/vuln/detail/CVE-2025-8088</t>
  </si>
  <si>
    <t xml:space="preserve">CVE-2025-0411</t>
  </si>
  <si>
    <t xml:space="preserve">7-Zip - Mark-of-the-Web bypass via double archiving</t>
  </si>
  <si>
    <t xml:space="preserve">7-Zip propageerde de Mark-of-the-Web niet naar bestanden in geneste archieven, waardoor uitgepakte bestanden SmartScreen en Protected View omzeilden; als zero-day gebruikt in SmokeLoader-campagnes tegen Oekraiense organisaties (september 2024) en breed toepasbaar in phishing.</t>
  </si>
  <si>
    <t xml:space="preserve">Omzeiling van Windows-beveiligingswaarschuwingen bij het openen van gedownloade/gemailde bestanden; code-uitvoering na een klik.</t>
  </si>
  <si>
    <t xml:space="preserve">Inventariseer 7-Zip-versies (24.08 en ouder kwetsbaar) en controleer of MotW-handhaving (SmartScreen, Office Protected View) actief is.</t>
  </si>
  <si>
    <t xml:space="preserve">Update 7-Zip naar 24.09 of hoger (geen auto-update), application control, blokkeer geneste archieven in e-mail.</t>
  </si>
  <si>
    <t xml:space="preserve">EDR op uitvoering van bestanden zonder MotW uit 7-Zip-uitpakmappen; mailfiltering op archieven-in-archieven.</t>
  </si>
  <si>
    <t xml:space="preserve">T1553.005, T1204.002</t>
  </si>
  <si>
    <t xml:space="preserve">CVSS:3.0/AV:L/AC:H/PR:N/UI:R/S:U/C:H/I:H/A:H</t>
  </si>
  <si>
    <t xml:space="preserve">7-Zip t/m 24.08</t>
  </si>
  <si>
    <t xml:space="preserve">7-Zip 24.09 (november 2024)</t>
  </si>
  <si>
    <t xml:space="preserve">Ja - KEV sinds 2025-02-06</t>
  </si>
  <si>
    <t xml:space="preserve">Ja (in het wild; publieke PoC)</t>
  </si>
  <si>
    <t xml:space="preserve">AV-SE-11, CVE-2025-8088, CVE-2026-21510</t>
  </si>
  <si>
    <t xml:space="preserve">KEV (2025-02-06); CVSS-bron: CNA</t>
  </si>
  <si>
    <t xml:space="preserve">https://www.zerodayinitiative.com/advisories/ZDI-25-045/; https://nvd.nist.gov/vuln/detail/CVE-2025-0411</t>
  </si>
  <si>
    <t xml:space="preserve">CVE-2026-21510</t>
  </si>
  <si>
    <t xml:space="preserve">Windows Shell - SmartScreen security feature bypass via LNK files (in the wild)</t>
  </si>
  <si>
    <t xml:space="preserve">Een protection-mechanism-failure in Windows Shell laat gemanipuleerde LNK-bestanden de SmartScreen-/MotW-waarschuwingen omzeilen, zodat code zonder waarschuwing wordt uitgevoerd na een klik; in februari 2026 als zero-day gepatcht samen met CVE-2026-21513 (MSHTML MotW-bypass) en in phishingcampagnes gebruikt.</t>
  </si>
  <si>
    <t xml:space="preserve">Code-uitvoering met gebruikersrechten via LNK-bijlagen/ISO's zonder beveiligingswaarschuwing.</t>
  </si>
  <si>
    <t xml:space="preserve">Controleer het patchniveau (februari 2026 of later) en of LNK/ISO-bijlagen uit e-mail worden geblokkeerd; simuleer alleen met onschadelijke LNK's binnen RoE.</t>
  </si>
  <si>
    <t xml:space="preserve">Installeer de update van februari 2026, blokkeer LNK/ISO/IMG-bijlagen, ASR-regels en application control.</t>
  </si>
  <si>
    <t xml:space="preserve">EDR op LNK-uitvoering vanuit download-/mailmappen die cmd/powershell/mshta start.</t>
  </si>
  <si>
    <t xml:space="preserve">T1204.002, T1553.005, T1566.001</t>
  </si>
  <si>
    <t xml:space="preserve">CVSS:3.1/AV:N/AC:L/PR:N/UI:R/S:U/C:H/I:H/A:H</t>
  </si>
  <si>
    <t xml:space="preserve">Windows 10/11 en Windows Server 2008 R2 t/m 2025 zonder update van 10 februari 2026</t>
  </si>
  <si>
    <t xml:space="preserve">Update van februari 2026 (bv. 10.0.19045.6937 / 10.0.22631.6649)</t>
  </si>
  <si>
    <t xml:space="preserve">Ja - KEV sinds 2026-02-10</t>
  </si>
  <si>
    <t xml:space="preserve">In het wild misbruikt (KEV 2026-02-10)</t>
  </si>
  <si>
    <t xml:space="preserve">CVE-2026-32202, CVE-2025-0411, AV-SE-11</t>
  </si>
  <si>
    <t xml:space="preserve">KEV; verwant CVE-2026-21513 (MSHTML); CVSS-bron: CNA</t>
  </si>
  <si>
    <t xml:space="preserve">https://msrc.microsoft.com/update-guide/vulnerability/CVE-2026-21510; https://nvd.nist.gov/vuln/detail/CVE-2026-21510</t>
  </si>
  <si>
    <t xml:space="preserve">CVE-2025-55241</t>
  </si>
  <si>
    <t xml:space="preserve">Microsoft Entra ID - Actor token / Azure AD Graph validation flaw (cross-tenant Global Admin)</t>
  </si>
  <si>
    <t xml:space="preserve">Ongedocumenteerde 'Actor tokens' (service-to-service impersonatietokens zonder logging, Conditional Access of herroeping) in combinatie met een validatiefout in de legacy Azure AD Graph API lieten een aanvaller vanuit een eigen testtenant elke gebruiker, inclusief Global Admins, in elke andere tenant impersoneren; gevonden door Dirk-jan Mollema (Outsider Security, NL) en in juli 2025 door Microsoft gefixt.</t>
  </si>
  <si>
    <t xml:space="preserve">Volledige compromittering van elke Entra ID-tenant wereldwijd zonder detectiemogelijkheid voor het slachtoffer (ontwerpfout, geen klantactie mogelijk).</t>
  </si>
  <si>
    <t xml:space="preserve">Niet testbaar in klantomgevingen (platformfout, server-side gefixt); relevant als voorbeeld in risicoanalyses over afhankelijkheid van legacy-API's en vendor-logging.</t>
  </si>
  <si>
    <t xml:space="preserve">Server-side gefixt door Microsoft (juli 2025); migreer applicaties van Azure AD Graph naar Microsoft Graph, monitor Graph-activiteit en verwijder legacy-API-toegang.</t>
  </si>
  <si>
    <t xml:space="preserve">Niet detecteerbaar in klantlogs (Actor tokens worden niet gelogd); controleer Microsoft Graph-activiteitslogs voor afgeleide acties.</t>
  </si>
  <si>
    <t xml:space="preserve">T1078.004, T1606</t>
  </si>
  <si>
    <t xml:space="preserve">Microsoft Entra ID (alle tenants) tot de server-side fix van 17 juli 2025</t>
  </si>
  <si>
    <t xml:space="preserve">Server-side fix (juli 2025); Azure AD Graph API uitgefaseerd</t>
  </si>
  <si>
    <t xml:space="preserve">Niet publiek (verantwoord gemeld); geen misbruik bekend</t>
  </si>
  <si>
    <t xml:space="preserve">AV-CLD-01, AV-CLD-11, AV-CLD-13</t>
  </si>
  <si>
    <t xml:space="preserve">MSRC september 2025; CVSS 10.0; CVSS-bron: CNA</t>
  </si>
  <si>
    <t xml:space="preserve">https://msrc.microsoft.com/update-guide/vulnerability/CVE-2025-55241; https://nvd.nist.gov/vuln/detail/CVE-2025-55241</t>
  </si>
  <si>
    <t xml:space="preserve">CVE-2025-53786</t>
  </si>
  <si>
    <t xml:space="preserve">Microsoft Exchange Server hybrid deployment - privilege escalation to Exchange Online via shared service principal</t>
  </si>
  <si>
    <t xml:space="preserve">In hybride Exchange-omgevingen deelden on-premises Exchange en Exchange Online een service principal; een aanvaller met beheerrechten on-premises kon zo tokens vervalsen en zonder spoor in de cloud escaleren (ook naar andere Microsoft 365-diensten). Microsoft introduceerde een dedicated hybrid app (april 2025) en CISA gaf ED 25-02 uit (augustus 2025).</t>
  </si>
  <si>
    <t xml:space="preserve">Escalatie van on-premises Exchange-compromittering naar volledige Exchange Online-/M365-overname.</t>
  </si>
  <si>
    <t xml:space="preserve">Controleer of de dedicated Exchange hybrid app is geconfigureerd (ConfigureExchangeHybridApplication.ps1), of de April 2025 Hot Fix (of CU15/SE) is geinstalleerd en of de keyCredentials van de gedeelde service principal zijn opgeschoond.</t>
  </si>
  <si>
    <t xml:space="preserve">Installeer de April 2025 HU of later, configureer de dedicated hybrid app, verwijder keyCredentials van de gedeelde service principal, verwijder EOL Exchange-servers.</t>
  </si>
  <si>
    <t xml:space="preserve">Alarmeer op Graph-/EWS-activiteit met de legacy Office 365 Exchange Online-service-principal vanaf on-premises na migratie.</t>
  </si>
  <si>
    <t xml:space="preserve">T1606, T1078.004</t>
  </si>
  <si>
    <t xml:space="preserve">CVSS:3.1/AV:N/AC:H/PR:H/UI:N/S:C/C:H/I:H/A:H</t>
  </si>
  <si>
    <t xml:space="preserve">Exchange Server 2016 CU23, 2019 CU14/CU15 en Subscription Edition RTM in hybride configuratie zonder April 2025 HU en dedicated hybrid app</t>
  </si>
  <si>
    <t xml:space="preserve">April 2025 Hot Fix / CU15 + configuratiewijziging (dedicated hybrid app)</t>
  </si>
  <si>
    <t xml:space="preserve">Niet publiek; Microsoft: exploitatie 'more likely'</t>
  </si>
  <si>
    <t xml:space="preserve">AV-CLD-13, CVE-2024-21410</t>
  </si>
  <si>
    <t xml:space="preserve">CISA ED 25-02; CVSS-bron: CNA</t>
  </si>
  <si>
    <t xml:space="preserve">https://msrc.microsoft.com/update-guide/vulnerability/CVE-2025-53786; https://nvd.nist.gov/vuln/detail/CVE-2025-53786</t>
  </si>
  <si>
    <t xml:space="preserve">CVE-2021-38647</t>
  </si>
  <si>
    <t xml:space="preserve">Azure Open Management Infrastructure (OMI) - unauthenticated RCE as root (OMIGOD)</t>
  </si>
  <si>
    <t xml:space="preserve">De OMI-agent, die Azure stilzwijgend installeert op Linux-VM's bij gebruik van Log Analytics/Automation/Diagnostics, accepteerde HTTP-verzoeken zonder Authorization-header als root; bij een blootgestelde poort (5985/5986/1270) leidde dit tot ongeauthenticeerde RCE, lokaal altijd tot privilege escalation.</t>
  </si>
  <si>
    <t xml:space="preserve">Root op Azure Linux-VM's, van buitenaf bij open poorten; Mirai-botnets misbruikten het binnen dagen.</t>
  </si>
  <si>
    <t xml:space="preserve">Controleer de OMI-versie (dpkg -l omi / rpm -q omi; &lt; 1.6.8-1 kwetsbaar) op Azure Linux-VM's en of de OMI-poorten via NSG's bereikbaar zijn.</t>
  </si>
  <si>
    <t xml:space="preserve">Update OMI naar 1.6.8-1 (via extensies/auto-update of handmatig), blokkeer 5985/5986/1270 in NSG's, inventariseer impliciet geinstalleerde agents.</t>
  </si>
  <si>
    <t xml:space="preserve">Alarmeer op verbindingen naar OMI-poorten en op child-processen van omiagent.</t>
  </si>
  <si>
    <t xml:space="preserve">T1190, T1068</t>
  </si>
  <si>
    <t xml:space="preserve">OMI &lt; 1.6.8-1 op Azure Linux-VM's met Azure Automation, Log Analytics (OMS), Diagnostics (LAD), Security Center, Sentinel, Azure Stack Hub-extensies</t>
  </si>
  <si>
    <t xml:space="preserve">OMI 1.6.8-1 (september 2021)</t>
  </si>
  <si>
    <t xml:space="preserve">AV-CLD-17, AV-HOST-03</t>
  </si>
  <si>
    <t xml:space="preserve">KEV (2021-11-03); Wiz; CVSS-bron: CNA</t>
  </si>
  <si>
    <t xml:space="preserve">https://msrc.microsoft.com/update-guide/vulnerability/CVE-2021-38647; https://nvd.nist.gov/vuln/detail/CVE-2021-38647</t>
  </si>
  <si>
    <t xml:space="preserve">CVE-2025-1974</t>
  </si>
  <si>
    <t xml:space="preserve">Kubernetes ingress-nginx admission controller - unauthenticated RCE (IngressNightmare)</t>
  </si>
  <si>
    <t xml:space="preserve">De admission controller van ingress-nginx (standaard bereikbaar vanaf het pod-netwerk, soms publiek) valideert Ingress-objecten door nginx-configuraties te genereren; via injectie in annotaties (CVE-2025-24514, 24513, 1097, 1098) en het laden van een geuploade shared library kon code worden uitgevoerd in de controller, die standaard alle Secrets in het cluster kan lezen.</t>
  </si>
  <si>
    <t xml:space="preserve">Overname van het hele Kubernetes-cluster via diefstal van alle Secrets; 43% van cloudomgevingen was kwetsbaar (Wiz).</t>
  </si>
  <si>
    <t xml:space="preserve">Controleer de ingress-nginx-versie (1.12.1 / 1.11.5 of hoger) en of de admission webhook (8443) vanaf pods of extern bereikbaar is; PoC alleen in testclusters.</t>
  </si>
  <si>
    <t xml:space="preserve">Update ingress-nginx; beperk de admission webhook via NetworkPolicy tot de API-server; schakel de validating webhook tijdelijk uit als update niet kan; least-privilege RBAC voor de controller.</t>
  </si>
  <si>
    <t xml:space="preserve">Alarmeer op AdmissionReview-verzoeken van onbekende bronnen en op ongebruikelijke Ingress-annotaties.</t>
  </si>
  <si>
    <t xml:space="preserve">T1190, T1552.007</t>
  </si>
  <si>
    <t xml:space="preserve">CWE-653, CWE-94</t>
  </si>
  <si>
    <t xml:space="preserve">ingress-nginx &lt; 1.11.5 en 1.12.0</t>
  </si>
  <si>
    <t xml:space="preserve">ingress-nginx 1.12.1 / 1.11.5 (24 maart 2025)</t>
  </si>
  <si>
    <t xml:space="preserve">AV-CLD-07, AV-CLD-15</t>
  </si>
  <si>
    <t xml:space="preserve">Wiz Research; CVSS 9.8; niet in KEV; CVSS-bron: CNA</t>
  </si>
  <si>
    <t xml:space="preserve">https://https://github.com/kubernetes/kubernetes/issues/131009; https://nvd.nist.gov/vuln/detail/CVE-2025-1974</t>
  </si>
  <si>
    <t xml:space="preserve">CVE-2024-21626</t>
  </si>
  <si>
    <t xml:space="preserve">runc - container breakout via leaked file descriptor / process.cwd (Leaky Vessels)</t>
  </si>
  <si>
    <t xml:space="preserve">Een gelekte file descriptor in runc &lt;= 1.1.11 laat een container-proces (via een kwaadaardig image of een runc exec met gemanipuleerde cwd) toegang krijgen tot het host-bestandssysteem en host-binaries overschrijven, met volledige container-escape als gevolg; raakt Docker, Kubernetes en alle OCI-runtimes die runc gebruiken.</t>
  </si>
  <si>
    <t xml:space="preserve">Ontsnapping uit containers naar de host (root) via onvertrouwde images of build-processen.</t>
  </si>
  <si>
    <t xml:space="preserve">Controleer de runc-versie op nodes (runc --version; &lt; 1.1.12 kwetsbaar) en de containerd/Docker-versies; PoC alleen in testomgevingen.</t>
  </si>
  <si>
    <t xml:space="preserve">Update runc naar 1.1.12+ (Docker 25.0.2, containerd 1.6.28/1.7.13 e.v.), gebruik alleen vertrouwde images, rootless containers/gVisor voor onvertrouwde workloads.</t>
  </si>
  <si>
    <t xml:space="preserve">Alarmeer op processen in containers met cwd op /proc/self/fd/* en op wijzigingen van host-binaries vanuit container-context.</t>
  </si>
  <si>
    <t xml:space="preserve">T1611</t>
  </si>
  <si>
    <t xml:space="preserve">CWE-403, CWE-668</t>
  </si>
  <si>
    <t xml:space="preserve">Container - Docker Pentest</t>
  </si>
  <si>
    <t xml:space="preserve">CVSS:3.1/AV:L/AC:L/PR:N/UI:R/S:C/C:H/I:H/A:H</t>
  </si>
  <si>
    <t xml:space="preserve">runc 1.0.0-rc93 t/m 1.1.11 (Docker &lt;= 25.0.1, containerd &lt;= 1.6.27/1.7.12, Kubernetes-nodes met deze runc)</t>
  </si>
  <si>
    <t xml:space="preserve">runc 1.1.12 (31 januari 2024)</t>
  </si>
  <si>
    <t xml:space="preserve">Snyk; niet in KEV; CVSS-bron: CNA</t>
  </si>
  <si>
    <t xml:space="preserve">https://github.com/opencontainers/runc/security/advisories/GHSA-xr7r-f8xq-vfvv; https://github.com/opencontainers/runc/commit/02120488a4c0fc487d1ed2867e901eeed7ce8ecf; https://nvd.nist.gov/vuln/detail/CVE-2024-21626</t>
  </si>
  <si>
    <t xml:space="preserve">CVE-2025-30066</t>
  </si>
  <si>
    <t xml:space="preserve">GitHub Action tj-actions/changed-files - compromised tags leaking CI secrets</t>
  </si>
  <si>
    <t xml:space="preserve">Alle versietags (v1 t/m v45.0.7) van de populaire GitHub Action tj-actions/changed-files werden omgezet naar een kwaadaardige commit die de geheugeninhoud van de runner (incl. secrets) naar de build-log dumpte; gevolg van een eerdere compromittering van reviewdog-actions (CVE-2025-30154) en gericht op Coinbase.</t>
  </si>
  <si>
    <t xml:space="preserve">Lekkage van CI/CD-secrets (cloud-keys, tokens, signing keys) van 23.000+ repositories, vooral publieke repos met leesbare logs.</t>
  </si>
  <si>
    <t xml:space="preserve">Controleer workflows op gebruik van third-party actions via tags i.p.v. commit-SHA's, en of logs/secrets in de getroffen periode (14-15 maart 2025) blootgesteld zijn geweest.</t>
  </si>
  <si>
    <t xml:space="preserve">Pin actions op commit-SHA, gebruik allowlists voor actions, OIDC i.p.v. langlevende secrets, roteer secrets die in de periode in workflows stonden.</t>
  </si>
  <si>
    <t xml:space="preserve">Alarmeer op wijzigingen van action-tags naar nieuwe commits en op base64-geheugendumps in build-logs.</t>
  </si>
  <si>
    <t xml:space="preserve">T1195.002, T1552</t>
  </si>
  <si>
    <t xml:space="preserve">CWE-506</t>
  </si>
  <si>
    <t xml:space="preserve">tj-actions/changed-files tags v1 t/m v45.0.7 (gewijzigd op 14-15 maart 2025)</t>
  </si>
  <si>
    <t xml:space="preserve">v46 (en SHA-pinning)</t>
  </si>
  <si>
    <t xml:space="preserve">Ja - KEV sinds 2025-03-18</t>
  </si>
  <si>
    <t xml:space="preserve">In het wild (supply-chain-aanval)</t>
  </si>
  <si>
    <t xml:space="preserve">AV-CLD-14, AV-CLD-19, CVE-2026-45321</t>
  </si>
  <si>
    <t xml:space="preserve">KEV (2025-03-18); StepSecurity/Wiz; CVSS-bron: CNA</t>
  </si>
  <si>
    <t xml:space="preserve">https://github.com/github/docs/blob/962a1c8dccb8c0f66548b324e5b921b5e4fbc3d6/content/actions/security-for-github-actions/security-guides/security-hardening-for-github-actions.md?plain=1#L191-L193; https://github.com/tj-actions/changed-files/issues/2463; https://nvd.nist.gov/vuln/detail/CVE-2025-30066</t>
  </si>
  <si>
    <t xml:space="preserve">CVE-2026-45321</t>
  </si>
  <si>
    <t xml:space="preserve">npm @tanstack/* packages - self-propagating supply-chain malware via GitHub Actions OIDC abuse</t>
  </si>
  <si>
    <t xml:space="preserve">Op 11 mei 2026 werden 84 kwaadaardige versies van 42 @tanstack/*-packages gepubliceerd via de legitieme OIDC trusted-publisher-binding van TanStack/router, na een keten van pull_request_target-misconfiguratie, GitHub Actions cache poisoning en extractie van het OIDC-token uit het runnergeheugen; de malware (Mini Shai-Hulud) exfiltreert cloudcredentials, GitHub-tokens en SSH-keys en verspreidt zich via gestolen publish-rechten.</t>
  </si>
  <si>
    <t xml:space="preserve">Compromittering van ontwikkelaarswerkplekken en CI-runners met wormachtige verspreiding naar andere npm-packages.</t>
  </si>
  <si>
    <t xml:space="preserve">Controleer lockfiles/SBOM's op de getroffen versies (bv. @tanstack/react-router 1.169.5/1.169.8) en de installatieperiode; controleer op IoC's (exfiltratie naar aanvallersinfrastructuur, nieuwe GitHub-workflows/repos).</t>
  </si>
  <si>
    <t xml:space="preserve">Verwijder getroffen versies, roteer alle credentials op getroffen systemen (npm, GitHub, cloud, SSH), pin dependencies met integriteitshashes, gebruik een registry-proxy met quarantaine voor nieuwe versies (cool-down), harden GitHub Actions (geen pull_request_target met secrets, cache-isolatie).</t>
  </si>
  <si>
    <t xml:space="preserve">Alarmeer op postinstall-scripts met netwerkverkeer, onverwachte GitHub-workflow-wijzigingen en nieuwe publicaties onder eigen npm-accounts.</t>
  </si>
  <si>
    <t xml:space="preserve">CVSS:3.1/AV:N/AC:L/PR:N/UI:R/S:C/C:H/I:H/A:H</t>
  </si>
  <si>
    <t xml:space="preserve">84 versies van 42 @tanstack/*-packages gepubliceerd op 2026-05-11 (zie GHSA-g7cv-rxg3-hmpx)</t>
  </si>
  <si>
    <t xml:space="preserve">Verwijderd uit npm; opvolgende schone versies</t>
  </si>
  <si>
    <t xml:space="preserve">Ja - KEV sinds 2026-05-27</t>
  </si>
  <si>
    <t xml:space="preserve">In het wild (supply-chain-worm)</t>
  </si>
  <si>
    <t xml:space="preserve">AV-CLD-19, AV-CLD-14, CVE-2025-30066</t>
  </si>
  <si>
    <t xml:space="preserve">KEV (2026-05-27); verwant: CVE-2026-48027 (Nx Console), Shai-Hulud (2025); CVSS-bron: CNA</t>
  </si>
  <si>
    <t xml:space="preserve">https://github.com/TanStack/router/security/advisories/GHSA-g7cv-rxg3-hmpx; https://github.com/TanStack/router/issues/7383; https://nvd.nist.gov/vuln/detail/CVE-2026-45321</t>
  </si>
  <si>
    <t xml:space="preserve">CVE-2025-32711</t>
  </si>
  <si>
    <t xml:space="preserve">Microsoft 365 Copilot - zero-click indirect prompt injection data exfiltration (EchoLeak)</t>
  </si>
  <si>
    <t xml:space="preserve">Een e-mail met verborgen instructies werd door M365 Copilot via RAG opgehaald en uitgevoerd ('LLM scope violation'), waarna gevoelige data uit de context van de gebruiker (mails, bestanden, Teams) via automatisch geladen afbeeldingen/links (CSP-bypass via Teams/SharePoint-proxies) naar de aanvaller werd geexfiltreerd, zonder enige klik van het slachtoffer.</t>
  </si>
  <si>
    <t xml:space="preserve">Zero-click datalek uit de volledige M365-context van een gebruiker; eerste publiek bekende zero-click aanval op een productie-AI-agent.</t>
  </si>
  <si>
    <t xml:space="preserve">Niet reproduceerbaar (server-side gefixt); gebruik als referentiecasus bij het testen van eigen copilots/RAG-toepassingen op indirecte prompt injection en exfiltratie via markdown-afbeeldingen/links.</t>
  </si>
  <si>
    <t xml:space="preserve">Server-side gefixt door Microsoft (juni 2025); voor eigen AI-toepassingen: strikte output-filtering van links/afbeeldingen, scheiding van onvertrouwde content en instructies, least-privilege retrieval, DLP-labels.</t>
  </si>
  <si>
    <t xml:space="preserve">Alarmeer op Copilot-/LLM-output met externe URL's die contextdata bevatten; monitoring van ongebruikelijke retrieval-patronen.</t>
  </si>
  <si>
    <t xml:space="preserve">CWE-74, CWE-1427</t>
  </si>
  <si>
    <t xml:space="preserve">CVSS:3.1/AV:N/AC:L/PR:N/UI:N/S:C/C:H/I:L/A:N</t>
  </si>
  <si>
    <t xml:space="preserve">Microsoft 365 Copilot tot de server-side fix (juni 2025)</t>
  </si>
  <si>
    <t xml:space="preserve">Server-side (juni 2025)</t>
  </si>
  <si>
    <t xml:space="preserve">Niet publiek; verantwoord gemeld (Aim Security)</t>
  </si>
  <si>
    <t xml:space="preserve">AV-AI-01, AV-AI-02, AV-CLD-18</t>
  </si>
  <si>
    <t xml:space="preserve">OWASP LLM01/LLM02; MITRE ATLAS AML.T0051; CVSS 9.3; CVSS-bron: CNA</t>
  </si>
  <si>
    <t xml:space="preserve">https://msrc.microsoft.com/update-guide/vulnerability/CVE-2025-32711; https://nvd.nist.gov/vuln/detail/CVE-2025-32711</t>
  </si>
  <si>
    <t xml:space="preserve">CVE-2025-3248</t>
  </si>
  <si>
    <t xml:space="preserve">Langflow - unauthenticated code injection in /api/v1/validate/code</t>
  </si>
  <si>
    <t xml:space="preserve">Het endpoint /api/v1/validate/code van Langflow (low-code AI-agent-builder) voerde door de gebruiker aangeleverde Python-code uit via exec() zonder authenticatie, waardoor elke netwerkgebruiker RCE kreeg; vanaf mei 2025 misbruikt (o.a. Flodrix-botnet) en opgenomen in KEV.</t>
  </si>
  <si>
    <t xml:space="preserve">RCE op AI-ontwikkelservers met toegang tot LLM-API-keys, datasets en interne systemen.</t>
  </si>
  <si>
    <t xml:space="preserve">Identificeer Langflow-instanties (poort 7860, /api/v1/) en de versie (&lt; 1.3.0 kwetsbaar); PoC met een onschadelijke expressie binnen RoE.</t>
  </si>
  <si>
    <t xml:space="preserve">Update naar Langflow 1.3.0+ (en volg latere adviezen: CVE-2026-0770, CVE-2026-33017, CVE-2026-9198), authenticatie en netwerkisolatie verplicht, geen Langflow direct aan internet.</t>
  </si>
  <si>
    <t xml:space="preserve">Alarmeer op POST naar /api/v1/validate/code van onbekende bronnen en op child-processen van de Langflow-Python-service.</t>
  </si>
  <si>
    <t xml:space="preserve">CWE-306, CWE-94</t>
  </si>
  <si>
    <t xml:space="preserve">Langflow &lt; 1.3.0</t>
  </si>
  <si>
    <t xml:space="preserve">Langflow 1.3.0 (april 2025)</t>
  </si>
  <si>
    <t xml:space="preserve">Ja - KEV sinds 2025-05-05</t>
  </si>
  <si>
    <t xml:space="preserve">AV-AI-07, CVE-2026-0770</t>
  </si>
  <si>
    <t xml:space="preserve">KEV (2025-05-05); OWASP LLM03; CVSS-bron: CNA</t>
  </si>
  <si>
    <t xml:space="preserve">https://github.com/langflow-ai/langflow/pull/6911; https://github.com/langflow-ai/langflow/releases/tag/1.3.0; https://nvd.nist.gov/vuln/detail/CVE-2025-3248</t>
  </si>
  <si>
    <t xml:space="preserve">CVE-2026-0770</t>
  </si>
  <si>
    <t xml:space="preserve">Langflow - exec_globals untrusted code inclusion RCE (ook CVE-2026-33017 build_public_tmp, CVE-2026-9198 auto_login chain)</t>
  </si>
  <si>
    <t xml:space="preserve">Langflow bleef in 2026 een terugkerend KEV-product: de exec_globals-parameter van het validate-endpoint liet ongeauthenticeerde code-uitvoering als root toe (CVE-2026-0770), het publieke flow-build-endpoint accepteerde aanvallerscode (CVE-2026-33017), en de keten auto_login -&gt; validate/code gaf RCE op standaardinstallaties (CVE-2026-9198, IBM).</t>
  </si>
  <si>
    <t xml:space="preserve">Root-RCE op AI-platformservers; diefstal van modelprovider-keys, datasets en pivot naar de omgeving.</t>
  </si>
  <si>
    <t xml:space="preserve">Controleer de Langflow-versie (minimaal 1.9.0 voor 33017; 1.10.1+ voor 9198) en of auto-login (LANGFLOW_AUTO_LOGIN) aanstaat; controleer netwerkblootstelling van de API.</t>
  </si>
  <si>
    <t xml:space="preserve">Update Langflow naar de laatste release, schakel auto-login uit, authenticatie en netwerkisolatie verplicht, draai niet als root/in een beperkte container.</t>
  </si>
  <si>
    <t xml:space="preserve">Alarmeer op verzoeken naar /api/v1/validate/code, /api/v1/build_public_tmp en /api/v1/auto_login van onbekende bronnen.</t>
  </si>
  <si>
    <t xml:space="preserve">CWE-829, CWE-94, CWE-306</t>
  </si>
  <si>
    <t xml:space="preserve">Langflow 1.4.2 (CVE-2026-0770); &lt; 1.9.0 (CVE-2026-33017); 1.0.0 t/m 1.10.0 (CVE-2026-9198)</t>
  </si>
  <si>
    <t xml:space="preserve">Langflow 1.9.0 / 1.10.1 en hoger (2026)</t>
  </si>
  <si>
    <t xml:space="preserve">In het wild misbruikt (KEV 2026-03-25, 2026-07-21, 2026-08-04)</t>
  </si>
  <si>
    <t xml:space="preserve">CVE-2025-3248, AV-AI-07</t>
  </si>
  <si>
    <t xml:space="preserve">KEV; OWASP LLM03; CVSS-bron: CNA; Verwante CVE's zonder eigen rij: CVE-2026-33017, CVE-2026-9198</t>
  </si>
  <si>
    <t xml:space="preserve">https://www.zerodayinitiative.com/advisories/ZDI-26-036/; https://nvd.nist.gov/vuln/detail/CVE-2026-0770</t>
  </si>
  <si>
    <t xml:space="preserve">CVE-2025-6514</t>
  </si>
  <si>
    <t xml:space="preserve">mcp-remote - OS command injection via malicious MCP server authorization_endpoint</t>
  </si>
  <si>
    <t xml:space="preserve">De veelgebruikte MCP-client-proxy mcp-remote (0.0.5-0.1.15) voerde de authorization_endpoint-URL uit de OAuth-metadata van een (kwaadaardige) MCP-server door naar een shell-commando om de browser te openen, waardoor verbinden met een onvertrouwde MCP-server tot RCE op de werkplek van de gebruiker leidde (ook via MitM bij http://).</t>
  </si>
  <si>
    <t xml:space="preserve">RCE op werkplekken van ontwikkelaars/gebruikers die AI-assistenten met externe MCP-servers koppelen; eerste RCE-in-the-wild-klasse voor MCP-clients.</t>
  </si>
  <si>
    <t xml:space="preserve">Inventariseer MCP-client-configuraties (Claude Desktop, Cursor, Windsurf e.a.) op mcp-remote-versies &lt; 0.1.16 en op verbindingen naar externe/HTTP-MCP-servers.</t>
  </si>
  <si>
    <t xml:space="preserve">Update mcp-remote naar 0.1.16+, verbind alleen met vertrouwde MCP-servers over HTTPS, allowlist van MCP-servers via beleid, sandboxing van AI-clients.</t>
  </si>
  <si>
    <t xml:space="preserve">EDR op child-processen (cmd/powershell/sh) van npx/node-processen die mcp-remote draaien.</t>
  </si>
  <si>
    <t xml:space="preserve">T1204, T1059</t>
  </si>
  <si>
    <t xml:space="preserve">mcp-remote 0.0.5 t/m 0.1.15</t>
  </si>
  <si>
    <t xml:space="preserve">mcp-remote 0.1.16 (juni 2025)</t>
  </si>
  <si>
    <t xml:space="preserve">Ja (publieke PoC; JFrog)</t>
  </si>
  <si>
    <t xml:space="preserve">AV-AI-04, CVE-2025-49596</t>
  </si>
  <si>
    <t xml:space="preserve">OWASP LLM06; MITRE ATLAS AML.T0053; CVSS-bron: CNA</t>
  </si>
  <si>
    <t xml:space="preserve">https://research.jfrog.com/vulnerabilities/mcp-remote-command-injection-rce-jfsa-2025-001290844/; https://github.com/geelen/mcp-remote/commit/607b226a356cb61a239ffaba2fb3db1c9dea4bac; https://nvd.nist.gov/vuln/detail/CVE-2025-6514</t>
  </si>
  <si>
    <t xml:space="preserve">CVE-2025-49596</t>
  </si>
  <si>
    <t xml:space="preserve">MCP Inspector - missing authentication between client and proxy (RCE via browser / DNS rebinding)</t>
  </si>
  <si>
    <t xml:space="preserve">De proxyserver van de MCP Inspector (ontwikkeltool van het Model Context Protocol) luisterde zonder authenticatie op 0.0.0.0:6277 en liet elke (web)client stdio-commando's starten; via een kwaadaardige webpagina (0.0.0.0-day/DNS rebinding) kon een aanvaller op afstand code uitvoeren op de werkplek van de ontwikkelaar.</t>
  </si>
  <si>
    <t xml:space="preserve">RCE op ontwikkelaarswerkplekken en CI-systemen waar de Inspector draait.</t>
  </si>
  <si>
    <t xml:space="preserve">Controleer op draaiende MCP Inspector-instanties (&lt; 0.14.1) en of 6274/6277 op alle interfaces luisteren; zoek in projecten naar @modelcontextprotocol/inspector-versies.</t>
  </si>
  <si>
    <t xml:space="preserve">Update naar 0.14.1+ (sessietoken en localhost-binding), bind dev-tools op 127.0.0.1, blokkeer DNS-rebinding met Host-validatie.</t>
  </si>
  <si>
    <t xml:space="preserve">EDR op child-processen van node-processen van de Inspector; netwerkmonitoring op verbindingen naar 6277.</t>
  </si>
  <si>
    <t xml:space="preserve">CVSS:4.0/AV:N/AC:L/AT:N/PR:N/UI:P/VC:H/VI:H/VA:H/SC:H/SI:H/SA:H</t>
  </si>
  <si>
    <t xml:space="preserve">MCP Inspector (npm-package modelcontextprotocol/inspector) &lt; 0.14.1</t>
  </si>
  <si>
    <t xml:space="preserve">MCP Inspector 0.14.1 (juni 2025)</t>
  </si>
  <si>
    <t xml:space="preserve">Ja (publieke PoC; Oligo Security)</t>
  </si>
  <si>
    <t xml:space="preserve">AV-AI-04, CVE-2025-6514, CVE-2025-62593</t>
  </si>
  <si>
    <t xml:space="preserve">OWASP LLM06; CVSS-bron: CNA</t>
  </si>
  <si>
    <t xml:space="preserve">https://github.com/modelcontextprotocol/inspector/security/advisories/GHSA-7f8r-222p-6f5g; https://github.com/modelcontextprotocol/inspector/commit/50df0e1ec488f3983740b4d28d2a968f12eb8979; https://nvd.nist.gov/vuln/detail/CVE-2025-49596</t>
  </si>
  <si>
    <t xml:space="preserve">CVE-2024-37032</t>
  </si>
  <si>
    <t xml:space="preserve">Ollama - path traversal in model digest (Probllama) RCE</t>
  </si>
  <si>
    <t xml:space="preserve">Ollama valideerde het digest-veld van modelmanifesten niet, waardoor via /api/pull vanaf een kwaadaardige registry een path traversal ontstond met arbitrary file write en RCE (bv. overschrijven van ld.so.preload); op Docker-installaties draait Ollama als root en luistert vaak op 0.0.0.0:11434 zonder authenticatie.</t>
  </si>
  <si>
    <t xml:space="preserve">RCE op AI-inferentieservers (vaak met GPU's en gevoelige data) die zonder authenticatie aan het netwerk hangen.</t>
  </si>
  <si>
    <t xml:space="preserve">Scan op Ollama (11434, /api/tags) en versies (&lt; 0.1.34 kwetsbaar); controleer of de API zonder authenticatie bereikbaar is (Ollama heeft geen ingebouwde auth).</t>
  </si>
  <si>
    <t xml:space="preserve">Update Ollama (0.1.34+), plaats de API achter een reverse proxy met authenticatie, bind op localhost, draai niet als root, egress-beperking voor registries.</t>
  </si>
  <si>
    <t xml:space="preserve">Alarmeer op /api/pull-verzoeken naar onbekende registries en op bestandswijzigingen buiten de modelmap.</t>
  </si>
  <si>
    <t xml:space="preserve">Ollama &lt; 0.1.34</t>
  </si>
  <si>
    <t xml:space="preserve">Ollama 0.1.34 (mei 2024)</t>
  </si>
  <si>
    <t xml:space="preserve">Ja (publieke PoC; Wiz)</t>
  </si>
  <si>
    <t xml:space="preserve">AV-AI-07, AV-NET-14</t>
  </si>
  <si>
    <t xml:space="preserve">OWASP LLM03; CVSS-bron: ADP CISA-ADP</t>
  </si>
  <si>
    <t xml:space="preserve">https://github.com/ollama/ollama/pull/4175; https://github.com/ollama/ollama/compare/v0.1.33...v0.1.34; https://nvd.nist.gov/vuln/detail/CVE-2024-37032</t>
  </si>
  <si>
    <t xml:space="preserve">CVE-2024-5565</t>
  </si>
  <si>
    <t xml:space="preserve">Vanna.AI - prompt injection in 'ask' with visualize=True leading to RCE</t>
  </si>
  <si>
    <t xml:space="preserve">De text-to-SQL-library Vanna laat het LLM Plotly-visualisatiecode genereren die vervolgens met exec() wordt uitgevoerd; via prompt injection in de gebruikersvraag kan een aanvaller willekeurige Python laten genereren en uitvoeren. Schoolvoorbeeld van 'improper output handling' en de reden dat LLM-gegenereerde code gesandboxt moet worden.</t>
  </si>
  <si>
    <t xml:space="preserve">RCE op de applicatieserver via een gewone gebruikersvraag aan de chatbot.</t>
  </si>
  <si>
    <t xml:space="preserve">Identificeer toepassingen die LLM-output (code/SQL) uitvoeren zonder sandbox; test met prompts die onschadelijke code laten genereren (bv. bestand aanmaken) binnen RoE.</t>
  </si>
  <si>
    <t xml:space="preserve">Zet visualize uit of voer gegenereerde code in een geisoleerde sandbox uit; behandel LLM-output als onvertrouwd; allowlists voor toegestane functies.</t>
  </si>
  <si>
    <t xml:space="preserve">Alarmeer op uitvoering van gegenereerde code met OS-/netwerkaanroepen.</t>
  </si>
  <si>
    <t xml:space="preserve">CWE-94, CWE-1427</t>
  </si>
  <si>
    <t xml:space="preserve">Vanna (Python) - versies met visualize=True als standaard (gemeld mei 2024)</t>
  </si>
  <si>
    <t xml:space="preserve">Hardening-guidance; sandboxing (geen volledige fix door ontwerp)</t>
  </si>
  <si>
    <t xml:space="preserve">AV-AI-03, AV-AI-01</t>
  </si>
  <si>
    <t xml:space="preserve">OWASP LLM05; MITRE ATLAS AML.T0051; CVSS-bron: CNA</t>
  </si>
  <si>
    <t xml:space="preserve">https://research.jfrog.com/vulnerabilities/vanna-prompt-injection-rce-jfsa-2024-001034449/; https://nvd.nist.gov/vuln/detail/CVE-2024-5565</t>
  </si>
  <si>
    <t xml:space="preserve">CVE-2026-42208</t>
  </si>
  <si>
    <t xml:space="preserve">LiteLLM proxy (AI gateway) - unauthenticated SQL injection in API key verification (ook CVE-2026-59822 MCP auth bypass, CVE-2026-42271)</t>
  </si>
  <si>
    <t xml:space="preserve">De LiteLLM-proxy mengde de door de client opgegeven API-key in de databasequery bij keyverificatie, waardoor een ongeauthenticeerde aanvaller via de Authorization-header SQL-injectie uitvoert en de database met alle provider-keys en virtuele keys uitleest (CVE-2026-42208); later in 2026 volgden een MCP-authenticatiebypass (CVE-2026-59822) en command execution via MCP-testendpoints (CVE-2026-42271).</t>
  </si>
  <si>
    <t xml:space="preserve">Diefstal van alle LLM-provider-credentials (OpenAI, Azure, Anthropic e.a.) en budgetten; toegang tot MCP-tools zonder geldige key.</t>
  </si>
  <si>
    <t xml:space="preserve">Identificeer LiteLLM-proxies (poort 4000, /health, /v1/models) en versies (1.81.16 t/m 1.83.6 kwetsbaar voor 42208; &lt; 1.84.0 voor 59822); PoC alleen niet-destructief binnen RoE.</t>
  </si>
  <si>
    <t xml:space="preserve">Update LiteLLM naar 1.84.0+; roteer alle provider- en virtuele keys bij blootstelling; plaats de gateway achter netwerkbeperkingen; monitor budgetten.</t>
  </si>
  <si>
    <t xml:space="preserve">Alarmeer op Authorization-headers met SQL-metatekens en op afwijkende database-queries; monitor onverwacht modelverbruik.</t>
  </si>
  <si>
    <t xml:space="preserve">CWE-89, CWE-287</t>
  </si>
  <si>
    <t xml:space="preserve">LiteLLM 1.81.16 t/m 1.83.6 (CVE-2026-42208); &lt; 1.84.0 (CVE-2026-59822)</t>
  </si>
  <si>
    <t xml:space="preserve">LiteLLM 1.83.7 / 1.84.0 (mei-juni 2026)</t>
  </si>
  <si>
    <t xml:space="preserve">Ja - KEV sinds 2026-05-08</t>
  </si>
  <si>
    <t xml:space="preserve">In het wild misbruikt (KEV 2026-05-08; 2026-09-02)</t>
  </si>
  <si>
    <t xml:space="preserve">AV-AI-07, AV-AI-04</t>
  </si>
  <si>
    <t xml:space="preserve">KEV; OWASP LLM03/LLM06; CVSS-bron: ADP redhat-SADP; Verwante CVE's zonder eigen rij: CVE-2026-59822, CVE-2026-42271</t>
  </si>
  <si>
    <t xml:space="preserve">https://github.com/BerriAI/litellm/security/advisories/GHSA-r75f-5x8p-qvmc; https://github.com/BerriAI/litellm/releases/tag/v1.83.7-stable; https://nvd.nist.gov/vuln/detail/CVE-2026-42208</t>
  </si>
  <si>
    <t xml:space="preserve">CVE-2026-64849</t>
  </si>
  <si>
    <t xml:space="preserve">MLflow - unauthenticated full-read SSRF in webhook test (redirects / DNS rebinding) exposing cloud credentials</t>
  </si>
  <si>
    <t xml:space="preserve">Het ongeauthenticeerde endpoint POST /api/2.0/mlflow/webhooks/{id}/test valideert alleen de oorspronkelijke URL maar volgt redirects en herresolveert de hostnaam, waardoor een aanvaller interne services en cloud-metadata-endpoints (IMDS) bereikt en de responses terugkrijgt; in augustus 2026 aan KEV toegevoegd.</t>
  </si>
  <si>
    <t xml:space="preserve">Diefstal van cloudcredentials (instance-rollen) en toegang tot interne services vanaf de MLOps-server.</t>
  </si>
  <si>
    <t xml:space="preserve">Identificeer MLflow-tracking-servers (poort 5000) en versies (3.3.0 t/m 3.14.x kwetsbaar); test SSRF met een eigen listener en (indien toegestaan) een lees-only metadata-check binnen RoE.</t>
  </si>
  <si>
    <t xml:space="preserve">Update MLflow naar 3.15.0+, zet authenticatie op de tracking server, IMDSv2 met hop-limit 1, egress-beperking voor de MLflow-host.</t>
  </si>
  <si>
    <t xml:space="preserve">Alarmeer op webhook-testverzoeken van onbekende bronnen en op metadata-toegang vanaf de MLflow-host.</t>
  </si>
  <si>
    <t xml:space="preserve">T1190, T1552.005</t>
  </si>
  <si>
    <t xml:space="preserve">MLflow 3.3.0 t/m 3.14.x</t>
  </si>
  <si>
    <t xml:space="preserve">MLflow 3.15.0 (augustus 2026)</t>
  </si>
  <si>
    <t xml:space="preserve">Ja - KEV sinds 2026-08-19</t>
  </si>
  <si>
    <t xml:space="preserve">In het wild misbruikt (KEV 2026-08-19)</t>
  </si>
  <si>
    <t xml:space="preserve">AV-CLD-05, AV-AI-07, AV-WEB-07</t>
  </si>
  <si>
    <t xml:space="preserve">KEV; OWASP LLM03; CVSS-bron: CNA</t>
  </si>
  <si>
    <t xml:space="preserve">https://github.com/mlflow/mlflow/security/advisories/GHSA-7gwp-5pfp-969j; https://github.com/mlflow/mlflow/issues/24179; https://nvd.nist.gov/vuln/detail/CVE-2026-64849</t>
  </si>
  <si>
    <t xml:space="preserve">CVE-2025-62593</t>
  </si>
  <si>
    <t xml:space="preserve">Ray - RCE via browser DNS rebinding (Firefox/Safari User-Agent bypass)</t>
  </si>
  <si>
    <t xml:space="preserve">De Ray-dashboard/Jobs-API beschermde zich tegen browsergebaseerde aanvallen alleen met een User-Agent-check op 'Mozilla', wat via fetch() te omzeilen is; met DNS rebinding kan een kwaadaardige website vanuit de browser van een ontwikkelaar jobs (willekeurige code) op het lokale Ray-cluster starten. Vervolg op de ShadowRay-campagne (CVE-2023-48022) tegen onbeveiligde Ray-clusters.</t>
  </si>
  <si>
    <t xml:space="preserve">RCE op AI-compute-clusters (GPU's, datasets, cloudcredentials) via een bezochte website of malvertising.</t>
  </si>
  <si>
    <t xml:space="preserve">Identificeer Ray-dashboards (poort 8265) en versies (&lt; 2.52.0 kwetsbaar) en of ze zonder authenticatie bereikbaar zijn vanaf werkplekken/internet.</t>
  </si>
  <si>
    <t xml:space="preserve">Update Ray naar 2.52.0+, bind het dashboard op localhost of achter een authenticerende proxy, blokkeer DNS rebinding (Host-validatie), netwerkisolatie van clusters.</t>
  </si>
  <si>
    <t xml:space="preserve">Alarmeer op job-submissions vanaf onverwachte bronnen en op uitgaande verbindingen van Ray-nodes.</t>
  </si>
  <si>
    <t xml:space="preserve">T1190, T1189</t>
  </si>
  <si>
    <t xml:space="preserve">CWE-94, CWE-352</t>
  </si>
  <si>
    <t xml:space="preserve">Ray &lt; 2.52.0</t>
  </si>
  <si>
    <t xml:space="preserve">Ray 2.52.0 (november 2025)</t>
  </si>
  <si>
    <t xml:space="preserve">Ja - KEV sinds 2026-08-17</t>
  </si>
  <si>
    <t xml:space="preserve">In het wild misbruikt (KEV 2026-08-17); publieke analyse (Oligo)</t>
  </si>
  <si>
    <t xml:space="preserve">AV-AI-07, CVE-2025-49596</t>
  </si>
  <si>
    <t xml:space="preserve">KEV; OWASP LLM03; CVSS-bron: CNA; Verwante CVE's zonder eigen rij: CVE-2023-48022</t>
  </si>
  <si>
    <t xml:space="preserve">https://github.com/ray-project/ray/security/advisories/GHSA-q279-jhrf-cc6v; https://github.com/ray-project/ray/commit/70e7c72780bdec075dba6cad1afe0832772bfe09; https://nvd.nist.gov/vuln/detail/CVE-2025-62593</t>
  </si>
  <si>
    <t xml:space="preserve">CVE-2025-68613</t>
  </si>
  <si>
    <t xml:space="preserve">n8n - workflow expression injection RCE (authenticated)</t>
  </si>
  <si>
    <t xml:space="preserve">De expressie-evaluatie van het workflow-automatiseringsplatform n8n (veel gebruikt voor AI-agent-workflows) was onvoldoende geisoleerd van de Node.js-runtime, waardoor een geauthenticeerde gebruiker die workflows mag bewerken willekeurige code uitvoert met de rechten van het n8n-proces; in maart 2026 aan KEV toegevoegd.</t>
  </si>
  <si>
    <t xml:space="preserve">Volledige compromittering van de automatiseringsserver met alle opgeslagen credentials (SaaS-API's, databases, LLM-keys) van gekoppelde systemen.</t>
  </si>
  <si>
    <t xml:space="preserve">Identificeer n8n-instanties (poort 5678) en versies (0.211.0 t/m 1.120.3 en 1.121.0 kwetsbaar); controleer wie workflows mag aanmaken en of self-signup/publieke toegang aanstaat.</t>
  </si>
  <si>
    <t xml:space="preserve">Update n8n naar 1.120.4 / 1.121.1 / 1.122.0+, beperk workflow-editing tot vertrouwde gebruikers, draai n8n met minimale OS-rechten en netwerkbeperkingen, roteer opgeslagen credentials bij verdenking.</t>
  </si>
  <si>
    <t xml:space="preserve">Alarmeer op child-processen van het n8n-node-proces en op wijzigingen in workflows door onverwachte gebruikers.</t>
  </si>
  <si>
    <t xml:space="preserve">CWE-913, CWE-94</t>
  </si>
  <si>
    <t xml:space="preserve">n8n 0.211.0 t/m 1.120.3 en 1.121.0</t>
  </si>
  <si>
    <t xml:space="preserve">n8n 1.120.4 / 1.121.1 / 1.122.0 (december 2025)</t>
  </si>
  <si>
    <t xml:space="preserve">Ja - KEV sinds 2026-03-11</t>
  </si>
  <si>
    <t xml:space="preserve">In het wild misbruikt (KEV 2026-03-11); publieke PoC</t>
  </si>
  <si>
    <t xml:space="preserve">KEV; OWASP LLM03/LLM06; CVSS-bron: CNA</t>
  </si>
  <si>
    <t xml:space="preserve">https://github.com/n8n-io/n8n/security/advisories/GHSA-v98v-ff95-f3cp; https://github.com/n8n-io/n8n/commit/08f332015153decdda3c37ad4fcb9f7ba13a7c79; https://nvd.nist.gov/vuln/detail/CVE-2025-68613</t>
  </si>
  <si>
    <t xml:space="preserve">Attack-vectors knowledge base - Legenda (versie 0.10.0, 2026-10-09)</t>
  </si>
  <si>
    <t xml:space="preserve">Kolom</t>
  </si>
  <si>
    <t xml:space="preserve">Betekenis</t>
  </si>
  <si>
    <t xml:space="preserve">Waarden / conventie</t>
  </si>
  <si>
    <t xml:space="preserve">Unieke sleutel van de rij.</t>
  </si>
  <si>
    <t xml:space="preserve">AV-&lt;SCOPE&gt;-&lt;nn&gt; voor attack vectors (WEB, API, NET, EXT, AD, CLD, MOB, WIFI, SE, PHY, HOST, AI); CVE-jjjj-nnnnn voor bekende kwetsbaarheden.</t>
  </si>
  <si>
    <t xml:space="preserve">Testscope waarin de vector/kwetsbaarheid typisch wordt aangetroffen.</t>
  </si>
  <si>
    <t xml:space="preserve">Web application | API | Internal network | External network | Active Directory | Cloud | Mobile | Wireless | Social engineering | Physical | Endpoint | AI / LLM</t>
  </si>
  <si>
    <t xml:space="preserve">Korte Engelse naam van de aanvalstechniek of kwetsbaarheid (rapporttitel).</t>
  </si>
  <si>
    <t xml:space="preserve">Vrije tekst; CVE-rijen: "&lt;Product&gt; - &lt;type&gt; (&lt;bijnaam&gt;)".</t>
  </si>
  <si>
    <t xml:space="preserve">Klasse van de bevinding.</t>
  </si>
  <si>
    <t xml:space="preserve">Bv. Authorization, Injection, Configuration, Credential access, Known vulnerability (alle CVE-rijen).</t>
  </si>
  <si>
    <t xml:space="preserve">Fase (MITRE ATT&amp;CK-tactiek) waarin de techniek doorgaans wordt ingezet.</t>
  </si>
  <si>
    <t xml:space="preserve">Reconnaissance | Initial access | Execution | Persistence | Privilege escalation | Defense evasion | Credential access | Discovery | Lateral movement | Collection | Command and control | Impact</t>
  </si>
  <si>
    <t xml:space="preserve">Indicatieve standaardernst voor rapportage; pas aan op context en bewijs.</t>
  </si>
  <si>
    <t xml:space="preserve">Info | Low | Medium | High | Critical. Voor CVE-rijen gebaseerd op praktische pentest-impact; de formele CVSS-score staat in CVSS_score.</t>
  </si>
  <si>
    <t xml:space="preserve">Description / Impact / Test_approach / Remediation / Detection_note</t>
  </si>
  <si>
    <t xml:space="preserve">Rapporttekst (NL, zonder diacritics conform bestaande conventie).</t>
  </si>
  <si>
    <t xml:space="preserve">Test_approach beschrijft een niet-destructieve aanpak binnen de rules of engagement (RoE).</t>
  </si>
  <si>
    <t xml:space="preserve">Mapping op OWASP Top 10 2025.</t>
  </si>
  <si>
    <t xml:space="preserve">A01 Broken Access Control, A02 Security Misconfiguration, A03 Software Supply Chain Failures, A04 Cryptographic Failures, A05 Injection, A06 Insecure Design, A07 Authentication Failures, A08 Software or Data Integrity Failures, A09 Security Logging &amp; Alerting Failures, A10 Mishandling of Exceptional Conditions. CVE-rijen krijgen A03:2025 (kwetsbare component) plus de onderliggende klasse.</t>
  </si>
  <si>
    <t xml:space="preserve">Mapping op OWASP API Security Top 10 2023.</t>
  </si>
  <si>
    <t xml:space="preserve">API1 t/m API10.</t>
  </si>
  <si>
    <t xml:space="preserve">OWASP Web Security Testing Guide test-ID (v4.2 / latest).</t>
  </si>
  <si>
    <t xml:space="preserve">Bv. WSTG-ATHZ-04 (IDOR), WSTG-INPV-05 (SQLi), WSTG-SESS-10 (JWT), WSTG-APIT-01 (GraphQL). Categorie-prefix blijft filterbaar.</t>
  </si>
  <si>
    <t xml:space="preserve">Hoofdstuk van OWASP ASVS 5.0.</t>
  </si>
  <si>
    <t xml:space="preserve">V1 Encoding/Sanitization, V2 Validation/Business Logic, V3 Web Frontend, V4 API/Web Service, V5 File Handling, V6 Authentication, V7 Session, V8 Authorization, V9 Self-contained Tokens, V10 OAuth/OIDC, V11 Cryptography, V12 Secure Communication, V13 Configuration, V14 Data Protection, V15 Secure Coding/Architecture, V16 Logging/Error Handling, V17 WebRTC.</t>
  </si>
  <si>
    <t xml:space="preserve">MITRE ATT&amp;CK techniek-ID(s) (Enterprise; T1660 = Mobile).</t>
  </si>
  <si>
    <t xml:space="preserve">Alleen ingevuld waar een verdedigbare mapping bestaat; applicatiekwetsbaarheden mappen vaak op T1190 (Exploit Public-Facing Application).</t>
  </si>
  <si>
    <t xml:space="preserve">Common Weakness Enumeration.</t>
  </si>
  <si>
    <t xml:space="preserve">Bv. CWE-89; CWE-1427 = Improper Neutralization of Input Used for LLM Prompting.</t>
  </si>
  <si>
    <t xml:space="preserve">Relevante pagina in PayloadsAllTheThings (web) of InternalAllTheThings (AD/cloud/redteam) van swisskyrepo.</t>
  </si>
  <si>
    <t xml:space="preserve">Paginanaam.</t>
  </si>
  <si>
    <t xml:space="preserve">Module van het OffSec PEN-200-curriculum.</t>
  </si>
  <si>
    <t xml:space="preserve">Web attacks | Enumeration | Active Directory | Windows privilege escalation | Linux privilege escalation | Client-side attacks | Password attacks | Public exploits | Tunneling</t>
  </si>
  <si>
    <t xml:space="preserve">CISSP-domein.</t>
  </si>
  <si>
    <t xml:space="preserve">D1 Security &amp; Risk Mgmt, D2 Asset Security, D3 Architecture &amp; Engineering, D4 Communication &amp; Network Security, D5 IAM, D6 Assessment &amp; Testing, D7 Security Operations, D8 Software Development Security.</t>
  </si>
  <si>
    <t xml:space="preserve">Per opdracht in te vullen bewijs (screenshots, request/response, hosts).</t>
  </si>
  <si>
    <t xml:space="preserve">Leeg in de knowledge base.</t>
  </si>
  <si>
    <t xml:space="preserve">CVSS_score / CVSS_vector</t>
  </si>
  <si>
    <t xml:space="preserve">CVSS-basisscore en -vector van de CVE (temporal/threat-metrics verwijderd).</t>
  </si>
  <si>
    <t xml:space="preserve">Bron: CNA (leverancier) of CISA-ADP uit de CVE-records (cvelistV5), zie Other_mapping; afwijkingen t.o.v. NVD zijn vermeld (bv. Zerologon). Controleer bij rapportage altijd de actuele NVD-score.</t>
  </si>
  <si>
    <t xml:space="preserve">Affected_versions / Fixed_in</t>
  </si>
  <si>
    <t xml:space="preserve">Getroffen versies en de release/patch die de kwetsbaarheid verhelpt.</t>
  </si>
  <si>
    <t xml:space="preserve">Samengevat uit het leveranciersadvies; raadpleeg het advies voor volledige build-lijsten.</t>
  </si>
  <si>
    <t xml:space="preserve">Opgenomen in de CISA Known Exploited Vulnerabilities-catalogus (bewijs van misbruik in het wild).</t>
  </si>
  <si>
    <t xml:space="preserve">"Ja - KEV sinds jjjj-mm-dd" of "Nee". Peildatum catalogus: 2026-10-04.</t>
  </si>
  <si>
    <t xml:space="preserve">Beschikbaarheid van publieke exploitcode / status van misbruik.</t>
  </si>
  <si>
    <t xml:space="preserve">Vrije tekst (bv. Metasploit, publieke PoC, in het wild). Geen exploitcode of PoC-links opgenomen.</t>
  </si>
  <si>
    <t xml:space="preserve">Kruisverwijzingen naar andere rijen (AV &lt;-&gt; CVE).</t>
  </si>
  <si>
    <t xml:space="preserve">Kommagescheiden ID's uit deze tabel; alle verwijzingen zijn gevalideerd.</t>
  </si>
  <si>
    <t xml:space="preserve">Overige raamwerken.</t>
  </si>
  <si>
    <t xml:space="preserve">OWASP Mobile Top 10 2024 / MASVS 2.x, OWASP Top 10 for LLM Applications 2025 (LLM01-LLM10), MITRE ATLAS (AML.T*), CIS Benchmarks/Controls, NIST SP 800-63B, Certipy ESC-nummers, ISO 27001-controls.</t>
  </si>
  <si>
    <t xml:space="preserve">Bron voor verificatie (leveranciersadvies, NVD, OWASP, MSRC).</t>
  </si>
  <si>
    <t xml:space="preserve">URL(s), puntkomma-gescheiden.</t>
  </si>
  <si>
    <t xml:space="preserve">Datum laatste review/wijziging van de rij.</t>
  </si>
  <si>
    <t xml:space="preserve">ISO-datum (jjjj-mm-dd).</t>
  </si>
  <si>
    <t xml:space="preserve">Bronnen en peildata</t>
  </si>
  <si>
    <t xml:space="preserve">CVE-records: CVEProject/cvelistV5 (CNA-beschrijvingen, CVSS, CISA-ADP incl. KEV-datum), stand 2026-10-04.</t>
  </si>
  <si>
    <t xml:space="preserve">CISA Known Exploited Vulnerabilities Catalog (via ADP-container in de CVE-records), stand 2026-10-04.</t>
  </si>
  <si>
    <t xml:space="preserve">OWASP Top 10 2025, OWASP API Security Top 10 2023, OWASP WSTG v4.2/latest, OWASP ASVS 5.0, OWASP Mobile Top 10 2024 / MASVS 2.x, OWASP Top 10 for LLM Applications 2025.</t>
  </si>
  <si>
    <t xml:space="preserve">MITRE ATT&amp;CK Enterprise (v17/v18) en MITRE ATLAS.</t>
  </si>
  <si>
    <t xml:space="preserve">Leveranciersadviezen (MSRC, Fortinet PSIRT, Citrix/NetScaler, Ivanti, Palo Alto Networks, Cisco PSIRT, Broadcom/VMware, Atlassian, Oracle CPU, SAP, Adobe, GitLab, JetBrains, JFrog e.a.).</t>
  </si>
  <si>
    <t xml:space="preserve">Severity_default, Test_approach, Remediation en Detection_note zijn redactionele keuzes voor rapportage; CVSS/KEV/versies zijn uit de bronnen overgenomen.</t>
  </si>
  <si>
    <t xml:space="preserve">Versie</t>
  </si>
  <si>
    <t xml:space="preserve">Datum</t>
  </si>
  <si>
    <t xml:space="preserve">Onderdeel</t>
  </si>
  <si>
    <t xml:space="preserve">Wijziging</t>
  </si>
  <si>
    <t xml:space="preserve">0.10.0</t>
  </si>
  <si>
    <t xml:space="preserve">Structuur</t>
  </si>
  <si>
    <t xml:space="preserve">10 kolommen toegevoegd achter Evidence: CVSS_score, CVSS_vector, Affected_versions, Fixed_in, CISA_KEV, Exploit_public, Related_IDs, Other_mapping, References, Last_updated. Bestaande 21 kolommen, volgorde en kopnamen ongewijzigd.</t>
  </si>
  <si>
    <t xml:space="preserve">Kopregel vet met vulling, bevroren eerste rij/kolom (ID), autofilter over de hele tabel; tabbladen Legenda, Changelog en Overzicht toegevoegd.</t>
  </si>
  <si>
    <t xml:space="preserve">Attack vectors</t>
  </si>
  <si>
    <t xml:space="preserve">108 nieuwe AV-rijen (totaal 195): Web +29, API +2, Internal network +14, External network (nieuw) +7, Active Directory +14, Cloud +11, Mobile +4, Wireless +4, Social engineering +5, Physical +4, Endpoint (nieuw) +7, AI / LLM (nieuw) +7.</t>
  </si>
  <si>
    <t xml:space="preserve">Nieuwe scopes: External network (AV-EXT), Endpoint (AV-HOST) en AI / LLM (AV-AI) met mapping op OWASP LLM Top 10 2025 en MITRE ATLAS.</t>
  </si>
  <si>
    <t xml:space="preserve">Bestaande rijen</t>
  </si>
  <si>
    <t xml:space="preserve">WSTG-kolom verfijnd van categorie (bv. WSTG-ATHZ) naar specifieke test-ID's (bv. WSTG-ATHZ-04); reflected/stored XSS verplaatst van WSTG-CLNT naar WSTG-INPV-01/02 conform WSTG.</t>
  </si>
  <si>
    <t xml:space="preserve">MITRE ATT&amp;CK aangevuld waar een verdedigbare mapping bestaat (o.a. SQLi/SSRF/XXE/SSTI -&gt; T1190, file upload -&gt; T1505.003, sessie -&gt; T1539, JWT -&gt; T1606, TLS -&gt; T1557/T1040); AV-AD-08 (ACL abuse) gecorrigeerd naar T1098, T1484.001.</t>
  </si>
  <si>
    <t xml:space="preserve">AV-AD-09 uitgebreid van ESC1-ESC8 naar ESC1-ESC16 (incl. ESC9/10 certificate mapping, ESC15 EKUwu, ESC16) met Certipy-verwijzing; AV-NET-02 uitgebreid met ADIDNS-wildcard-misbruik; AV-WEB-11 hernoemd naar "Path traversal / LFI / RFI"; AV-AD-01 remediation aangevuld met RC4-uitschakeling; AV-CLD-03 uitgebreid met snapshots/SAS-tokens; AV-WEB-18 CWE-1188 toegevoegd.</t>
  </si>
  <si>
    <t xml:space="preserve">Related_IDs en Other_mapping (MASVS / OWASP Mobile Top 10 2024, CIS, Certipy) ingevuld; OWASP_API_2023 aangevuld voor AV-WEB-01/02/12 (IDOR, privesc, auth).</t>
  </si>
  <si>
    <t xml:space="preserve">CVE-rijen</t>
  </si>
  <si>
    <t xml:space="preserve">154 CVE-rijen (was 1). Rij CVE-2020-14008 vertaald naar NL, aangevuld (CVSS 7.2, build 14730, KEV-status, WSTG/CWE/MITRE) en categorie-typo "Known Vulnerabillity" gecorrigeerd naar "Known vulnerability".</t>
  </si>
  <si>
    <t xml:space="preserve">Selectiecriteria: in het wild misbruikt (CISA KEV) en/of structureel aangetroffen in pentests van NL-organisaties; per scope: Active Directory (11), Internal network (25), External network (47), Web application (38), Endpoint (10), Social engineering (5), Cloud (7), AI / LLM (11). 137 van de 154 CVE-rijen staan in de CISA KEV-catalogus. Dekking t/m KEV-toevoegingen van 2026-10-04 (o.a. CVE-2026-104286 FortiMail, CVE-2026-88771 NetScaler, CVE-2026-63030 WordPress, CVE-2026-33824 Windows IKEEXT).</t>
  </si>
  <si>
    <t xml:space="preserve">CVSS-score/-vector, KEV-datum en referenties automatisch overgenomen uit de officiele CVE-records (cvelistV5, CNA en CISA-ADP); temporal-metrics uit vectoren verwijderd. Uitzonderingen gedocumenteerd in Other_mapping (CVE-2020-1472 NVD 10.0 i.p.v. CNA 5.5; CVE-2020-14008 NVD 7.2; CVE-2013-4786 alleen CVSSv2).</t>
  </si>
  <si>
    <t xml:space="preserve">Conventies</t>
  </si>
  <si>
    <t xml:space="preserve">Nederlands zonder diacritics (conform origineel), Engelse vaktermen; geen exploitcode of PoC-links in nieuwe rijen (alleen leveranciers-/NVD-/OWASP-referenties). Test_approach beschrijft niet-destructieve verificatie binnen RoE.</t>
  </si>
  <si>
    <t xml:space="preserve">Aandachtspunten</t>
  </si>
  <si>
    <t xml:space="preserve">Controleer bij rapportage de actuele NVD-score en het leveranciersadvies; versienummers zijn samengevat. Severity_default is indicatief. Rijen met Last_updated 2026-10-09 zijn allemaal gereviewd in deze release.</t>
  </si>
  <si>
    <t xml:space="preserve">0.9.1</t>
  </si>
  <si>
    <t xml:space="preserve">Basis</t>
  </si>
  <si>
    <t xml:space="preserve">Oorspronkelijke knowledge base: 87 attack vectors (9 scopes) en 1 CVE-rij.</t>
  </si>
  <si>
    <t xml:space="preserve">Overzicht aantallen per scope en Severity_default (formules op tabblad attack-vectors-knowledge-base)</t>
  </si>
  <si>
    <t xml:space="preserve">Totaal</t>
  </si>
  <si>
    <t xml:space="preserve">waarvan CVE-rijen</t>
  </si>
  <si>
    <t xml:space="preserve">waarvan in KEV</t>
  </si>
  <si>
    <t xml:space="preserve">Controle: aantal rijen met ID in hoofdtabel</t>
  </si>
  <si>
    <t xml:space="preserve">Controle: aantal CVE-rijen (ID begint met CVE-)</t>
  </si>
  <si>
    <t xml:space="preserve">Controle: aantal rijen in KEV</t>
  </si>
</sst>
</file>

<file path=xl/styles.xml><?xml version="1.0" encoding="utf-8"?>
<styleSheet xmlns="http://schemas.openxmlformats.org/spreadsheetml/2006/main">
  <numFmts count="2">
    <numFmt numFmtId="164" formatCode="General"/>
    <numFmt numFmtId="165" formatCode="0.0"/>
  </numFmts>
  <fonts count="6">
    <font>
      <sz val="11"/>
      <color theme="1"/>
      <name val="Calibri"/>
      <family val="2"/>
      <charset val="1"/>
    </font>
    <font>
      <sz val="10"/>
      <name val="Arial"/>
      <family val="0"/>
    </font>
    <font>
      <sz val="10"/>
      <name val="Arial"/>
      <family val="0"/>
    </font>
    <font>
      <sz val="10"/>
      <name val="Arial"/>
      <family val="0"/>
    </font>
    <font>
      <b val="true"/>
      <sz val="12"/>
      <name val="Aptos Narrow"/>
      <family val="0"/>
      <charset val="1"/>
    </font>
    <font>
      <sz val="12"/>
      <name val="Aptos Narrow"/>
      <family val="0"/>
      <charset val="1"/>
    </font>
  </fonts>
  <fills count="3">
    <fill>
      <patternFill patternType="none"/>
    </fill>
    <fill>
      <patternFill patternType="gray125"/>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D9E1F2"/>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83"/>
    <col collapsed="false" customWidth="true" hidden="false" outlineLevel="0" max="2" min="2" style="0" width="15.83"/>
    <col collapsed="false" customWidth="true" hidden="false" outlineLevel="0" max="3" min="3" style="0" width="39.51"/>
    <col collapsed="false" customWidth="true" hidden="false" outlineLevel="0" max="4" min="4" style="0" width="20.83"/>
    <col collapsed="false" customWidth="true" hidden="false" outlineLevel="0" max="5" min="5" style="0" width="17"/>
    <col collapsed="false" customWidth="true" hidden="false" outlineLevel="0" max="6" min="6" style="0" width="14.16"/>
    <col collapsed="false" customWidth="true" hidden="false" outlineLevel="0" max="7" min="7" style="0" width="107"/>
    <col collapsed="false" customWidth="true" hidden="false" outlineLevel="0" max="8" min="8" style="0" width="64.83"/>
    <col collapsed="false" customWidth="true" hidden="false" outlineLevel="0" max="9" min="9" style="0" width="107.5"/>
    <col collapsed="false" customWidth="true" hidden="false" outlineLevel="0" max="10" min="10" style="0" width="70"/>
    <col collapsed="false" customWidth="true" hidden="false" outlineLevel="0" max="11" min="11" style="0" width="62.16"/>
    <col collapsed="false" customWidth="true" hidden="false" outlineLevel="0" max="12" min="12" style="0" width="17.83"/>
    <col collapsed="false" customWidth="true" hidden="false" outlineLevel="0" max="13" min="13" style="0" width="15.33"/>
    <col collapsed="false" customWidth="true" hidden="false" outlineLevel="0" max="14" min="14" style="0" width="11.67"/>
    <col collapsed="false" customWidth="true" hidden="false" outlineLevel="0" max="15" min="15" style="0" width="8.5"/>
    <col collapsed="false" customWidth="true" hidden="false" outlineLevel="0" max="16" min="16" style="0" width="17.5"/>
    <col collapsed="false" customWidth="true" hidden="false" outlineLevel="0" max="17" min="17" style="0" width="22"/>
    <col collapsed="false" customWidth="true" hidden="false" outlineLevel="0" max="18" min="18" style="0" width="38"/>
    <col collapsed="false" customWidth="true" hidden="false" outlineLevel="0" max="19" min="19" style="0" width="14.16"/>
    <col collapsed="false" customWidth="true" hidden="false" outlineLevel="0" max="20" min="20" style="0" width="12.83"/>
    <col collapsed="false" customWidth="true" hidden="false" outlineLevel="0" max="21" min="21" style="0" width="14"/>
    <col collapsed="false" customWidth="true" hidden="false" outlineLevel="0" max="22" min="22" style="0" width="11"/>
    <col collapsed="false" customWidth="true" hidden="false" outlineLevel="0" max="23" min="23" style="0" width="46"/>
    <col collapsed="false" customWidth="true" hidden="false" outlineLevel="0" max="24" min="24" style="0" width="80"/>
    <col collapsed="false" customWidth="true" hidden="false" outlineLevel="0" max="25" min="25" style="0" width="60"/>
    <col collapsed="false" customWidth="true" hidden="false" outlineLevel="0" max="26" min="26" style="0" width="26"/>
    <col collapsed="false" customWidth="true" hidden="false" outlineLevel="0" max="27" min="27" style="0" width="40"/>
    <col collapsed="false" customWidth="true" hidden="false" outlineLevel="0" max="28" min="28" style="0" width="55"/>
    <col collapsed="false" customWidth="true" hidden="false" outlineLevel="0" max="29" min="29" style="0" width="50"/>
    <col collapsed="false" customWidth="true" hidden="false" outlineLevel="0" max="30" min="30" style="0" width="70"/>
    <col collapsed="false" customWidth="true" hidden="false" outlineLevel="0" max="31" min="31" style="0" width="13"/>
  </cols>
  <sheetData>
    <row r="1" customFormat="false" ht="19.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ustomFormat="false" ht="15" hidden="false" customHeight="false" outlineLevel="0" collapsed="false">
      <c r="A2" s="2" t="s">
        <v>31</v>
      </c>
      <c r="B2" s="2" t="s">
        <v>32</v>
      </c>
      <c r="C2" s="2" t="s">
        <v>33</v>
      </c>
      <c r="D2" s="2" t="s">
        <v>34</v>
      </c>
      <c r="E2" s="2" t="s">
        <v>35</v>
      </c>
      <c r="F2" s="3" t="s">
        <v>36</v>
      </c>
      <c r="G2" s="2" t="s">
        <v>37</v>
      </c>
      <c r="H2" s="2" t="s">
        <v>38</v>
      </c>
      <c r="I2" s="2" t="s">
        <v>39</v>
      </c>
      <c r="J2" s="2" t="s">
        <v>40</v>
      </c>
      <c r="K2" s="2" t="s">
        <v>41</v>
      </c>
      <c r="L2" s="2" t="s">
        <v>42</v>
      </c>
      <c r="M2" s="2" t="s">
        <v>43</v>
      </c>
      <c r="N2" s="2" t="s">
        <v>44</v>
      </c>
      <c r="O2" s="3" t="s">
        <v>45</v>
      </c>
      <c r="P2" s="2" t="s">
        <v>46</v>
      </c>
      <c r="Q2" s="2" t="s">
        <v>47</v>
      </c>
      <c r="R2" s="2" t="s">
        <v>48</v>
      </c>
      <c r="S2" s="2" t="s">
        <v>49</v>
      </c>
      <c r="T2" s="3" t="s">
        <v>50</v>
      </c>
      <c r="U2" s="2"/>
      <c r="V2" s="2"/>
      <c r="W2" s="2"/>
      <c r="X2" s="2"/>
      <c r="Y2" s="2"/>
      <c r="Z2" s="2"/>
      <c r="AA2" s="2"/>
      <c r="AB2" s="2" t="s">
        <v>51</v>
      </c>
      <c r="AC2" s="2"/>
      <c r="AD2" s="2" t="s">
        <v>52</v>
      </c>
      <c r="AE2" s="3" t="s">
        <v>53</v>
      </c>
    </row>
    <row r="3" customFormat="false" ht="15" hidden="false" customHeight="false" outlineLevel="0" collapsed="false">
      <c r="A3" s="2" t="s">
        <v>54</v>
      </c>
      <c r="B3" s="2" t="s">
        <v>32</v>
      </c>
      <c r="C3" s="2" t="s">
        <v>55</v>
      </c>
      <c r="D3" s="2" t="s">
        <v>34</v>
      </c>
      <c r="E3" s="2" t="s">
        <v>35</v>
      </c>
      <c r="F3" s="3" t="s">
        <v>36</v>
      </c>
      <c r="G3" s="2" t="s">
        <v>56</v>
      </c>
      <c r="H3" s="2" t="s">
        <v>57</v>
      </c>
      <c r="I3" s="2" t="s">
        <v>58</v>
      </c>
      <c r="J3" s="2" t="s">
        <v>59</v>
      </c>
      <c r="K3" s="2" t="s">
        <v>60</v>
      </c>
      <c r="L3" s="2" t="s">
        <v>42</v>
      </c>
      <c r="M3" s="2" t="s">
        <v>61</v>
      </c>
      <c r="N3" s="2" t="s">
        <v>62</v>
      </c>
      <c r="O3" s="3" t="s">
        <v>45</v>
      </c>
      <c r="P3" s="2" t="s">
        <v>63</v>
      </c>
      <c r="Q3" s="2" t="s">
        <v>64</v>
      </c>
      <c r="R3" s="2" t="s">
        <v>65</v>
      </c>
      <c r="S3" s="2" t="s">
        <v>49</v>
      </c>
      <c r="T3" s="3" t="s">
        <v>50</v>
      </c>
      <c r="U3" s="2"/>
      <c r="V3" s="2"/>
      <c r="W3" s="2"/>
      <c r="X3" s="2"/>
      <c r="Y3" s="2"/>
      <c r="Z3" s="2"/>
      <c r="AA3" s="2"/>
      <c r="AB3" s="2" t="s">
        <v>66</v>
      </c>
      <c r="AC3" s="2"/>
      <c r="AD3" s="2"/>
      <c r="AE3" s="3" t="s">
        <v>53</v>
      </c>
    </row>
    <row r="4" customFormat="false" ht="15" hidden="false" customHeight="false" outlineLevel="0" collapsed="false">
      <c r="A4" s="2" t="s">
        <v>67</v>
      </c>
      <c r="B4" s="2" t="s">
        <v>32</v>
      </c>
      <c r="C4" s="2" t="s">
        <v>68</v>
      </c>
      <c r="D4" s="2" t="s">
        <v>69</v>
      </c>
      <c r="E4" s="2" t="s">
        <v>70</v>
      </c>
      <c r="F4" s="3" t="s">
        <v>36</v>
      </c>
      <c r="G4" s="2" t="s">
        <v>71</v>
      </c>
      <c r="H4" s="2" t="s">
        <v>72</v>
      </c>
      <c r="I4" s="2" t="s">
        <v>73</v>
      </c>
      <c r="J4" s="2" t="s">
        <v>74</v>
      </c>
      <c r="K4" s="2" t="s">
        <v>75</v>
      </c>
      <c r="L4" s="2" t="s">
        <v>76</v>
      </c>
      <c r="M4" s="2"/>
      <c r="N4" s="2" t="s">
        <v>77</v>
      </c>
      <c r="O4" s="3" t="s">
        <v>78</v>
      </c>
      <c r="P4" s="2" t="s">
        <v>79</v>
      </c>
      <c r="Q4" s="2" t="s">
        <v>80</v>
      </c>
      <c r="R4" s="2" t="s">
        <v>81</v>
      </c>
      <c r="S4" s="2" t="s">
        <v>49</v>
      </c>
      <c r="T4" s="3" t="s">
        <v>82</v>
      </c>
      <c r="U4" s="2"/>
      <c r="V4" s="2"/>
      <c r="W4" s="2"/>
      <c r="X4" s="2"/>
      <c r="Y4" s="2"/>
      <c r="Z4" s="2"/>
      <c r="AA4" s="2"/>
      <c r="AB4" s="2" t="s">
        <v>83</v>
      </c>
      <c r="AC4" s="2"/>
      <c r="AD4" s="2"/>
      <c r="AE4" s="3" t="s">
        <v>53</v>
      </c>
    </row>
    <row r="5" customFormat="false" ht="15" hidden="false" customHeight="false" outlineLevel="0" collapsed="false">
      <c r="A5" s="2" t="s">
        <v>84</v>
      </c>
      <c r="B5" s="2" t="s">
        <v>32</v>
      </c>
      <c r="C5" s="2" t="s">
        <v>85</v>
      </c>
      <c r="D5" s="2" t="s">
        <v>69</v>
      </c>
      <c r="E5" s="2" t="s">
        <v>70</v>
      </c>
      <c r="F5" s="3" t="s">
        <v>86</v>
      </c>
      <c r="G5" s="2" t="s">
        <v>87</v>
      </c>
      <c r="H5" s="2" t="s">
        <v>88</v>
      </c>
      <c r="I5" s="2" t="s">
        <v>89</v>
      </c>
      <c r="J5" s="2" t="s">
        <v>90</v>
      </c>
      <c r="K5" s="2" t="s">
        <v>91</v>
      </c>
      <c r="L5" s="2" t="s">
        <v>76</v>
      </c>
      <c r="M5" s="2"/>
      <c r="N5" s="2" t="s">
        <v>92</v>
      </c>
      <c r="O5" s="3" t="s">
        <v>93</v>
      </c>
      <c r="P5" s="2" t="s">
        <v>94</v>
      </c>
      <c r="Q5" s="2" t="s">
        <v>95</v>
      </c>
      <c r="R5" s="2" t="s">
        <v>96</v>
      </c>
      <c r="S5" s="2" t="s">
        <v>49</v>
      </c>
      <c r="T5" s="3" t="s">
        <v>82</v>
      </c>
      <c r="U5" s="2"/>
      <c r="V5" s="2"/>
      <c r="W5" s="2"/>
      <c r="X5" s="2"/>
      <c r="Y5" s="2"/>
      <c r="Z5" s="2"/>
      <c r="AA5" s="2"/>
      <c r="AB5" s="2" t="s">
        <v>97</v>
      </c>
      <c r="AC5" s="2"/>
      <c r="AD5" s="2"/>
      <c r="AE5" s="3" t="s">
        <v>53</v>
      </c>
    </row>
    <row r="6" customFormat="false" ht="15" hidden="false" customHeight="false" outlineLevel="0" collapsed="false">
      <c r="A6" s="2" t="s">
        <v>98</v>
      </c>
      <c r="B6" s="2" t="s">
        <v>32</v>
      </c>
      <c r="C6" s="2" t="s">
        <v>99</v>
      </c>
      <c r="D6" s="2" t="s">
        <v>100</v>
      </c>
      <c r="E6" s="2" t="s">
        <v>70</v>
      </c>
      <c r="F6" s="3" t="s">
        <v>101</v>
      </c>
      <c r="G6" s="2" t="s">
        <v>102</v>
      </c>
      <c r="H6" s="2" t="s">
        <v>103</v>
      </c>
      <c r="I6" s="2" t="s">
        <v>104</v>
      </c>
      <c r="J6" s="2" t="s">
        <v>105</v>
      </c>
      <c r="K6" s="2" t="s">
        <v>106</v>
      </c>
      <c r="L6" s="2" t="s">
        <v>76</v>
      </c>
      <c r="M6" s="2"/>
      <c r="N6" s="2" t="s">
        <v>107</v>
      </c>
      <c r="O6" s="3" t="s">
        <v>108</v>
      </c>
      <c r="P6" s="2" t="s">
        <v>109</v>
      </c>
      <c r="Q6" s="2" t="s">
        <v>110</v>
      </c>
      <c r="R6" s="2" t="s">
        <v>111</v>
      </c>
      <c r="S6" s="2" t="s">
        <v>49</v>
      </c>
      <c r="T6" s="3" t="s">
        <v>82</v>
      </c>
      <c r="U6" s="2"/>
      <c r="V6" s="2"/>
      <c r="W6" s="2"/>
      <c r="X6" s="2"/>
      <c r="Y6" s="2"/>
      <c r="Z6" s="2"/>
      <c r="AA6" s="2"/>
      <c r="AB6" s="2" t="s">
        <v>112</v>
      </c>
      <c r="AC6" s="2"/>
      <c r="AD6" s="2"/>
      <c r="AE6" s="3" t="s">
        <v>53</v>
      </c>
    </row>
    <row r="7" customFormat="false" ht="15" hidden="false" customHeight="false" outlineLevel="0" collapsed="false">
      <c r="A7" s="2" t="s">
        <v>113</v>
      </c>
      <c r="B7" s="2" t="s">
        <v>32</v>
      </c>
      <c r="C7" s="2" t="s">
        <v>114</v>
      </c>
      <c r="D7" s="2" t="s">
        <v>100</v>
      </c>
      <c r="E7" s="2" t="s">
        <v>70</v>
      </c>
      <c r="F7" s="3" t="s">
        <v>36</v>
      </c>
      <c r="G7" s="2" t="s">
        <v>115</v>
      </c>
      <c r="H7" s="2" t="s">
        <v>116</v>
      </c>
      <c r="I7" s="2" t="s">
        <v>117</v>
      </c>
      <c r="J7" s="2" t="s">
        <v>118</v>
      </c>
      <c r="K7" s="2" t="s">
        <v>119</v>
      </c>
      <c r="L7" s="2" t="s">
        <v>76</v>
      </c>
      <c r="M7" s="2"/>
      <c r="N7" s="2" t="s">
        <v>120</v>
      </c>
      <c r="O7" s="3" t="s">
        <v>108</v>
      </c>
      <c r="P7" s="2" t="s">
        <v>109</v>
      </c>
      <c r="Q7" s="2" t="s">
        <v>110</v>
      </c>
      <c r="R7" s="2" t="s">
        <v>111</v>
      </c>
      <c r="S7" s="2" t="s">
        <v>49</v>
      </c>
      <c r="T7" s="3" t="s">
        <v>82</v>
      </c>
      <c r="U7" s="2"/>
      <c r="V7" s="2"/>
      <c r="W7" s="2"/>
      <c r="X7" s="2"/>
      <c r="Y7" s="2"/>
      <c r="Z7" s="2"/>
      <c r="AA7" s="2"/>
      <c r="AB7" s="2" t="s">
        <v>121</v>
      </c>
      <c r="AC7" s="2"/>
      <c r="AD7" s="2"/>
      <c r="AE7" s="3" t="s">
        <v>53</v>
      </c>
    </row>
    <row r="8" customFormat="false" ht="15" hidden="false" customHeight="false" outlineLevel="0" collapsed="false">
      <c r="A8" s="2" t="s">
        <v>122</v>
      </c>
      <c r="B8" s="2" t="s">
        <v>32</v>
      </c>
      <c r="C8" s="2" t="s">
        <v>123</v>
      </c>
      <c r="D8" s="2" t="s">
        <v>124</v>
      </c>
      <c r="E8" s="2" t="s">
        <v>125</v>
      </c>
      <c r="F8" s="3" t="s">
        <v>36</v>
      </c>
      <c r="G8" s="2" t="s">
        <v>126</v>
      </c>
      <c r="H8" s="2" t="s">
        <v>127</v>
      </c>
      <c r="I8" s="2" t="s">
        <v>128</v>
      </c>
      <c r="J8" s="2" t="s">
        <v>129</v>
      </c>
      <c r="K8" s="2" t="s">
        <v>130</v>
      </c>
      <c r="L8" s="2" t="s">
        <v>42</v>
      </c>
      <c r="M8" s="2"/>
      <c r="N8" s="2" t="s">
        <v>131</v>
      </c>
      <c r="O8" s="3" t="s">
        <v>132</v>
      </c>
      <c r="P8" s="2" t="s">
        <v>79</v>
      </c>
      <c r="Q8" s="2" t="s">
        <v>133</v>
      </c>
      <c r="R8" s="2" t="s">
        <v>134</v>
      </c>
      <c r="S8" s="2" t="s">
        <v>49</v>
      </c>
      <c r="T8" s="3" t="s">
        <v>82</v>
      </c>
      <c r="U8" s="2"/>
      <c r="V8" s="2"/>
      <c r="W8" s="2"/>
      <c r="X8" s="2"/>
      <c r="Y8" s="2"/>
      <c r="Z8" s="2"/>
      <c r="AA8" s="2"/>
      <c r="AB8" s="2" t="s">
        <v>135</v>
      </c>
      <c r="AC8" s="2"/>
      <c r="AD8" s="2"/>
      <c r="AE8" s="3" t="s">
        <v>53</v>
      </c>
    </row>
    <row r="9" customFormat="false" ht="15" hidden="false" customHeight="false" outlineLevel="0" collapsed="false">
      <c r="A9" s="2" t="s">
        <v>136</v>
      </c>
      <c r="B9" s="2" t="s">
        <v>32</v>
      </c>
      <c r="C9" s="2" t="s">
        <v>137</v>
      </c>
      <c r="D9" s="2" t="s">
        <v>69</v>
      </c>
      <c r="E9" s="2" t="s">
        <v>70</v>
      </c>
      <c r="F9" s="3" t="s">
        <v>36</v>
      </c>
      <c r="G9" s="2" t="s">
        <v>138</v>
      </c>
      <c r="H9" s="2" t="s">
        <v>139</v>
      </c>
      <c r="I9" s="2" t="s">
        <v>140</v>
      </c>
      <c r="J9" s="2" t="s">
        <v>141</v>
      </c>
      <c r="K9" s="2" t="s">
        <v>142</v>
      </c>
      <c r="L9" s="2" t="s">
        <v>76</v>
      </c>
      <c r="M9" s="2"/>
      <c r="N9" s="2" t="s">
        <v>143</v>
      </c>
      <c r="O9" s="3" t="s">
        <v>93</v>
      </c>
      <c r="P9" s="2" t="s">
        <v>79</v>
      </c>
      <c r="Q9" s="2" t="s">
        <v>144</v>
      </c>
      <c r="R9" s="2" t="s">
        <v>145</v>
      </c>
      <c r="S9" s="2" t="s">
        <v>49</v>
      </c>
      <c r="T9" s="3" t="s">
        <v>82</v>
      </c>
      <c r="U9" s="2"/>
      <c r="V9" s="2"/>
      <c r="W9" s="2"/>
      <c r="X9" s="2"/>
      <c r="Y9" s="2"/>
      <c r="Z9" s="2"/>
      <c r="AA9" s="2"/>
      <c r="AB9" s="2" t="s">
        <v>146</v>
      </c>
      <c r="AC9" s="2"/>
      <c r="AD9" s="2"/>
      <c r="AE9" s="3" t="s">
        <v>53</v>
      </c>
    </row>
    <row r="10" customFormat="false" ht="15" hidden="false" customHeight="false" outlineLevel="0" collapsed="false">
      <c r="A10" s="2" t="s">
        <v>147</v>
      </c>
      <c r="B10" s="2" t="s">
        <v>32</v>
      </c>
      <c r="C10" s="2" t="s">
        <v>148</v>
      </c>
      <c r="D10" s="2" t="s">
        <v>149</v>
      </c>
      <c r="E10" s="2" t="s">
        <v>70</v>
      </c>
      <c r="F10" s="3" t="s">
        <v>36</v>
      </c>
      <c r="G10" s="2" t="s">
        <v>150</v>
      </c>
      <c r="H10" s="2" t="s">
        <v>151</v>
      </c>
      <c r="I10" s="2" t="s">
        <v>152</v>
      </c>
      <c r="J10" s="2" t="s">
        <v>153</v>
      </c>
      <c r="K10" s="2" t="s">
        <v>154</v>
      </c>
      <c r="L10" s="2" t="s">
        <v>155</v>
      </c>
      <c r="M10" s="2"/>
      <c r="N10" s="2" t="s">
        <v>156</v>
      </c>
      <c r="O10" s="3" t="s">
        <v>93</v>
      </c>
      <c r="P10" s="2" t="s">
        <v>79</v>
      </c>
      <c r="Q10" s="2" t="s">
        <v>157</v>
      </c>
      <c r="R10" s="2" t="s">
        <v>158</v>
      </c>
      <c r="S10" s="2" t="s">
        <v>49</v>
      </c>
      <c r="T10" s="3" t="s">
        <v>82</v>
      </c>
      <c r="U10" s="2"/>
      <c r="V10" s="2"/>
      <c r="W10" s="2"/>
      <c r="X10" s="2"/>
      <c r="Y10" s="2"/>
      <c r="Z10" s="2"/>
      <c r="AA10" s="2"/>
      <c r="AB10" s="2" t="s">
        <v>159</v>
      </c>
      <c r="AC10" s="2"/>
      <c r="AD10" s="2"/>
      <c r="AE10" s="3" t="s">
        <v>53</v>
      </c>
    </row>
    <row r="11" customFormat="false" ht="15" hidden="false" customHeight="false" outlineLevel="0" collapsed="false">
      <c r="A11" s="2" t="s">
        <v>160</v>
      </c>
      <c r="B11" s="2" t="s">
        <v>32</v>
      </c>
      <c r="C11" s="2" t="s">
        <v>161</v>
      </c>
      <c r="D11" s="2" t="s">
        <v>162</v>
      </c>
      <c r="E11" s="2" t="s">
        <v>70</v>
      </c>
      <c r="F11" s="3" t="s">
        <v>36</v>
      </c>
      <c r="G11" s="2" t="s">
        <v>163</v>
      </c>
      <c r="H11" s="2" t="s">
        <v>164</v>
      </c>
      <c r="I11" s="2" t="s">
        <v>165</v>
      </c>
      <c r="J11" s="2" t="s">
        <v>166</v>
      </c>
      <c r="K11" s="2" t="s">
        <v>167</v>
      </c>
      <c r="L11" s="2" t="s">
        <v>76</v>
      </c>
      <c r="M11" s="2"/>
      <c r="N11" s="2" t="s">
        <v>168</v>
      </c>
      <c r="O11" s="3" t="s">
        <v>169</v>
      </c>
      <c r="P11" s="2" t="s">
        <v>170</v>
      </c>
      <c r="Q11" s="2" t="s">
        <v>171</v>
      </c>
      <c r="R11" s="2" t="s">
        <v>172</v>
      </c>
      <c r="S11" s="2" t="s">
        <v>49</v>
      </c>
      <c r="T11" s="3" t="s">
        <v>82</v>
      </c>
      <c r="U11" s="2"/>
      <c r="V11" s="2"/>
      <c r="W11" s="2"/>
      <c r="X11" s="2"/>
      <c r="Y11" s="2"/>
      <c r="Z11" s="2"/>
      <c r="AA11" s="2"/>
      <c r="AB11" s="2" t="s">
        <v>173</v>
      </c>
      <c r="AC11" s="2"/>
      <c r="AD11" s="2"/>
      <c r="AE11" s="3" t="s">
        <v>53</v>
      </c>
    </row>
    <row r="12" customFormat="false" ht="15" hidden="false" customHeight="false" outlineLevel="0" collapsed="false">
      <c r="A12" s="2" t="s">
        <v>174</v>
      </c>
      <c r="B12" s="2" t="s">
        <v>32</v>
      </c>
      <c r="C12" s="2" t="s">
        <v>175</v>
      </c>
      <c r="D12" s="2" t="s">
        <v>124</v>
      </c>
      <c r="E12" s="2" t="s">
        <v>125</v>
      </c>
      <c r="F12" s="3" t="s">
        <v>36</v>
      </c>
      <c r="G12" s="2" t="s">
        <v>176</v>
      </c>
      <c r="H12" s="2" t="s">
        <v>177</v>
      </c>
      <c r="I12" s="2" t="s">
        <v>178</v>
      </c>
      <c r="J12" s="2" t="s">
        <v>179</v>
      </c>
      <c r="K12" s="2" t="s">
        <v>180</v>
      </c>
      <c r="L12" s="2" t="s">
        <v>42</v>
      </c>
      <c r="M12" s="2"/>
      <c r="N12" s="2" t="s">
        <v>181</v>
      </c>
      <c r="O12" s="3" t="s">
        <v>169</v>
      </c>
      <c r="P12" s="2" t="s">
        <v>182</v>
      </c>
      <c r="Q12" s="2" t="s">
        <v>183</v>
      </c>
      <c r="R12" s="2" t="s">
        <v>184</v>
      </c>
      <c r="S12" s="2" t="s">
        <v>49</v>
      </c>
      <c r="T12" s="3" t="s">
        <v>82</v>
      </c>
      <c r="U12" s="2"/>
      <c r="V12" s="2"/>
      <c r="W12" s="2"/>
      <c r="X12" s="2"/>
      <c r="Y12" s="2"/>
      <c r="Z12" s="2"/>
      <c r="AA12" s="2"/>
      <c r="AB12" s="2" t="s">
        <v>185</v>
      </c>
      <c r="AC12" s="2"/>
      <c r="AD12" s="2"/>
      <c r="AE12" s="3" t="s">
        <v>53</v>
      </c>
    </row>
    <row r="13" customFormat="false" ht="15" hidden="false" customHeight="false" outlineLevel="0" collapsed="false">
      <c r="A13" s="2" t="s">
        <v>186</v>
      </c>
      <c r="B13" s="2" t="s">
        <v>32</v>
      </c>
      <c r="C13" s="2" t="s">
        <v>187</v>
      </c>
      <c r="D13" s="2" t="s">
        <v>188</v>
      </c>
      <c r="E13" s="2" t="s">
        <v>189</v>
      </c>
      <c r="F13" s="3" t="s">
        <v>36</v>
      </c>
      <c r="G13" s="2" t="s">
        <v>190</v>
      </c>
      <c r="H13" s="2" t="s">
        <v>191</v>
      </c>
      <c r="I13" s="2" t="s">
        <v>192</v>
      </c>
      <c r="J13" s="2" t="s">
        <v>193</v>
      </c>
      <c r="K13" s="2" t="s">
        <v>194</v>
      </c>
      <c r="L13" s="2" t="s">
        <v>195</v>
      </c>
      <c r="M13" s="2" t="s">
        <v>196</v>
      </c>
      <c r="N13" s="2" t="s">
        <v>197</v>
      </c>
      <c r="O13" s="3" t="s">
        <v>198</v>
      </c>
      <c r="P13" s="2" t="s">
        <v>199</v>
      </c>
      <c r="Q13" s="2" t="s">
        <v>200</v>
      </c>
      <c r="R13" s="2" t="s">
        <v>201</v>
      </c>
      <c r="S13" s="2" t="s">
        <v>49</v>
      </c>
      <c r="T13" s="3" t="s">
        <v>50</v>
      </c>
      <c r="U13" s="2"/>
      <c r="V13" s="2"/>
      <c r="W13" s="2"/>
      <c r="X13" s="2"/>
      <c r="Y13" s="2"/>
      <c r="Z13" s="2"/>
      <c r="AA13" s="2"/>
      <c r="AB13" s="2" t="s">
        <v>202</v>
      </c>
      <c r="AC13" s="2"/>
      <c r="AD13" s="2"/>
      <c r="AE13" s="3" t="s">
        <v>53</v>
      </c>
    </row>
    <row r="14" customFormat="false" ht="15" hidden="false" customHeight="false" outlineLevel="0" collapsed="false">
      <c r="A14" s="2" t="s">
        <v>203</v>
      </c>
      <c r="B14" s="2" t="s">
        <v>32</v>
      </c>
      <c r="C14" s="2" t="s">
        <v>204</v>
      </c>
      <c r="D14" s="2" t="s">
        <v>205</v>
      </c>
      <c r="E14" s="2" t="s">
        <v>189</v>
      </c>
      <c r="F14" s="3" t="s">
        <v>101</v>
      </c>
      <c r="G14" s="2" t="s">
        <v>206</v>
      </c>
      <c r="H14" s="2" t="s">
        <v>207</v>
      </c>
      <c r="I14" s="2" t="s">
        <v>208</v>
      </c>
      <c r="J14" s="2" t="s">
        <v>209</v>
      </c>
      <c r="K14" s="2" t="s">
        <v>210</v>
      </c>
      <c r="L14" s="2" t="s">
        <v>195</v>
      </c>
      <c r="M14" s="2"/>
      <c r="N14" s="2" t="s">
        <v>211</v>
      </c>
      <c r="O14" s="3" t="s">
        <v>212</v>
      </c>
      <c r="P14" s="2" t="s">
        <v>213</v>
      </c>
      <c r="Q14" s="2" t="s">
        <v>214</v>
      </c>
      <c r="R14" s="2" t="s">
        <v>215</v>
      </c>
      <c r="S14" s="2" t="s">
        <v>49</v>
      </c>
      <c r="T14" s="3" t="s">
        <v>50</v>
      </c>
      <c r="U14" s="2"/>
      <c r="V14" s="2"/>
      <c r="W14" s="2"/>
      <c r="X14" s="2"/>
      <c r="Y14" s="2"/>
      <c r="Z14" s="2"/>
      <c r="AA14" s="2"/>
      <c r="AB14" s="2" t="s">
        <v>216</v>
      </c>
      <c r="AC14" s="2"/>
      <c r="AD14" s="2"/>
      <c r="AE14" s="3" t="s">
        <v>53</v>
      </c>
    </row>
    <row r="15" customFormat="false" ht="15" hidden="false" customHeight="false" outlineLevel="0" collapsed="false">
      <c r="A15" s="2" t="s">
        <v>217</v>
      </c>
      <c r="B15" s="2" t="s">
        <v>32</v>
      </c>
      <c r="C15" s="2" t="s">
        <v>218</v>
      </c>
      <c r="D15" s="2" t="s">
        <v>219</v>
      </c>
      <c r="E15" s="2" t="s">
        <v>189</v>
      </c>
      <c r="F15" s="3" t="s">
        <v>36</v>
      </c>
      <c r="G15" s="2" t="s">
        <v>220</v>
      </c>
      <c r="H15" s="2" t="s">
        <v>221</v>
      </c>
      <c r="I15" s="2" t="s">
        <v>222</v>
      </c>
      <c r="J15" s="2" t="s">
        <v>223</v>
      </c>
      <c r="K15" s="2" t="s">
        <v>224</v>
      </c>
      <c r="L15" s="2" t="s">
        <v>195</v>
      </c>
      <c r="M15" s="2"/>
      <c r="N15" s="2" t="s">
        <v>225</v>
      </c>
      <c r="O15" s="3" t="s">
        <v>226</v>
      </c>
      <c r="P15" s="2" t="s">
        <v>227</v>
      </c>
      <c r="Q15" s="2" t="s">
        <v>228</v>
      </c>
      <c r="R15" s="2" t="s">
        <v>229</v>
      </c>
      <c r="S15" s="2" t="s">
        <v>49</v>
      </c>
      <c r="T15" s="3" t="s">
        <v>50</v>
      </c>
      <c r="U15" s="2"/>
      <c r="V15" s="2"/>
      <c r="W15" s="2"/>
      <c r="X15" s="2"/>
      <c r="Y15" s="2"/>
      <c r="Z15" s="2"/>
      <c r="AA15" s="2"/>
      <c r="AB15" s="2" t="s">
        <v>230</v>
      </c>
      <c r="AC15" s="2"/>
      <c r="AD15" s="2"/>
      <c r="AE15" s="3" t="s">
        <v>53</v>
      </c>
    </row>
    <row r="16" customFormat="false" ht="15" hidden="false" customHeight="false" outlineLevel="0" collapsed="false">
      <c r="A16" s="2" t="s">
        <v>231</v>
      </c>
      <c r="B16" s="2" t="s">
        <v>32</v>
      </c>
      <c r="C16" s="2" t="s">
        <v>232</v>
      </c>
      <c r="D16" s="2" t="s">
        <v>233</v>
      </c>
      <c r="E16" s="2" t="s">
        <v>70</v>
      </c>
      <c r="F16" s="3" t="s">
        <v>101</v>
      </c>
      <c r="G16" s="2" t="s">
        <v>234</v>
      </c>
      <c r="H16" s="2" t="s">
        <v>235</v>
      </c>
      <c r="I16" s="2" t="s">
        <v>236</v>
      </c>
      <c r="J16" s="2" t="s">
        <v>237</v>
      </c>
      <c r="K16" s="2" t="s">
        <v>238</v>
      </c>
      <c r="L16" s="2" t="s">
        <v>42</v>
      </c>
      <c r="M16" s="2"/>
      <c r="N16" s="2" t="s">
        <v>239</v>
      </c>
      <c r="O16" s="3" t="s">
        <v>240</v>
      </c>
      <c r="P16" s="2"/>
      <c r="Q16" s="2" t="s">
        <v>241</v>
      </c>
      <c r="R16" s="2" t="s">
        <v>242</v>
      </c>
      <c r="S16" s="2" t="s">
        <v>49</v>
      </c>
      <c r="T16" s="3" t="s">
        <v>82</v>
      </c>
      <c r="U16" s="2"/>
      <c r="V16" s="2"/>
      <c r="W16" s="2"/>
      <c r="X16" s="2"/>
      <c r="Y16" s="2"/>
      <c r="Z16" s="2"/>
      <c r="AA16" s="2"/>
      <c r="AB16" s="2" t="s">
        <v>243</v>
      </c>
      <c r="AC16" s="2"/>
      <c r="AD16" s="2"/>
      <c r="AE16" s="3" t="s">
        <v>53</v>
      </c>
    </row>
    <row r="17" customFormat="false" ht="15" hidden="false" customHeight="false" outlineLevel="0" collapsed="false">
      <c r="A17" s="2" t="s">
        <v>244</v>
      </c>
      <c r="B17" s="2" t="s">
        <v>32</v>
      </c>
      <c r="C17" s="2" t="s">
        <v>245</v>
      </c>
      <c r="D17" s="2" t="s">
        <v>69</v>
      </c>
      <c r="E17" s="2" t="s">
        <v>70</v>
      </c>
      <c r="F17" s="3" t="s">
        <v>36</v>
      </c>
      <c r="G17" s="2" t="s">
        <v>246</v>
      </c>
      <c r="H17" s="2" t="s">
        <v>247</v>
      </c>
      <c r="I17" s="2" t="s">
        <v>248</v>
      </c>
      <c r="J17" s="2" t="s">
        <v>249</v>
      </c>
      <c r="K17" s="2" t="s">
        <v>250</v>
      </c>
      <c r="L17" s="2" t="s">
        <v>76</v>
      </c>
      <c r="M17" s="2"/>
      <c r="N17" s="2" t="s">
        <v>251</v>
      </c>
      <c r="O17" s="3" t="s">
        <v>93</v>
      </c>
      <c r="P17" s="2" t="s">
        <v>79</v>
      </c>
      <c r="Q17" s="2" t="s">
        <v>252</v>
      </c>
      <c r="R17" s="2" t="s">
        <v>253</v>
      </c>
      <c r="S17" s="2" t="s">
        <v>49</v>
      </c>
      <c r="T17" s="3" t="s">
        <v>82</v>
      </c>
      <c r="U17" s="2"/>
      <c r="V17" s="2"/>
      <c r="W17" s="2"/>
      <c r="X17" s="2"/>
      <c r="Y17" s="2"/>
      <c r="Z17" s="2"/>
      <c r="AA17" s="2"/>
      <c r="AB17" s="2" t="s">
        <v>254</v>
      </c>
      <c r="AC17" s="2"/>
      <c r="AD17" s="2"/>
      <c r="AE17" s="3" t="s">
        <v>53</v>
      </c>
    </row>
    <row r="18" customFormat="false" ht="15" hidden="false" customHeight="false" outlineLevel="0" collapsed="false">
      <c r="A18" s="2" t="s">
        <v>255</v>
      </c>
      <c r="B18" s="2" t="s">
        <v>32</v>
      </c>
      <c r="C18" s="2" t="s">
        <v>256</v>
      </c>
      <c r="D18" s="2" t="s">
        <v>257</v>
      </c>
      <c r="E18" s="2" t="s">
        <v>258</v>
      </c>
      <c r="F18" s="3" t="s">
        <v>259</v>
      </c>
      <c r="G18" s="2" t="s">
        <v>260</v>
      </c>
      <c r="H18" s="2" t="s">
        <v>261</v>
      </c>
      <c r="I18" s="2" t="s">
        <v>262</v>
      </c>
      <c r="J18" s="2" t="s">
        <v>263</v>
      </c>
      <c r="K18" s="2" t="s">
        <v>264</v>
      </c>
      <c r="L18" s="2" t="s">
        <v>42</v>
      </c>
      <c r="M18" s="2"/>
      <c r="N18" s="2" t="s">
        <v>265</v>
      </c>
      <c r="O18" s="3" t="s">
        <v>266</v>
      </c>
      <c r="P18" s="2" t="s">
        <v>267</v>
      </c>
      <c r="Q18" s="2" t="s">
        <v>268</v>
      </c>
      <c r="R18" s="2" t="s">
        <v>269</v>
      </c>
      <c r="S18" s="2" t="s">
        <v>49</v>
      </c>
      <c r="T18" s="3" t="s">
        <v>82</v>
      </c>
      <c r="U18" s="2"/>
      <c r="V18" s="2"/>
      <c r="W18" s="2"/>
      <c r="X18" s="2"/>
      <c r="Y18" s="2"/>
      <c r="Z18" s="2"/>
      <c r="AA18" s="2"/>
      <c r="AB18" s="2" t="s">
        <v>270</v>
      </c>
      <c r="AC18" s="2"/>
      <c r="AD18" s="2"/>
      <c r="AE18" s="3" t="s">
        <v>53</v>
      </c>
    </row>
    <row r="19" customFormat="false" ht="15" hidden="false" customHeight="false" outlineLevel="0" collapsed="false">
      <c r="A19" s="2" t="s">
        <v>271</v>
      </c>
      <c r="B19" s="2" t="s">
        <v>32</v>
      </c>
      <c r="C19" s="2" t="s">
        <v>272</v>
      </c>
      <c r="D19" s="2" t="s">
        <v>273</v>
      </c>
      <c r="E19" s="2" t="s">
        <v>274</v>
      </c>
      <c r="F19" s="3" t="s">
        <v>101</v>
      </c>
      <c r="G19" s="2" t="s">
        <v>275</v>
      </c>
      <c r="H19" s="2" t="s">
        <v>276</v>
      </c>
      <c r="I19" s="2" t="s">
        <v>277</v>
      </c>
      <c r="J19" s="2" t="s">
        <v>278</v>
      </c>
      <c r="K19" s="2" t="s">
        <v>279</v>
      </c>
      <c r="L19" s="2" t="s">
        <v>280</v>
      </c>
      <c r="M19" s="2"/>
      <c r="N19" s="2" t="s">
        <v>281</v>
      </c>
      <c r="O19" s="3" t="s">
        <v>282</v>
      </c>
      <c r="P19" s="2" t="s">
        <v>283</v>
      </c>
      <c r="Q19" s="2" t="s">
        <v>284</v>
      </c>
      <c r="R19" s="2" t="s">
        <v>285</v>
      </c>
      <c r="S19" s="2" t="s">
        <v>286</v>
      </c>
      <c r="T19" s="3" t="s">
        <v>287</v>
      </c>
      <c r="U19" s="2"/>
      <c r="V19" s="2"/>
      <c r="W19" s="2"/>
      <c r="X19" s="2"/>
      <c r="Y19" s="2"/>
      <c r="Z19" s="2"/>
      <c r="AA19" s="2"/>
      <c r="AB19" s="2" t="s">
        <v>288</v>
      </c>
      <c r="AC19" s="2"/>
      <c r="AD19" s="2"/>
      <c r="AE19" s="3" t="s">
        <v>53</v>
      </c>
    </row>
    <row r="20" customFormat="false" ht="15" hidden="false" customHeight="false" outlineLevel="0" collapsed="false">
      <c r="A20" s="2" t="s">
        <v>289</v>
      </c>
      <c r="B20" s="2" t="s">
        <v>32</v>
      </c>
      <c r="C20" s="2" t="s">
        <v>290</v>
      </c>
      <c r="D20" s="2" t="s">
        <v>273</v>
      </c>
      <c r="E20" s="2" t="s">
        <v>274</v>
      </c>
      <c r="F20" s="3" t="s">
        <v>259</v>
      </c>
      <c r="G20" s="2" t="s">
        <v>291</v>
      </c>
      <c r="H20" s="2" t="s">
        <v>292</v>
      </c>
      <c r="I20" s="2" t="s">
        <v>293</v>
      </c>
      <c r="J20" s="2" t="s">
        <v>294</v>
      </c>
      <c r="K20" s="2" t="s">
        <v>295</v>
      </c>
      <c r="L20" s="2" t="s">
        <v>280</v>
      </c>
      <c r="M20" s="2"/>
      <c r="N20" s="2" t="s">
        <v>296</v>
      </c>
      <c r="O20" s="3" t="s">
        <v>240</v>
      </c>
      <c r="P20" s="2"/>
      <c r="Q20" s="2" t="s">
        <v>297</v>
      </c>
      <c r="R20" s="2" t="s">
        <v>285</v>
      </c>
      <c r="S20" s="2" t="s">
        <v>286</v>
      </c>
      <c r="T20" s="3" t="s">
        <v>287</v>
      </c>
      <c r="U20" s="2"/>
      <c r="V20" s="2"/>
      <c r="W20" s="2"/>
      <c r="X20" s="2"/>
      <c r="Y20" s="2"/>
      <c r="Z20" s="2"/>
      <c r="AA20" s="2"/>
      <c r="AB20" s="2" t="s">
        <v>298</v>
      </c>
      <c r="AC20" s="2"/>
      <c r="AD20" s="2"/>
      <c r="AE20" s="3" t="s">
        <v>53</v>
      </c>
    </row>
    <row r="21" customFormat="false" ht="15" hidden="false" customHeight="false" outlineLevel="0" collapsed="false">
      <c r="A21" s="2" t="s">
        <v>299</v>
      </c>
      <c r="B21" s="2" t="s">
        <v>32</v>
      </c>
      <c r="C21" s="2" t="s">
        <v>300</v>
      </c>
      <c r="D21" s="2" t="s">
        <v>301</v>
      </c>
      <c r="E21" s="2" t="s">
        <v>189</v>
      </c>
      <c r="F21" s="3" t="s">
        <v>101</v>
      </c>
      <c r="G21" s="2" t="s">
        <v>302</v>
      </c>
      <c r="H21" s="2" t="s">
        <v>303</v>
      </c>
      <c r="I21" s="2" t="s">
        <v>304</v>
      </c>
      <c r="J21" s="2" t="s">
        <v>305</v>
      </c>
      <c r="K21" s="2" t="s">
        <v>306</v>
      </c>
      <c r="L21" s="2" t="s">
        <v>307</v>
      </c>
      <c r="M21" s="2"/>
      <c r="N21" s="2" t="s">
        <v>308</v>
      </c>
      <c r="O21" s="3" t="s">
        <v>309</v>
      </c>
      <c r="P21" s="2" t="s">
        <v>310</v>
      </c>
      <c r="Q21" s="2" t="s">
        <v>311</v>
      </c>
      <c r="R21" s="2" t="s">
        <v>285</v>
      </c>
      <c r="S21" s="2" t="s">
        <v>286</v>
      </c>
      <c r="T21" s="3" t="s">
        <v>287</v>
      </c>
      <c r="U21" s="2"/>
      <c r="V21" s="2"/>
      <c r="W21" s="2"/>
      <c r="X21" s="2"/>
      <c r="Y21" s="2"/>
      <c r="Z21" s="2"/>
      <c r="AA21" s="2"/>
      <c r="AB21" s="2" t="s">
        <v>312</v>
      </c>
      <c r="AC21" s="2"/>
      <c r="AD21" s="2"/>
      <c r="AE21" s="3" t="s">
        <v>53</v>
      </c>
    </row>
    <row r="22" customFormat="false" ht="15" hidden="false" customHeight="false" outlineLevel="0" collapsed="false">
      <c r="A22" s="2" t="s">
        <v>313</v>
      </c>
      <c r="B22" s="2" t="s">
        <v>32</v>
      </c>
      <c r="C22" s="2" t="s">
        <v>314</v>
      </c>
      <c r="D22" s="2" t="s">
        <v>315</v>
      </c>
      <c r="E22" s="2" t="s">
        <v>316</v>
      </c>
      <c r="F22" s="3" t="s">
        <v>101</v>
      </c>
      <c r="G22" s="2" t="s">
        <v>317</v>
      </c>
      <c r="H22" s="2" t="s">
        <v>318</v>
      </c>
      <c r="I22" s="2" t="s">
        <v>319</v>
      </c>
      <c r="J22" s="2" t="s">
        <v>320</v>
      </c>
      <c r="K22" s="2" t="s">
        <v>321</v>
      </c>
      <c r="L22" s="2" t="s">
        <v>307</v>
      </c>
      <c r="M22" s="2"/>
      <c r="N22" s="2" t="s">
        <v>322</v>
      </c>
      <c r="O22" s="3" t="s">
        <v>323</v>
      </c>
      <c r="P22" s="2" t="s">
        <v>324</v>
      </c>
      <c r="Q22" s="2" t="s">
        <v>325</v>
      </c>
      <c r="R22" s="2" t="s">
        <v>285</v>
      </c>
      <c r="S22" s="2" t="s">
        <v>286</v>
      </c>
      <c r="T22" s="3" t="s">
        <v>326</v>
      </c>
      <c r="U22" s="2"/>
      <c r="V22" s="2"/>
      <c r="W22" s="2"/>
      <c r="X22" s="2"/>
      <c r="Y22" s="2"/>
      <c r="Z22" s="2"/>
      <c r="AA22" s="2"/>
      <c r="AB22" s="2" t="s">
        <v>327</v>
      </c>
      <c r="AC22" s="2"/>
      <c r="AD22" s="2"/>
      <c r="AE22" s="3" t="s">
        <v>53</v>
      </c>
    </row>
    <row r="23" customFormat="false" ht="15" hidden="false" customHeight="false" outlineLevel="0" collapsed="false">
      <c r="A23" s="2" t="s">
        <v>328</v>
      </c>
      <c r="B23" s="2" t="s">
        <v>32</v>
      </c>
      <c r="C23" s="2" t="s">
        <v>329</v>
      </c>
      <c r="D23" s="2" t="s">
        <v>330</v>
      </c>
      <c r="E23" s="2" t="s">
        <v>70</v>
      </c>
      <c r="F23" s="3" t="s">
        <v>101</v>
      </c>
      <c r="G23" s="2" t="s">
        <v>331</v>
      </c>
      <c r="H23" s="2" t="s">
        <v>332</v>
      </c>
      <c r="I23" s="2" t="s">
        <v>333</v>
      </c>
      <c r="J23" s="2" t="s">
        <v>334</v>
      </c>
      <c r="K23" s="2" t="s">
        <v>335</v>
      </c>
      <c r="L23" s="2" t="s">
        <v>336</v>
      </c>
      <c r="M23" s="2"/>
      <c r="N23" s="2" t="s">
        <v>337</v>
      </c>
      <c r="O23" s="3" t="s">
        <v>266</v>
      </c>
      <c r="P23" s="2"/>
      <c r="Q23" s="2" t="s">
        <v>338</v>
      </c>
      <c r="R23" s="2" t="s">
        <v>285</v>
      </c>
      <c r="S23" s="2" t="s">
        <v>49</v>
      </c>
      <c r="T23" s="3" t="s">
        <v>82</v>
      </c>
      <c r="U23" s="2"/>
      <c r="V23" s="2"/>
      <c r="W23" s="2"/>
      <c r="X23" s="2"/>
      <c r="Y23" s="2"/>
      <c r="Z23" s="2"/>
      <c r="AA23" s="2"/>
      <c r="AB23" s="2" t="s">
        <v>339</v>
      </c>
      <c r="AC23" s="2"/>
      <c r="AD23" s="2"/>
      <c r="AE23" s="3" t="s">
        <v>53</v>
      </c>
    </row>
    <row r="24" customFormat="false" ht="15" hidden="false" customHeight="false" outlineLevel="0" collapsed="false">
      <c r="A24" s="2" t="s">
        <v>340</v>
      </c>
      <c r="B24" s="2" t="s">
        <v>32</v>
      </c>
      <c r="C24" s="2" t="s">
        <v>341</v>
      </c>
      <c r="D24" s="2" t="s">
        <v>342</v>
      </c>
      <c r="E24" s="2" t="s">
        <v>258</v>
      </c>
      <c r="F24" s="3" t="s">
        <v>36</v>
      </c>
      <c r="G24" s="2" t="s">
        <v>343</v>
      </c>
      <c r="H24" s="2" t="s">
        <v>344</v>
      </c>
      <c r="I24" s="2" t="s">
        <v>345</v>
      </c>
      <c r="J24" s="2" t="s">
        <v>346</v>
      </c>
      <c r="K24" s="2" t="s">
        <v>347</v>
      </c>
      <c r="L24" s="2" t="s">
        <v>348</v>
      </c>
      <c r="M24" s="2"/>
      <c r="N24" s="2" t="s">
        <v>349</v>
      </c>
      <c r="O24" s="3" t="s">
        <v>350</v>
      </c>
      <c r="P24" s="2" t="s">
        <v>79</v>
      </c>
      <c r="Q24" s="2" t="s">
        <v>351</v>
      </c>
      <c r="R24" s="2" t="s">
        <v>285</v>
      </c>
      <c r="S24" s="2" t="s">
        <v>286</v>
      </c>
      <c r="T24" s="3" t="s">
        <v>82</v>
      </c>
      <c r="U24" s="2"/>
      <c r="V24" s="2"/>
      <c r="W24" s="2"/>
      <c r="X24" s="2"/>
      <c r="Y24" s="2"/>
      <c r="Z24" s="2"/>
      <c r="AA24" s="2"/>
      <c r="AB24" s="2" t="s">
        <v>352</v>
      </c>
      <c r="AC24" s="2"/>
      <c r="AD24" s="2"/>
      <c r="AE24" s="3" t="s">
        <v>53</v>
      </c>
    </row>
    <row r="25" customFormat="false" ht="15" hidden="false" customHeight="false" outlineLevel="0" collapsed="false">
      <c r="A25" s="2" t="s">
        <v>353</v>
      </c>
      <c r="B25" s="2" t="s">
        <v>32</v>
      </c>
      <c r="C25" s="2" t="s">
        <v>354</v>
      </c>
      <c r="D25" s="2" t="s">
        <v>355</v>
      </c>
      <c r="E25" s="2" t="s">
        <v>274</v>
      </c>
      <c r="F25" s="3" t="s">
        <v>259</v>
      </c>
      <c r="G25" s="2" t="s">
        <v>356</v>
      </c>
      <c r="H25" s="2" t="s">
        <v>357</v>
      </c>
      <c r="I25" s="2" t="s">
        <v>358</v>
      </c>
      <c r="J25" s="2" t="s">
        <v>359</v>
      </c>
      <c r="K25" s="2" t="s">
        <v>360</v>
      </c>
      <c r="L25" s="2" t="s">
        <v>361</v>
      </c>
      <c r="M25" s="2"/>
      <c r="N25" s="2" t="s">
        <v>362</v>
      </c>
      <c r="O25" s="3" t="s">
        <v>363</v>
      </c>
      <c r="P25" s="2"/>
      <c r="Q25" s="2" t="s">
        <v>364</v>
      </c>
      <c r="R25" s="2" t="s">
        <v>285</v>
      </c>
      <c r="S25" s="2" t="s">
        <v>49</v>
      </c>
      <c r="T25" s="3" t="s">
        <v>82</v>
      </c>
      <c r="U25" s="2"/>
      <c r="V25" s="2"/>
      <c r="W25" s="2"/>
      <c r="X25" s="2"/>
      <c r="Y25" s="2"/>
      <c r="Z25" s="2"/>
      <c r="AA25" s="2"/>
      <c r="AB25" s="2" t="s">
        <v>365</v>
      </c>
      <c r="AC25" s="2"/>
      <c r="AD25" s="2"/>
      <c r="AE25" s="3" t="s">
        <v>53</v>
      </c>
    </row>
    <row r="26" customFormat="false" ht="15" hidden="false" customHeight="false" outlineLevel="0" collapsed="false">
      <c r="A26" s="2" t="s">
        <v>366</v>
      </c>
      <c r="B26" s="2" t="s">
        <v>32</v>
      </c>
      <c r="C26" s="2" t="s">
        <v>367</v>
      </c>
      <c r="D26" s="2" t="s">
        <v>69</v>
      </c>
      <c r="E26" s="2" t="s">
        <v>70</v>
      </c>
      <c r="F26" s="3" t="s">
        <v>36</v>
      </c>
      <c r="G26" s="2" t="s">
        <v>368</v>
      </c>
      <c r="H26" s="2" t="s">
        <v>369</v>
      </c>
      <c r="I26" s="2" t="s">
        <v>370</v>
      </c>
      <c r="J26" s="2" t="s">
        <v>371</v>
      </c>
      <c r="K26" s="2" t="s">
        <v>372</v>
      </c>
      <c r="L26" s="2" t="s">
        <v>336</v>
      </c>
      <c r="M26" s="2"/>
      <c r="N26" s="2" t="s">
        <v>373</v>
      </c>
      <c r="O26" s="3" t="s">
        <v>374</v>
      </c>
      <c r="P26" s="2" t="s">
        <v>79</v>
      </c>
      <c r="Q26" s="2" t="s">
        <v>375</v>
      </c>
      <c r="R26" s="2" t="s">
        <v>376</v>
      </c>
      <c r="S26" s="2" t="s">
        <v>49</v>
      </c>
      <c r="T26" s="3" t="s">
        <v>82</v>
      </c>
      <c r="U26" s="2"/>
      <c r="V26" s="2"/>
      <c r="W26" s="2"/>
      <c r="X26" s="2"/>
      <c r="Y26" s="2"/>
      <c r="Z26" s="2"/>
      <c r="AA26" s="2"/>
      <c r="AB26" s="2"/>
      <c r="AC26" s="2"/>
      <c r="AD26" s="2" t="s">
        <v>377</v>
      </c>
      <c r="AE26" s="3" t="s">
        <v>53</v>
      </c>
    </row>
    <row r="27" customFormat="false" ht="15" hidden="false" customHeight="false" outlineLevel="0" collapsed="false">
      <c r="A27" s="2" t="s">
        <v>378</v>
      </c>
      <c r="B27" s="2" t="s">
        <v>32</v>
      </c>
      <c r="C27" s="2" t="s">
        <v>379</v>
      </c>
      <c r="D27" s="2" t="s">
        <v>273</v>
      </c>
      <c r="E27" s="2" t="s">
        <v>316</v>
      </c>
      <c r="F27" s="3" t="s">
        <v>101</v>
      </c>
      <c r="G27" s="2" t="s">
        <v>380</v>
      </c>
      <c r="H27" s="2" t="s">
        <v>381</v>
      </c>
      <c r="I27" s="2" t="s">
        <v>382</v>
      </c>
      <c r="J27" s="2" t="s">
        <v>383</v>
      </c>
      <c r="K27" s="2" t="s">
        <v>384</v>
      </c>
      <c r="L27" s="2" t="s">
        <v>42</v>
      </c>
      <c r="M27" s="2" t="s">
        <v>385</v>
      </c>
      <c r="N27" s="2" t="s">
        <v>386</v>
      </c>
      <c r="O27" s="3" t="s">
        <v>240</v>
      </c>
      <c r="P27" s="2"/>
      <c r="Q27" s="2" t="s">
        <v>387</v>
      </c>
      <c r="R27" s="2" t="s">
        <v>388</v>
      </c>
      <c r="S27" s="2" t="s">
        <v>49</v>
      </c>
      <c r="T27" s="3" t="s">
        <v>82</v>
      </c>
      <c r="U27" s="2"/>
      <c r="V27" s="2"/>
      <c r="W27" s="2"/>
      <c r="X27" s="2"/>
      <c r="Y27" s="2"/>
      <c r="Z27" s="2"/>
      <c r="AA27" s="2"/>
      <c r="AB27" s="2"/>
      <c r="AC27" s="2"/>
      <c r="AD27" s="2" t="s">
        <v>389</v>
      </c>
      <c r="AE27" s="3" t="s">
        <v>53</v>
      </c>
    </row>
    <row r="28" customFormat="false" ht="15" hidden="false" customHeight="false" outlineLevel="0" collapsed="false">
      <c r="A28" s="2" t="s">
        <v>390</v>
      </c>
      <c r="B28" s="2" t="s">
        <v>32</v>
      </c>
      <c r="C28" s="2" t="s">
        <v>391</v>
      </c>
      <c r="D28" s="2" t="s">
        <v>233</v>
      </c>
      <c r="E28" s="2" t="s">
        <v>70</v>
      </c>
      <c r="F28" s="3" t="s">
        <v>259</v>
      </c>
      <c r="G28" s="2" t="s">
        <v>392</v>
      </c>
      <c r="H28" s="2" t="s">
        <v>393</v>
      </c>
      <c r="I28" s="2" t="s">
        <v>394</v>
      </c>
      <c r="J28" s="2" t="s">
        <v>395</v>
      </c>
      <c r="K28" s="2" t="s">
        <v>396</v>
      </c>
      <c r="L28" s="2" t="s">
        <v>280</v>
      </c>
      <c r="M28" s="2"/>
      <c r="N28" s="2" t="s">
        <v>397</v>
      </c>
      <c r="O28" s="3" t="s">
        <v>240</v>
      </c>
      <c r="P28" s="2"/>
      <c r="Q28" s="2" t="s">
        <v>398</v>
      </c>
      <c r="R28" s="2" t="s">
        <v>399</v>
      </c>
      <c r="S28" s="2" t="s">
        <v>49</v>
      </c>
      <c r="T28" s="3" t="s">
        <v>82</v>
      </c>
      <c r="U28" s="2"/>
      <c r="V28" s="2"/>
      <c r="W28" s="2"/>
      <c r="X28" s="2"/>
      <c r="Y28" s="2"/>
      <c r="Z28" s="2"/>
      <c r="AA28" s="2"/>
      <c r="AB28" s="2" t="s">
        <v>289</v>
      </c>
      <c r="AC28" s="2"/>
      <c r="AD28" s="2" t="s">
        <v>400</v>
      </c>
      <c r="AE28" s="3" t="s">
        <v>53</v>
      </c>
    </row>
    <row r="29" customFormat="false" ht="15" hidden="false" customHeight="false" outlineLevel="0" collapsed="false">
      <c r="A29" s="2" t="s">
        <v>401</v>
      </c>
      <c r="B29" s="2" t="s">
        <v>32</v>
      </c>
      <c r="C29" s="2" t="s">
        <v>402</v>
      </c>
      <c r="D29" s="2" t="s">
        <v>273</v>
      </c>
      <c r="E29" s="2" t="s">
        <v>258</v>
      </c>
      <c r="F29" s="3" t="s">
        <v>101</v>
      </c>
      <c r="G29" s="2" t="s">
        <v>403</v>
      </c>
      <c r="H29" s="2" t="s">
        <v>404</v>
      </c>
      <c r="I29" s="2" t="s">
        <v>405</v>
      </c>
      <c r="J29" s="2" t="s">
        <v>406</v>
      </c>
      <c r="K29" s="2" t="s">
        <v>407</v>
      </c>
      <c r="L29" s="2" t="s">
        <v>280</v>
      </c>
      <c r="M29" s="2"/>
      <c r="N29" s="2" t="s">
        <v>408</v>
      </c>
      <c r="O29" s="3" t="s">
        <v>282</v>
      </c>
      <c r="P29" s="2" t="s">
        <v>409</v>
      </c>
      <c r="Q29" s="2" t="s">
        <v>410</v>
      </c>
      <c r="R29" s="2" t="s">
        <v>411</v>
      </c>
      <c r="S29" s="2" t="s">
        <v>286</v>
      </c>
      <c r="T29" s="3" t="s">
        <v>412</v>
      </c>
      <c r="U29" s="2"/>
      <c r="V29" s="2"/>
      <c r="W29" s="2"/>
      <c r="X29" s="2"/>
      <c r="Y29" s="2"/>
      <c r="Z29" s="2"/>
      <c r="AA29" s="2"/>
      <c r="AB29" s="2" t="s">
        <v>413</v>
      </c>
      <c r="AC29" s="2"/>
      <c r="AD29" s="2" t="s">
        <v>414</v>
      </c>
      <c r="AE29" s="3" t="s">
        <v>53</v>
      </c>
    </row>
    <row r="30" customFormat="false" ht="15" hidden="false" customHeight="false" outlineLevel="0" collapsed="false">
      <c r="A30" s="2" t="s">
        <v>415</v>
      </c>
      <c r="B30" s="2" t="s">
        <v>32</v>
      </c>
      <c r="C30" s="2" t="s">
        <v>416</v>
      </c>
      <c r="D30" s="2" t="s">
        <v>69</v>
      </c>
      <c r="E30" s="2" t="s">
        <v>189</v>
      </c>
      <c r="F30" s="3" t="s">
        <v>101</v>
      </c>
      <c r="G30" s="2" t="s">
        <v>417</v>
      </c>
      <c r="H30" s="2" t="s">
        <v>418</v>
      </c>
      <c r="I30" s="2" t="s">
        <v>419</v>
      </c>
      <c r="J30" s="2" t="s">
        <v>420</v>
      </c>
      <c r="K30" s="2" t="s">
        <v>421</v>
      </c>
      <c r="L30" s="2" t="s">
        <v>76</v>
      </c>
      <c r="M30" s="2"/>
      <c r="N30" s="2" t="s">
        <v>422</v>
      </c>
      <c r="O30" s="3" t="s">
        <v>423</v>
      </c>
      <c r="P30" s="2" t="s">
        <v>267</v>
      </c>
      <c r="Q30" s="2" t="s">
        <v>424</v>
      </c>
      <c r="R30" s="2" t="s">
        <v>285</v>
      </c>
      <c r="S30" s="2" t="s">
        <v>49</v>
      </c>
      <c r="T30" s="3" t="s">
        <v>82</v>
      </c>
      <c r="U30" s="2"/>
      <c r="V30" s="2"/>
      <c r="W30" s="2"/>
      <c r="X30" s="2"/>
      <c r="Y30" s="2"/>
      <c r="Z30" s="2"/>
      <c r="AA30" s="2"/>
      <c r="AB30" s="2" t="s">
        <v>425</v>
      </c>
      <c r="AC30" s="2"/>
      <c r="AD30" s="2" t="s">
        <v>426</v>
      </c>
      <c r="AE30" s="3" t="s">
        <v>53</v>
      </c>
    </row>
    <row r="31" customFormat="false" ht="15" hidden="false" customHeight="false" outlineLevel="0" collapsed="false">
      <c r="A31" s="2" t="s">
        <v>270</v>
      </c>
      <c r="B31" s="2" t="s">
        <v>32</v>
      </c>
      <c r="C31" s="2" t="s">
        <v>427</v>
      </c>
      <c r="D31" s="2" t="s">
        <v>188</v>
      </c>
      <c r="E31" s="2" t="s">
        <v>189</v>
      </c>
      <c r="F31" s="3" t="s">
        <v>36</v>
      </c>
      <c r="G31" s="2" t="s">
        <v>428</v>
      </c>
      <c r="H31" s="2" t="s">
        <v>429</v>
      </c>
      <c r="I31" s="2" t="s">
        <v>430</v>
      </c>
      <c r="J31" s="2" t="s">
        <v>431</v>
      </c>
      <c r="K31" s="2" t="s">
        <v>432</v>
      </c>
      <c r="L31" s="2" t="s">
        <v>195</v>
      </c>
      <c r="M31" s="2" t="s">
        <v>196</v>
      </c>
      <c r="N31" s="2" t="s">
        <v>433</v>
      </c>
      <c r="O31" s="3" t="s">
        <v>434</v>
      </c>
      <c r="P31" s="2" t="s">
        <v>435</v>
      </c>
      <c r="Q31" s="2" t="s">
        <v>436</v>
      </c>
      <c r="R31" s="2" t="s">
        <v>437</v>
      </c>
      <c r="S31" s="2" t="s">
        <v>49</v>
      </c>
      <c r="T31" s="3" t="s">
        <v>50</v>
      </c>
      <c r="U31" s="2"/>
      <c r="V31" s="2"/>
      <c r="W31" s="2"/>
      <c r="X31" s="2"/>
      <c r="Y31" s="2"/>
      <c r="Z31" s="2"/>
      <c r="AA31" s="2"/>
      <c r="AB31" s="2" t="s">
        <v>438</v>
      </c>
      <c r="AC31" s="2"/>
      <c r="AD31" s="2" t="s">
        <v>439</v>
      </c>
      <c r="AE31" s="3" t="s">
        <v>53</v>
      </c>
    </row>
    <row r="32" customFormat="false" ht="15" hidden="false" customHeight="false" outlineLevel="0" collapsed="false">
      <c r="A32" s="2" t="s">
        <v>146</v>
      </c>
      <c r="B32" s="2" t="s">
        <v>32</v>
      </c>
      <c r="C32" s="2" t="s">
        <v>440</v>
      </c>
      <c r="D32" s="2" t="s">
        <v>188</v>
      </c>
      <c r="E32" s="2" t="s">
        <v>189</v>
      </c>
      <c r="F32" s="3" t="s">
        <v>36</v>
      </c>
      <c r="G32" s="2" t="s">
        <v>441</v>
      </c>
      <c r="H32" s="2" t="s">
        <v>442</v>
      </c>
      <c r="I32" s="2" t="s">
        <v>443</v>
      </c>
      <c r="J32" s="2" t="s">
        <v>444</v>
      </c>
      <c r="K32" s="2" t="s">
        <v>445</v>
      </c>
      <c r="L32" s="2" t="s">
        <v>195</v>
      </c>
      <c r="M32" s="2"/>
      <c r="N32" s="2" t="s">
        <v>446</v>
      </c>
      <c r="O32" s="3" t="s">
        <v>447</v>
      </c>
      <c r="P32" s="2" t="s">
        <v>448</v>
      </c>
      <c r="Q32" s="2" t="s">
        <v>449</v>
      </c>
      <c r="R32" s="2" t="s">
        <v>450</v>
      </c>
      <c r="S32" s="2" t="s">
        <v>49</v>
      </c>
      <c r="T32" s="3" t="s">
        <v>50</v>
      </c>
      <c r="U32" s="2"/>
      <c r="V32" s="2"/>
      <c r="W32" s="2"/>
      <c r="X32" s="2"/>
      <c r="Y32" s="2"/>
      <c r="Z32" s="2"/>
      <c r="AA32" s="2"/>
      <c r="AB32" s="2" t="s">
        <v>451</v>
      </c>
      <c r="AC32" s="2"/>
      <c r="AD32" s="2" t="s">
        <v>452</v>
      </c>
      <c r="AE32" s="3" t="s">
        <v>53</v>
      </c>
    </row>
    <row r="33" customFormat="false" ht="15" hidden="false" customHeight="false" outlineLevel="0" collapsed="false">
      <c r="A33" s="2" t="s">
        <v>453</v>
      </c>
      <c r="B33" s="2" t="s">
        <v>32</v>
      </c>
      <c r="C33" s="2" t="s">
        <v>454</v>
      </c>
      <c r="D33" s="2" t="s">
        <v>273</v>
      </c>
      <c r="E33" s="2" t="s">
        <v>125</v>
      </c>
      <c r="F33" s="3" t="s">
        <v>101</v>
      </c>
      <c r="G33" s="2" t="s">
        <v>455</v>
      </c>
      <c r="H33" s="2" t="s">
        <v>456</v>
      </c>
      <c r="I33" s="2" t="s">
        <v>457</v>
      </c>
      <c r="J33" s="2" t="s">
        <v>458</v>
      </c>
      <c r="K33" s="2" t="s">
        <v>459</v>
      </c>
      <c r="L33" s="2" t="s">
        <v>42</v>
      </c>
      <c r="M33" s="2" t="s">
        <v>460</v>
      </c>
      <c r="N33" s="2" t="s">
        <v>461</v>
      </c>
      <c r="O33" s="3" t="s">
        <v>132</v>
      </c>
      <c r="P33" s="2"/>
      <c r="Q33" s="2" t="s">
        <v>462</v>
      </c>
      <c r="R33" s="2" t="s">
        <v>463</v>
      </c>
      <c r="S33" s="2" t="s">
        <v>49</v>
      </c>
      <c r="T33" s="3" t="s">
        <v>82</v>
      </c>
      <c r="U33" s="2"/>
      <c r="V33" s="2"/>
      <c r="W33" s="2"/>
      <c r="X33" s="2"/>
      <c r="Y33" s="2"/>
      <c r="Z33" s="2"/>
      <c r="AA33" s="2"/>
      <c r="AB33" s="2" t="s">
        <v>464</v>
      </c>
      <c r="AC33" s="2"/>
      <c r="AD33" s="2" t="s">
        <v>465</v>
      </c>
      <c r="AE33" s="3" t="s">
        <v>53</v>
      </c>
    </row>
    <row r="34" customFormat="false" ht="15" hidden="false" customHeight="false" outlineLevel="0" collapsed="false">
      <c r="A34" s="2" t="s">
        <v>466</v>
      </c>
      <c r="B34" s="2" t="s">
        <v>32</v>
      </c>
      <c r="C34" s="2" t="s">
        <v>467</v>
      </c>
      <c r="D34" s="2" t="s">
        <v>205</v>
      </c>
      <c r="E34" s="2" t="s">
        <v>70</v>
      </c>
      <c r="F34" s="3" t="s">
        <v>101</v>
      </c>
      <c r="G34" s="2" t="s">
        <v>468</v>
      </c>
      <c r="H34" s="2" t="s">
        <v>469</v>
      </c>
      <c r="I34" s="2" t="s">
        <v>470</v>
      </c>
      <c r="J34" s="2" t="s">
        <v>471</v>
      </c>
      <c r="K34" s="2" t="s">
        <v>472</v>
      </c>
      <c r="L34" s="2" t="s">
        <v>42</v>
      </c>
      <c r="M34" s="2"/>
      <c r="N34" s="2" t="s">
        <v>473</v>
      </c>
      <c r="O34" s="3" t="s">
        <v>474</v>
      </c>
      <c r="P34" s="2"/>
      <c r="Q34" s="2" t="s">
        <v>475</v>
      </c>
      <c r="R34" s="2" t="s">
        <v>476</v>
      </c>
      <c r="S34" s="2" t="s">
        <v>49</v>
      </c>
      <c r="T34" s="3" t="s">
        <v>82</v>
      </c>
      <c r="U34" s="2"/>
      <c r="V34" s="2"/>
      <c r="W34" s="2"/>
      <c r="X34" s="2"/>
      <c r="Y34" s="2"/>
      <c r="Z34" s="2"/>
      <c r="AA34" s="2"/>
      <c r="AB34" s="2" t="s">
        <v>231</v>
      </c>
      <c r="AC34" s="2"/>
      <c r="AD34" s="2" t="s">
        <v>477</v>
      </c>
      <c r="AE34" s="3" t="s">
        <v>53</v>
      </c>
    </row>
    <row r="35" customFormat="false" ht="15" hidden="false" customHeight="false" outlineLevel="0" collapsed="false">
      <c r="A35" s="2" t="s">
        <v>478</v>
      </c>
      <c r="B35" s="2" t="s">
        <v>32</v>
      </c>
      <c r="C35" s="2" t="s">
        <v>479</v>
      </c>
      <c r="D35" s="2" t="s">
        <v>330</v>
      </c>
      <c r="E35" s="2" t="s">
        <v>70</v>
      </c>
      <c r="F35" s="3" t="s">
        <v>101</v>
      </c>
      <c r="G35" s="2" t="s">
        <v>480</v>
      </c>
      <c r="H35" s="2" t="s">
        <v>481</v>
      </c>
      <c r="I35" s="2" t="s">
        <v>482</v>
      </c>
      <c r="J35" s="2" t="s">
        <v>483</v>
      </c>
      <c r="K35" s="2" t="s">
        <v>484</v>
      </c>
      <c r="L35" s="2" t="s">
        <v>336</v>
      </c>
      <c r="M35" s="2" t="s">
        <v>485</v>
      </c>
      <c r="N35" s="2" t="s">
        <v>486</v>
      </c>
      <c r="O35" s="3" t="s">
        <v>266</v>
      </c>
      <c r="P35" s="2"/>
      <c r="Q35" s="2" t="s">
        <v>487</v>
      </c>
      <c r="R35" s="2" t="s">
        <v>488</v>
      </c>
      <c r="S35" s="2" t="s">
        <v>49</v>
      </c>
      <c r="T35" s="3" t="s">
        <v>82</v>
      </c>
      <c r="U35" s="2"/>
      <c r="V35" s="2"/>
      <c r="W35" s="2"/>
      <c r="X35" s="2"/>
      <c r="Y35" s="2"/>
      <c r="Z35" s="2"/>
      <c r="AA35" s="2"/>
      <c r="AB35" s="2" t="s">
        <v>328</v>
      </c>
      <c r="AC35" s="2"/>
      <c r="AD35" s="2" t="s">
        <v>489</v>
      </c>
      <c r="AE35" s="3" t="s">
        <v>53</v>
      </c>
    </row>
    <row r="36" customFormat="false" ht="15" hidden="false" customHeight="false" outlineLevel="0" collapsed="false">
      <c r="A36" s="2" t="s">
        <v>490</v>
      </c>
      <c r="B36" s="2" t="s">
        <v>32</v>
      </c>
      <c r="C36" s="2" t="s">
        <v>491</v>
      </c>
      <c r="D36" s="2" t="s">
        <v>273</v>
      </c>
      <c r="E36" s="2" t="s">
        <v>70</v>
      </c>
      <c r="F36" s="3" t="s">
        <v>101</v>
      </c>
      <c r="G36" s="2" t="s">
        <v>492</v>
      </c>
      <c r="H36" s="2" t="s">
        <v>493</v>
      </c>
      <c r="I36" s="2" t="s">
        <v>494</v>
      </c>
      <c r="J36" s="2" t="s">
        <v>495</v>
      </c>
      <c r="K36" s="2" t="s">
        <v>496</v>
      </c>
      <c r="L36" s="2" t="s">
        <v>336</v>
      </c>
      <c r="M36" s="2"/>
      <c r="N36" s="2" t="s">
        <v>497</v>
      </c>
      <c r="O36" s="3" t="s">
        <v>498</v>
      </c>
      <c r="P36" s="2"/>
      <c r="Q36" s="2" t="s">
        <v>499</v>
      </c>
      <c r="R36" s="2" t="s">
        <v>500</v>
      </c>
      <c r="S36" s="2" t="s">
        <v>49</v>
      </c>
      <c r="T36" s="3" t="s">
        <v>82</v>
      </c>
      <c r="U36" s="2"/>
      <c r="V36" s="2"/>
      <c r="W36" s="2"/>
      <c r="X36" s="2"/>
      <c r="Y36" s="2"/>
      <c r="Z36" s="2"/>
      <c r="AA36" s="2"/>
      <c r="AB36" s="2" t="s">
        <v>366</v>
      </c>
      <c r="AC36" s="2"/>
      <c r="AD36" s="2" t="s">
        <v>501</v>
      </c>
      <c r="AE36" s="3" t="s">
        <v>53</v>
      </c>
    </row>
    <row r="37" customFormat="false" ht="15" hidden="false" customHeight="false" outlineLevel="0" collapsed="false">
      <c r="A37" s="2" t="s">
        <v>502</v>
      </c>
      <c r="B37" s="2" t="s">
        <v>32</v>
      </c>
      <c r="C37" s="2" t="s">
        <v>503</v>
      </c>
      <c r="D37" s="2" t="s">
        <v>69</v>
      </c>
      <c r="E37" s="2" t="s">
        <v>70</v>
      </c>
      <c r="F37" s="3" t="s">
        <v>36</v>
      </c>
      <c r="G37" s="2" t="s">
        <v>504</v>
      </c>
      <c r="H37" s="2" t="s">
        <v>505</v>
      </c>
      <c r="I37" s="2" t="s">
        <v>506</v>
      </c>
      <c r="J37" s="2" t="s">
        <v>507</v>
      </c>
      <c r="K37" s="2" t="s">
        <v>508</v>
      </c>
      <c r="L37" s="2" t="s">
        <v>76</v>
      </c>
      <c r="M37" s="2"/>
      <c r="N37" s="2" t="s">
        <v>77</v>
      </c>
      <c r="O37" s="3" t="s">
        <v>93</v>
      </c>
      <c r="P37" s="2" t="s">
        <v>79</v>
      </c>
      <c r="Q37" s="2" t="s">
        <v>509</v>
      </c>
      <c r="R37" s="2" t="s">
        <v>510</v>
      </c>
      <c r="S37" s="2" t="s">
        <v>49</v>
      </c>
      <c r="T37" s="3" t="s">
        <v>82</v>
      </c>
      <c r="U37" s="2"/>
      <c r="V37" s="2"/>
      <c r="W37" s="2"/>
      <c r="X37" s="2"/>
      <c r="Y37" s="2"/>
      <c r="Z37" s="2"/>
      <c r="AA37" s="2"/>
      <c r="AB37" s="2" t="s">
        <v>67</v>
      </c>
      <c r="AC37" s="2"/>
      <c r="AD37" s="2" t="s">
        <v>511</v>
      </c>
      <c r="AE37" s="3" t="s">
        <v>53</v>
      </c>
    </row>
    <row r="38" customFormat="false" ht="15" hidden="false" customHeight="false" outlineLevel="0" collapsed="false">
      <c r="A38" s="2" t="s">
        <v>512</v>
      </c>
      <c r="B38" s="2" t="s">
        <v>32</v>
      </c>
      <c r="C38" s="2" t="s">
        <v>513</v>
      </c>
      <c r="D38" s="2" t="s">
        <v>69</v>
      </c>
      <c r="E38" s="2" t="s">
        <v>70</v>
      </c>
      <c r="F38" s="3" t="s">
        <v>36</v>
      </c>
      <c r="G38" s="2" t="s">
        <v>514</v>
      </c>
      <c r="H38" s="2" t="s">
        <v>515</v>
      </c>
      <c r="I38" s="2" t="s">
        <v>516</v>
      </c>
      <c r="J38" s="2" t="s">
        <v>517</v>
      </c>
      <c r="K38" s="2" t="s">
        <v>518</v>
      </c>
      <c r="L38" s="2" t="s">
        <v>76</v>
      </c>
      <c r="M38" s="2"/>
      <c r="N38" s="2" t="s">
        <v>519</v>
      </c>
      <c r="O38" s="3" t="s">
        <v>93</v>
      </c>
      <c r="P38" s="2" t="s">
        <v>79</v>
      </c>
      <c r="Q38" s="2" t="s">
        <v>520</v>
      </c>
      <c r="R38" s="2" t="s">
        <v>521</v>
      </c>
      <c r="S38" s="2" t="s">
        <v>49</v>
      </c>
      <c r="T38" s="3" t="s">
        <v>82</v>
      </c>
      <c r="U38" s="2"/>
      <c r="V38" s="2"/>
      <c r="W38" s="2"/>
      <c r="X38" s="2"/>
      <c r="Y38" s="2"/>
      <c r="Z38" s="2"/>
      <c r="AA38" s="2"/>
      <c r="AB38" s="2"/>
      <c r="AC38" s="2"/>
      <c r="AD38" s="2" t="s">
        <v>522</v>
      </c>
      <c r="AE38" s="3" t="s">
        <v>53</v>
      </c>
    </row>
    <row r="39" customFormat="false" ht="15" hidden="false" customHeight="false" outlineLevel="0" collapsed="false">
      <c r="A39" s="2" t="s">
        <v>523</v>
      </c>
      <c r="B39" s="2" t="s">
        <v>32</v>
      </c>
      <c r="C39" s="2" t="s">
        <v>524</v>
      </c>
      <c r="D39" s="2" t="s">
        <v>69</v>
      </c>
      <c r="E39" s="2" t="s">
        <v>70</v>
      </c>
      <c r="F39" s="3" t="s">
        <v>101</v>
      </c>
      <c r="G39" s="2" t="s">
        <v>525</v>
      </c>
      <c r="H39" s="2" t="s">
        <v>526</v>
      </c>
      <c r="I39" s="2" t="s">
        <v>527</v>
      </c>
      <c r="J39" s="2" t="s">
        <v>528</v>
      </c>
      <c r="K39" s="2" t="s">
        <v>529</v>
      </c>
      <c r="L39" s="2" t="s">
        <v>76</v>
      </c>
      <c r="M39" s="2"/>
      <c r="N39" s="2" t="s">
        <v>530</v>
      </c>
      <c r="O39" s="3" t="s">
        <v>93</v>
      </c>
      <c r="P39" s="2"/>
      <c r="Q39" s="2" t="s">
        <v>531</v>
      </c>
      <c r="R39" s="2" t="s">
        <v>532</v>
      </c>
      <c r="S39" s="2" t="s">
        <v>49</v>
      </c>
      <c r="T39" s="3" t="s">
        <v>82</v>
      </c>
      <c r="U39" s="2"/>
      <c r="V39" s="2"/>
      <c r="W39" s="2"/>
      <c r="X39" s="2"/>
      <c r="Y39" s="2"/>
      <c r="Z39" s="2"/>
      <c r="AA39" s="2"/>
      <c r="AB39" s="2"/>
      <c r="AC39" s="2"/>
      <c r="AD39" s="2" t="s">
        <v>533</v>
      </c>
      <c r="AE39" s="3" t="s">
        <v>53</v>
      </c>
    </row>
    <row r="40" customFormat="false" ht="15" hidden="false" customHeight="false" outlineLevel="0" collapsed="false">
      <c r="A40" s="2" t="s">
        <v>534</v>
      </c>
      <c r="B40" s="2" t="s">
        <v>32</v>
      </c>
      <c r="C40" s="2" t="s">
        <v>535</v>
      </c>
      <c r="D40" s="2" t="s">
        <v>69</v>
      </c>
      <c r="E40" s="2" t="s">
        <v>70</v>
      </c>
      <c r="F40" s="3" t="s">
        <v>86</v>
      </c>
      <c r="G40" s="2" t="s">
        <v>536</v>
      </c>
      <c r="H40" s="2" t="s">
        <v>537</v>
      </c>
      <c r="I40" s="2" t="s">
        <v>538</v>
      </c>
      <c r="J40" s="2" t="s">
        <v>539</v>
      </c>
      <c r="K40" s="2" t="s">
        <v>540</v>
      </c>
      <c r="L40" s="2" t="s">
        <v>76</v>
      </c>
      <c r="M40" s="2"/>
      <c r="N40" s="2" t="s">
        <v>541</v>
      </c>
      <c r="O40" s="3" t="s">
        <v>93</v>
      </c>
      <c r="P40" s="2" t="s">
        <v>94</v>
      </c>
      <c r="Q40" s="2" t="s">
        <v>542</v>
      </c>
      <c r="R40" s="2" t="s">
        <v>285</v>
      </c>
      <c r="S40" s="2" t="s">
        <v>49</v>
      </c>
      <c r="T40" s="3" t="s">
        <v>82</v>
      </c>
      <c r="U40" s="2"/>
      <c r="V40" s="2"/>
      <c r="W40" s="2"/>
      <c r="X40" s="2"/>
      <c r="Y40" s="2"/>
      <c r="Z40" s="2"/>
      <c r="AA40" s="2"/>
      <c r="AB40" s="2" t="s">
        <v>543</v>
      </c>
      <c r="AC40" s="2"/>
      <c r="AD40" s="2" t="s">
        <v>544</v>
      </c>
      <c r="AE40" s="3" t="s">
        <v>53</v>
      </c>
    </row>
    <row r="41" customFormat="false" ht="15" hidden="false" customHeight="false" outlineLevel="0" collapsed="false">
      <c r="A41" s="2" t="s">
        <v>545</v>
      </c>
      <c r="B41" s="2" t="s">
        <v>32</v>
      </c>
      <c r="C41" s="2" t="s">
        <v>546</v>
      </c>
      <c r="D41" s="2" t="s">
        <v>69</v>
      </c>
      <c r="E41" s="2" t="s">
        <v>70</v>
      </c>
      <c r="F41" s="3" t="s">
        <v>101</v>
      </c>
      <c r="G41" s="2" t="s">
        <v>547</v>
      </c>
      <c r="H41" s="2" t="s">
        <v>548</v>
      </c>
      <c r="I41" s="2" t="s">
        <v>549</v>
      </c>
      <c r="J41" s="2" t="s">
        <v>550</v>
      </c>
      <c r="K41" s="2" t="s">
        <v>551</v>
      </c>
      <c r="L41" s="2" t="s">
        <v>76</v>
      </c>
      <c r="M41" s="2"/>
      <c r="N41" s="2" t="s">
        <v>552</v>
      </c>
      <c r="O41" s="3" t="s">
        <v>553</v>
      </c>
      <c r="P41" s="2"/>
      <c r="Q41" s="2" t="s">
        <v>554</v>
      </c>
      <c r="R41" s="2" t="s">
        <v>555</v>
      </c>
      <c r="S41" s="2" t="s">
        <v>49</v>
      </c>
      <c r="T41" s="3" t="s">
        <v>82</v>
      </c>
      <c r="U41" s="2"/>
      <c r="V41" s="2"/>
      <c r="W41" s="2"/>
      <c r="X41" s="2"/>
      <c r="Y41" s="2"/>
      <c r="Z41" s="2"/>
      <c r="AA41" s="2"/>
      <c r="AB41" s="2" t="s">
        <v>340</v>
      </c>
      <c r="AC41" s="2"/>
      <c r="AD41" s="2" t="s">
        <v>556</v>
      </c>
      <c r="AE41" s="3" t="s">
        <v>53</v>
      </c>
    </row>
    <row r="42" customFormat="false" ht="15" hidden="false" customHeight="false" outlineLevel="0" collapsed="false">
      <c r="A42" s="2" t="s">
        <v>557</v>
      </c>
      <c r="B42" s="2" t="s">
        <v>32</v>
      </c>
      <c r="C42" s="2" t="s">
        <v>558</v>
      </c>
      <c r="D42" s="2" t="s">
        <v>100</v>
      </c>
      <c r="E42" s="2" t="s">
        <v>70</v>
      </c>
      <c r="F42" s="3" t="s">
        <v>101</v>
      </c>
      <c r="G42" s="2" t="s">
        <v>559</v>
      </c>
      <c r="H42" s="2" t="s">
        <v>560</v>
      </c>
      <c r="I42" s="2" t="s">
        <v>561</v>
      </c>
      <c r="J42" s="2" t="s">
        <v>562</v>
      </c>
      <c r="K42" s="2" t="s">
        <v>563</v>
      </c>
      <c r="L42" s="2" t="s">
        <v>76</v>
      </c>
      <c r="M42" s="2"/>
      <c r="N42" s="2" t="s">
        <v>552</v>
      </c>
      <c r="O42" s="3" t="s">
        <v>108</v>
      </c>
      <c r="P42" s="2" t="s">
        <v>564</v>
      </c>
      <c r="Q42" s="2" t="s">
        <v>110</v>
      </c>
      <c r="R42" s="2" t="s">
        <v>111</v>
      </c>
      <c r="S42" s="2" t="s">
        <v>49</v>
      </c>
      <c r="T42" s="3" t="s">
        <v>82</v>
      </c>
      <c r="U42" s="2"/>
      <c r="V42" s="2"/>
      <c r="W42" s="2"/>
      <c r="X42" s="2"/>
      <c r="Y42" s="2"/>
      <c r="Z42" s="2"/>
      <c r="AA42" s="2"/>
      <c r="AB42" s="2" t="s">
        <v>565</v>
      </c>
      <c r="AC42" s="2"/>
      <c r="AD42" s="2" t="s">
        <v>566</v>
      </c>
      <c r="AE42" s="3" t="s">
        <v>53</v>
      </c>
    </row>
    <row r="43" customFormat="false" ht="15" hidden="false" customHeight="false" outlineLevel="0" collapsed="false">
      <c r="A43" s="2" t="s">
        <v>567</v>
      </c>
      <c r="B43" s="2" t="s">
        <v>32</v>
      </c>
      <c r="C43" s="2" t="s">
        <v>568</v>
      </c>
      <c r="D43" s="2" t="s">
        <v>100</v>
      </c>
      <c r="E43" s="2" t="s">
        <v>70</v>
      </c>
      <c r="F43" s="3" t="s">
        <v>259</v>
      </c>
      <c r="G43" s="2" t="s">
        <v>569</v>
      </c>
      <c r="H43" s="2" t="s">
        <v>570</v>
      </c>
      <c r="I43" s="2" t="s">
        <v>571</v>
      </c>
      <c r="J43" s="2" t="s">
        <v>572</v>
      </c>
      <c r="K43" s="2" t="s">
        <v>573</v>
      </c>
      <c r="L43" s="2" t="s">
        <v>76</v>
      </c>
      <c r="M43" s="2"/>
      <c r="N43" s="2" t="s">
        <v>574</v>
      </c>
      <c r="O43" s="3" t="s">
        <v>93</v>
      </c>
      <c r="P43" s="2"/>
      <c r="Q43" s="2" t="s">
        <v>575</v>
      </c>
      <c r="R43" s="2" t="s">
        <v>111</v>
      </c>
      <c r="S43" s="2" t="s">
        <v>49</v>
      </c>
      <c r="T43" s="3" t="s">
        <v>82</v>
      </c>
      <c r="U43" s="2"/>
      <c r="V43" s="2"/>
      <c r="W43" s="2"/>
      <c r="X43" s="2"/>
      <c r="Y43" s="2"/>
      <c r="Z43" s="2"/>
      <c r="AA43" s="2"/>
      <c r="AB43" s="2" t="s">
        <v>98</v>
      </c>
      <c r="AC43" s="2"/>
      <c r="AD43" s="2" t="s">
        <v>576</v>
      </c>
      <c r="AE43" s="3" t="s">
        <v>53</v>
      </c>
    </row>
    <row r="44" customFormat="false" ht="15" hidden="false" customHeight="false" outlineLevel="0" collapsed="false">
      <c r="A44" s="2" t="s">
        <v>577</v>
      </c>
      <c r="B44" s="2" t="s">
        <v>32</v>
      </c>
      <c r="C44" s="2" t="s">
        <v>578</v>
      </c>
      <c r="D44" s="2" t="s">
        <v>188</v>
      </c>
      <c r="E44" s="2" t="s">
        <v>274</v>
      </c>
      <c r="F44" s="3" t="s">
        <v>259</v>
      </c>
      <c r="G44" s="2" t="s">
        <v>579</v>
      </c>
      <c r="H44" s="2" t="s">
        <v>580</v>
      </c>
      <c r="I44" s="2" t="s">
        <v>581</v>
      </c>
      <c r="J44" s="2" t="s">
        <v>582</v>
      </c>
      <c r="K44" s="2" t="s">
        <v>583</v>
      </c>
      <c r="L44" s="2" t="s">
        <v>195</v>
      </c>
      <c r="M44" s="2" t="s">
        <v>196</v>
      </c>
      <c r="N44" s="2" t="s">
        <v>584</v>
      </c>
      <c r="O44" s="3" t="s">
        <v>198</v>
      </c>
      <c r="P44" s="2" t="s">
        <v>585</v>
      </c>
      <c r="Q44" s="2" t="s">
        <v>586</v>
      </c>
      <c r="R44" s="2" t="s">
        <v>201</v>
      </c>
      <c r="S44" s="2" t="s">
        <v>286</v>
      </c>
      <c r="T44" s="3" t="s">
        <v>50</v>
      </c>
      <c r="U44" s="2"/>
      <c r="V44" s="2"/>
      <c r="W44" s="2"/>
      <c r="X44" s="2"/>
      <c r="Y44" s="2"/>
      <c r="Z44" s="2"/>
      <c r="AA44" s="2"/>
      <c r="AB44" s="2" t="s">
        <v>587</v>
      </c>
      <c r="AC44" s="2"/>
      <c r="AD44" s="2" t="s">
        <v>588</v>
      </c>
      <c r="AE44" s="3" t="s">
        <v>53</v>
      </c>
    </row>
    <row r="45" customFormat="false" ht="15" hidden="false" customHeight="false" outlineLevel="0" collapsed="false">
      <c r="A45" s="2" t="s">
        <v>589</v>
      </c>
      <c r="B45" s="2" t="s">
        <v>32</v>
      </c>
      <c r="C45" s="2" t="s">
        <v>590</v>
      </c>
      <c r="D45" s="2" t="s">
        <v>188</v>
      </c>
      <c r="E45" s="2" t="s">
        <v>189</v>
      </c>
      <c r="F45" s="3" t="s">
        <v>101</v>
      </c>
      <c r="G45" s="2" t="s">
        <v>591</v>
      </c>
      <c r="H45" s="2" t="s">
        <v>592</v>
      </c>
      <c r="I45" s="2" t="s">
        <v>593</v>
      </c>
      <c r="J45" s="2" t="s">
        <v>594</v>
      </c>
      <c r="K45" s="2" t="s">
        <v>595</v>
      </c>
      <c r="L45" s="2" t="s">
        <v>195</v>
      </c>
      <c r="M45" s="2"/>
      <c r="N45" s="2" t="s">
        <v>596</v>
      </c>
      <c r="O45" s="3" t="s">
        <v>198</v>
      </c>
      <c r="P45" s="2" t="s">
        <v>597</v>
      </c>
      <c r="Q45" s="2" t="s">
        <v>598</v>
      </c>
      <c r="R45" s="2" t="s">
        <v>201</v>
      </c>
      <c r="S45" s="2" t="s">
        <v>599</v>
      </c>
      <c r="T45" s="3" t="s">
        <v>50</v>
      </c>
      <c r="U45" s="2"/>
      <c r="V45" s="2"/>
      <c r="W45" s="2"/>
      <c r="X45" s="2"/>
      <c r="Y45" s="2"/>
      <c r="Z45" s="2"/>
      <c r="AA45" s="2"/>
      <c r="AB45" s="2" t="s">
        <v>600</v>
      </c>
      <c r="AC45" s="2" t="s">
        <v>601</v>
      </c>
      <c r="AD45" s="2" t="s">
        <v>602</v>
      </c>
      <c r="AE45" s="3" t="s">
        <v>53</v>
      </c>
    </row>
    <row r="46" customFormat="false" ht="15" hidden="false" customHeight="false" outlineLevel="0" collapsed="false">
      <c r="A46" s="2" t="s">
        <v>425</v>
      </c>
      <c r="B46" s="2" t="s">
        <v>32</v>
      </c>
      <c r="C46" s="2" t="s">
        <v>603</v>
      </c>
      <c r="D46" s="2" t="s">
        <v>188</v>
      </c>
      <c r="E46" s="2" t="s">
        <v>189</v>
      </c>
      <c r="F46" s="3" t="s">
        <v>36</v>
      </c>
      <c r="G46" s="2" t="s">
        <v>604</v>
      </c>
      <c r="H46" s="2" t="s">
        <v>605</v>
      </c>
      <c r="I46" s="2" t="s">
        <v>606</v>
      </c>
      <c r="J46" s="2" t="s">
        <v>607</v>
      </c>
      <c r="K46" s="2" t="s">
        <v>608</v>
      </c>
      <c r="L46" s="2" t="s">
        <v>195</v>
      </c>
      <c r="M46" s="2"/>
      <c r="N46" s="2" t="s">
        <v>609</v>
      </c>
      <c r="O46" s="3" t="s">
        <v>198</v>
      </c>
      <c r="P46" s="2" t="s">
        <v>610</v>
      </c>
      <c r="Q46" s="2" t="s">
        <v>611</v>
      </c>
      <c r="R46" s="2" t="s">
        <v>201</v>
      </c>
      <c r="S46" s="2" t="s">
        <v>49</v>
      </c>
      <c r="T46" s="3" t="s">
        <v>50</v>
      </c>
      <c r="U46" s="2"/>
      <c r="V46" s="2"/>
      <c r="W46" s="2"/>
      <c r="X46" s="2"/>
      <c r="Y46" s="2"/>
      <c r="Z46" s="2"/>
      <c r="AA46" s="2"/>
      <c r="AB46" s="2" t="s">
        <v>612</v>
      </c>
      <c r="AC46" s="2"/>
      <c r="AD46" s="2" t="s">
        <v>613</v>
      </c>
      <c r="AE46" s="3" t="s">
        <v>53</v>
      </c>
    </row>
    <row r="47" customFormat="false" ht="15" hidden="false" customHeight="false" outlineLevel="0" collapsed="false">
      <c r="A47" s="2" t="s">
        <v>614</v>
      </c>
      <c r="B47" s="2" t="s">
        <v>32</v>
      </c>
      <c r="C47" s="2" t="s">
        <v>615</v>
      </c>
      <c r="D47" s="2" t="s">
        <v>188</v>
      </c>
      <c r="E47" s="2" t="s">
        <v>189</v>
      </c>
      <c r="F47" s="3" t="s">
        <v>36</v>
      </c>
      <c r="G47" s="2" t="s">
        <v>616</v>
      </c>
      <c r="H47" s="2" t="s">
        <v>617</v>
      </c>
      <c r="I47" s="2" t="s">
        <v>618</v>
      </c>
      <c r="J47" s="2" t="s">
        <v>619</v>
      </c>
      <c r="K47" s="2" t="s">
        <v>620</v>
      </c>
      <c r="L47" s="2" t="s">
        <v>195</v>
      </c>
      <c r="M47" s="2" t="s">
        <v>196</v>
      </c>
      <c r="N47" s="2" t="s">
        <v>621</v>
      </c>
      <c r="O47" s="3" t="s">
        <v>198</v>
      </c>
      <c r="P47" s="2" t="s">
        <v>622</v>
      </c>
      <c r="Q47" s="2" t="s">
        <v>623</v>
      </c>
      <c r="R47" s="2" t="s">
        <v>201</v>
      </c>
      <c r="S47" s="2" t="s">
        <v>49</v>
      </c>
      <c r="T47" s="3" t="s">
        <v>50</v>
      </c>
      <c r="U47" s="2"/>
      <c r="V47" s="2"/>
      <c r="W47" s="2"/>
      <c r="X47" s="2"/>
      <c r="Y47" s="2"/>
      <c r="Z47" s="2"/>
      <c r="AA47" s="2"/>
      <c r="AB47" s="2" t="s">
        <v>624</v>
      </c>
      <c r="AC47" s="2"/>
      <c r="AD47" s="2" t="s">
        <v>625</v>
      </c>
      <c r="AE47" s="3" t="s">
        <v>53</v>
      </c>
    </row>
    <row r="48" customFormat="false" ht="15" hidden="false" customHeight="false" outlineLevel="0" collapsed="false">
      <c r="A48" s="2" t="s">
        <v>626</v>
      </c>
      <c r="B48" s="2" t="s">
        <v>32</v>
      </c>
      <c r="C48" s="2" t="s">
        <v>627</v>
      </c>
      <c r="D48" s="2" t="s">
        <v>205</v>
      </c>
      <c r="E48" s="2" t="s">
        <v>189</v>
      </c>
      <c r="F48" s="3" t="s">
        <v>259</v>
      </c>
      <c r="G48" s="2" t="s">
        <v>628</v>
      </c>
      <c r="H48" s="2" t="s">
        <v>629</v>
      </c>
      <c r="I48" s="2" t="s">
        <v>630</v>
      </c>
      <c r="J48" s="2" t="s">
        <v>631</v>
      </c>
      <c r="K48" s="2" t="s">
        <v>632</v>
      </c>
      <c r="L48" s="2" t="s">
        <v>280</v>
      </c>
      <c r="M48" s="2"/>
      <c r="N48" s="2" t="s">
        <v>633</v>
      </c>
      <c r="O48" s="3" t="s">
        <v>212</v>
      </c>
      <c r="P48" s="2" t="s">
        <v>634</v>
      </c>
      <c r="Q48" s="2" t="s">
        <v>635</v>
      </c>
      <c r="R48" s="2" t="s">
        <v>215</v>
      </c>
      <c r="S48" s="2" t="s">
        <v>49</v>
      </c>
      <c r="T48" s="3" t="s">
        <v>50</v>
      </c>
      <c r="U48" s="2"/>
      <c r="V48" s="2"/>
      <c r="W48" s="2"/>
      <c r="X48" s="2"/>
      <c r="Y48" s="2"/>
      <c r="Z48" s="2"/>
      <c r="AA48" s="2"/>
      <c r="AB48" s="2" t="s">
        <v>203</v>
      </c>
      <c r="AC48" s="2"/>
      <c r="AD48" s="2" t="s">
        <v>636</v>
      </c>
      <c r="AE48" s="3" t="s">
        <v>53</v>
      </c>
    </row>
    <row r="49" customFormat="false" ht="15" hidden="false" customHeight="false" outlineLevel="0" collapsed="false">
      <c r="A49" s="2" t="s">
        <v>365</v>
      </c>
      <c r="B49" s="2" t="s">
        <v>32</v>
      </c>
      <c r="C49" s="2" t="s">
        <v>637</v>
      </c>
      <c r="D49" s="2" t="s">
        <v>273</v>
      </c>
      <c r="E49" s="2" t="s">
        <v>274</v>
      </c>
      <c r="F49" s="3" t="s">
        <v>259</v>
      </c>
      <c r="G49" s="2" t="s">
        <v>638</v>
      </c>
      <c r="H49" s="2" t="s">
        <v>639</v>
      </c>
      <c r="I49" s="2" t="s">
        <v>640</v>
      </c>
      <c r="J49" s="2" t="s">
        <v>641</v>
      </c>
      <c r="K49" s="2" t="s">
        <v>642</v>
      </c>
      <c r="L49" s="2" t="s">
        <v>280</v>
      </c>
      <c r="M49" s="2" t="s">
        <v>643</v>
      </c>
      <c r="N49" s="2" t="s">
        <v>644</v>
      </c>
      <c r="O49" s="3" t="s">
        <v>645</v>
      </c>
      <c r="P49" s="2" t="s">
        <v>646</v>
      </c>
      <c r="Q49" s="2" t="s">
        <v>647</v>
      </c>
      <c r="R49" s="2" t="s">
        <v>648</v>
      </c>
      <c r="S49" s="2" t="s">
        <v>286</v>
      </c>
      <c r="T49" s="3" t="s">
        <v>82</v>
      </c>
      <c r="U49" s="2"/>
      <c r="V49" s="2"/>
      <c r="W49" s="2"/>
      <c r="X49" s="2"/>
      <c r="Y49" s="2"/>
      <c r="Z49" s="2"/>
      <c r="AA49" s="2"/>
      <c r="AB49" s="2" t="s">
        <v>649</v>
      </c>
      <c r="AC49" s="2"/>
      <c r="AD49" s="2" t="s">
        <v>650</v>
      </c>
      <c r="AE49" s="3" t="s">
        <v>53</v>
      </c>
    </row>
    <row r="50" customFormat="false" ht="15" hidden="false" customHeight="false" outlineLevel="0" collapsed="false">
      <c r="A50" s="2" t="s">
        <v>651</v>
      </c>
      <c r="B50" s="2" t="s">
        <v>32</v>
      </c>
      <c r="C50" s="2" t="s">
        <v>652</v>
      </c>
      <c r="D50" s="2" t="s">
        <v>273</v>
      </c>
      <c r="E50" s="2" t="s">
        <v>70</v>
      </c>
      <c r="F50" s="3" t="s">
        <v>101</v>
      </c>
      <c r="G50" s="2" t="s">
        <v>653</v>
      </c>
      <c r="H50" s="2" t="s">
        <v>654</v>
      </c>
      <c r="I50" s="2" t="s">
        <v>655</v>
      </c>
      <c r="J50" s="2" t="s">
        <v>656</v>
      </c>
      <c r="K50" s="2" t="s">
        <v>657</v>
      </c>
      <c r="L50" s="2" t="s">
        <v>280</v>
      </c>
      <c r="M50" s="2"/>
      <c r="N50" s="2" t="s">
        <v>658</v>
      </c>
      <c r="O50" s="3" t="s">
        <v>282</v>
      </c>
      <c r="P50" s="2" t="s">
        <v>79</v>
      </c>
      <c r="Q50" s="2" t="s">
        <v>659</v>
      </c>
      <c r="R50" s="2" t="s">
        <v>285</v>
      </c>
      <c r="S50" s="2" t="s">
        <v>49</v>
      </c>
      <c r="T50" s="3" t="s">
        <v>82</v>
      </c>
      <c r="U50" s="2"/>
      <c r="V50" s="2"/>
      <c r="W50" s="2"/>
      <c r="X50" s="2"/>
      <c r="Y50" s="2"/>
      <c r="Z50" s="2"/>
      <c r="AA50" s="2"/>
      <c r="AB50" s="2" t="s">
        <v>660</v>
      </c>
      <c r="AC50" s="2"/>
      <c r="AD50" s="2" t="s">
        <v>661</v>
      </c>
      <c r="AE50" s="3" t="s">
        <v>53</v>
      </c>
    </row>
    <row r="51" customFormat="false" ht="15" hidden="false" customHeight="false" outlineLevel="0" collapsed="false">
      <c r="A51" s="2" t="s">
        <v>662</v>
      </c>
      <c r="B51" s="2" t="s">
        <v>32</v>
      </c>
      <c r="C51" s="2" t="s">
        <v>663</v>
      </c>
      <c r="D51" s="2" t="s">
        <v>664</v>
      </c>
      <c r="E51" s="2" t="s">
        <v>665</v>
      </c>
      <c r="F51" s="3" t="s">
        <v>101</v>
      </c>
      <c r="G51" s="2" t="s">
        <v>666</v>
      </c>
      <c r="H51" s="2" t="s">
        <v>667</v>
      </c>
      <c r="I51" s="2" t="s">
        <v>668</v>
      </c>
      <c r="J51" s="2" t="s">
        <v>669</v>
      </c>
      <c r="K51" s="2" t="s">
        <v>670</v>
      </c>
      <c r="L51" s="2" t="s">
        <v>671</v>
      </c>
      <c r="M51" s="2"/>
      <c r="N51" s="2" t="s">
        <v>672</v>
      </c>
      <c r="O51" s="3" t="s">
        <v>363</v>
      </c>
      <c r="P51" s="2" t="s">
        <v>673</v>
      </c>
      <c r="Q51" s="2" t="s">
        <v>674</v>
      </c>
      <c r="R51" s="2" t="s">
        <v>285</v>
      </c>
      <c r="S51" s="2"/>
      <c r="T51" s="3" t="s">
        <v>675</v>
      </c>
      <c r="U51" s="2"/>
      <c r="V51" s="2"/>
      <c r="W51" s="2"/>
      <c r="X51" s="2"/>
      <c r="Y51" s="2"/>
      <c r="Z51" s="2"/>
      <c r="AA51" s="2"/>
      <c r="AB51" s="2" t="s">
        <v>676</v>
      </c>
      <c r="AC51" s="2"/>
      <c r="AD51" s="2" t="s">
        <v>677</v>
      </c>
      <c r="AE51" s="3" t="s">
        <v>53</v>
      </c>
    </row>
    <row r="52" customFormat="false" ht="15" hidden="false" customHeight="false" outlineLevel="0" collapsed="false">
      <c r="A52" s="2" t="s">
        <v>678</v>
      </c>
      <c r="B52" s="2" t="s">
        <v>32</v>
      </c>
      <c r="C52" s="2" t="s">
        <v>679</v>
      </c>
      <c r="D52" s="2" t="s">
        <v>149</v>
      </c>
      <c r="E52" s="2" t="s">
        <v>258</v>
      </c>
      <c r="F52" s="3" t="s">
        <v>101</v>
      </c>
      <c r="G52" s="2" t="s">
        <v>680</v>
      </c>
      <c r="H52" s="2" t="s">
        <v>681</v>
      </c>
      <c r="I52" s="2" t="s">
        <v>682</v>
      </c>
      <c r="J52" s="2" t="s">
        <v>683</v>
      </c>
      <c r="K52" s="2" t="s">
        <v>684</v>
      </c>
      <c r="L52" s="2" t="s">
        <v>685</v>
      </c>
      <c r="M52" s="2"/>
      <c r="N52" s="2" t="s">
        <v>686</v>
      </c>
      <c r="O52" s="3" t="s">
        <v>687</v>
      </c>
      <c r="P52" s="2" t="s">
        <v>688</v>
      </c>
      <c r="Q52" s="2" t="s">
        <v>689</v>
      </c>
      <c r="R52" s="2" t="s">
        <v>285</v>
      </c>
      <c r="S52" s="2"/>
      <c r="T52" s="3" t="s">
        <v>82</v>
      </c>
      <c r="U52" s="2"/>
      <c r="V52" s="2"/>
      <c r="W52" s="2"/>
      <c r="X52" s="2"/>
      <c r="Y52" s="2"/>
      <c r="Z52" s="2"/>
      <c r="AA52" s="2"/>
      <c r="AB52" s="2" t="s">
        <v>690</v>
      </c>
      <c r="AC52" s="2"/>
      <c r="AD52" s="2" t="s">
        <v>691</v>
      </c>
      <c r="AE52" s="3" t="s">
        <v>53</v>
      </c>
    </row>
    <row r="53" customFormat="false" ht="15" hidden="false" customHeight="false" outlineLevel="0" collapsed="false">
      <c r="A53" s="2" t="s">
        <v>692</v>
      </c>
      <c r="B53" s="2" t="s">
        <v>32</v>
      </c>
      <c r="C53" s="2" t="s">
        <v>693</v>
      </c>
      <c r="D53" s="2" t="s">
        <v>233</v>
      </c>
      <c r="E53" s="2" t="s">
        <v>316</v>
      </c>
      <c r="F53" s="3" t="s">
        <v>101</v>
      </c>
      <c r="G53" s="2" t="s">
        <v>694</v>
      </c>
      <c r="H53" s="2" t="s">
        <v>695</v>
      </c>
      <c r="I53" s="2" t="s">
        <v>696</v>
      </c>
      <c r="J53" s="2" t="s">
        <v>697</v>
      </c>
      <c r="K53" s="2" t="s">
        <v>698</v>
      </c>
      <c r="L53" s="2" t="s">
        <v>42</v>
      </c>
      <c r="M53" s="2"/>
      <c r="N53" s="2" t="s">
        <v>699</v>
      </c>
      <c r="O53" s="3" t="s">
        <v>240</v>
      </c>
      <c r="P53" s="2"/>
      <c r="Q53" s="2" t="s">
        <v>700</v>
      </c>
      <c r="R53" s="2" t="s">
        <v>111</v>
      </c>
      <c r="S53" s="2" t="s">
        <v>49</v>
      </c>
      <c r="T53" s="3" t="s">
        <v>82</v>
      </c>
      <c r="U53" s="2"/>
      <c r="V53" s="2"/>
      <c r="W53" s="2"/>
      <c r="X53" s="2"/>
      <c r="Y53" s="2"/>
      <c r="Z53" s="2"/>
      <c r="AA53" s="2"/>
      <c r="AB53" s="2" t="s">
        <v>701</v>
      </c>
      <c r="AC53" s="2"/>
      <c r="AD53" s="2" t="s">
        <v>702</v>
      </c>
      <c r="AE53" s="3" t="s">
        <v>53</v>
      </c>
    </row>
    <row r="54" customFormat="false" ht="15" hidden="false" customHeight="false" outlineLevel="0" collapsed="false">
      <c r="A54" s="2" t="s">
        <v>703</v>
      </c>
      <c r="B54" s="2" t="s">
        <v>32</v>
      </c>
      <c r="C54" s="2" t="s">
        <v>704</v>
      </c>
      <c r="D54" s="2" t="s">
        <v>315</v>
      </c>
      <c r="E54" s="2" t="s">
        <v>189</v>
      </c>
      <c r="F54" s="3" t="s">
        <v>101</v>
      </c>
      <c r="G54" s="2" t="s">
        <v>705</v>
      </c>
      <c r="H54" s="2" t="s">
        <v>706</v>
      </c>
      <c r="I54" s="2" t="s">
        <v>707</v>
      </c>
      <c r="J54" s="2" t="s">
        <v>708</v>
      </c>
      <c r="K54" s="2" t="s">
        <v>709</v>
      </c>
      <c r="L54" s="2" t="s">
        <v>307</v>
      </c>
      <c r="M54" s="2"/>
      <c r="N54" s="2" t="s">
        <v>710</v>
      </c>
      <c r="O54" s="3" t="s">
        <v>711</v>
      </c>
      <c r="P54" s="2" t="s">
        <v>712</v>
      </c>
      <c r="Q54" s="2" t="s">
        <v>713</v>
      </c>
      <c r="R54" s="2" t="s">
        <v>285</v>
      </c>
      <c r="S54" s="2" t="s">
        <v>49</v>
      </c>
      <c r="T54" s="3" t="s">
        <v>326</v>
      </c>
      <c r="U54" s="2"/>
      <c r="V54" s="2"/>
      <c r="W54" s="2"/>
      <c r="X54" s="2"/>
      <c r="Y54" s="2"/>
      <c r="Z54" s="2"/>
      <c r="AA54" s="2"/>
      <c r="AB54" s="2" t="s">
        <v>714</v>
      </c>
      <c r="AC54" s="2"/>
      <c r="AD54" s="2" t="s">
        <v>715</v>
      </c>
      <c r="AE54" s="3" t="s">
        <v>53</v>
      </c>
    </row>
    <row r="55" customFormat="false" ht="15" hidden="false" customHeight="false" outlineLevel="0" collapsed="false">
      <c r="A55" s="2" t="s">
        <v>51</v>
      </c>
      <c r="B55" s="2" t="s">
        <v>716</v>
      </c>
      <c r="C55" s="2" t="s">
        <v>717</v>
      </c>
      <c r="D55" s="2" t="s">
        <v>34</v>
      </c>
      <c r="E55" s="2" t="s">
        <v>35</v>
      </c>
      <c r="F55" s="3" t="s">
        <v>36</v>
      </c>
      <c r="G55" s="2" t="s">
        <v>718</v>
      </c>
      <c r="H55" s="2" t="s">
        <v>719</v>
      </c>
      <c r="I55" s="2" t="s">
        <v>720</v>
      </c>
      <c r="J55" s="2" t="s">
        <v>721</v>
      </c>
      <c r="K55" s="2" t="s">
        <v>722</v>
      </c>
      <c r="L55" s="2" t="s">
        <v>42</v>
      </c>
      <c r="M55" s="2" t="s">
        <v>43</v>
      </c>
      <c r="N55" s="2" t="s">
        <v>44</v>
      </c>
      <c r="O55" s="3" t="s">
        <v>45</v>
      </c>
      <c r="P55" s="2" t="s">
        <v>46</v>
      </c>
      <c r="Q55" s="2" t="s">
        <v>723</v>
      </c>
      <c r="R55" s="2" t="s">
        <v>48</v>
      </c>
      <c r="S55" s="2" t="s">
        <v>49</v>
      </c>
      <c r="T55" s="3" t="s">
        <v>50</v>
      </c>
      <c r="U55" s="2"/>
      <c r="V55" s="2"/>
      <c r="W55" s="2"/>
      <c r="X55" s="2"/>
      <c r="Y55" s="2"/>
      <c r="Z55" s="2"/>
      <c r="AA55" s="2"/>
      <c r="AB55" s="2" t="s">
        <v>31</v>
      </c>
      <c r="AC55" s="2"/>
      <c r="AD55" s="2"/>
      <c r="AE55" s="3" t="s">
        <v>53</v>
      </c>
    </row>
    <row r="56" customFormat="false" ht="15" hidden="false" customHeight="false" outlineLevel="0" collapsed="false">
      <c r="A56" s="2" t="s">
        <v>724</v>
      </c>
      <c r="B56" s="2" t="s">
        <v>716</v>
      </c>
      <c r="C56" s="2" t="s">
        <v>725</v>
      </c>
      <c r="D56" s="2" t="s">
        <v>188</v>
      </c>
      <c r="E56" s="2" t="s">
        <v>189</v>
      </c>
      <c r="F56" s="3" t="s">
        <v>36</v>
      </c>
      <c r="G56" s="2" t="s">
        <v>726</v>
      </c>
      <c r="H56" s="2" t="s">
        <v>727</v>
      </c>
      <c r="I56" s="2" t="s">
        <v>728</v>
      </c>
      <c r="J56" s="2" t="s">
        <v>729</v>
      </c>
      <c r="K56" s="2" t="s">
        <v>730</v>
      </c>
      <c r="L56" s="2" t="s">
        <v>195</v>
      </c>
      <c r="M56" s="2" t="s">
        <v>196</v>
      </c>
      <c r="N56" s="2" t="s">
        <v>731</v>
      </c>
      <c r="O56" s="3" t="s">
        <v>198</v>
      </c>
      <c r="P56" s="2" t="s">
        <v>46</v>
      </c>
      <c r="Q56" s="2" t="s">
        <v>732</v>
      </c>
      <c r="R56" s="2" t="s">
        <v>201</v>
      </c>
      <c r="S56" s="2" t="s">
        <v>49</v>
      </c>
      <c r="T56" s="3" t="s">
        <v>50</v>
      </c>
      <c r="U56" s="2"/>
      <c r="V56" s="2"/>
      <c r="W56" s="2"/>
      <c r="X56" s="2"/>
      <c r="Y56" s="2"/>
      <c r="Z56" s="2"/>
      <c r="AA56" s="2"/>
      <c r="AB56" s="2" t="s">
        <v>733</v>
      </c>
      <c r="AC56" s="2"/>
      <c r="AD56" s="2"/>
      <c r="AE56" s="3" t="s">
        <v>53</v>
      </c>
    </row>
    <row r="57" customFormat="false" ht="15" hidden="false" customHeight="false" outlineLevel="0" collapsed="false">
      <c r="A57" s="2" t="s">
        <v>734</v>
      </c>
      <c r="B57" s="2" t="s">
        <v>716</v>
      </c>
      <c r="C57" s="2" t="s">
        <v>735</v>
      </c>
      <c r="D57" s="2" t="s">
        <v>34</v>
      </c>
      <c r="E57" s="2" t="s">
        <v>316</v>
      </c>
      <c r="F57" s="3" t="s">
        <v>101</v>
      </c>
      <c r="G57" s="2" t="s">
        <v>736</v>
      </c>
      <c r="H57" s="2" t="s">
        <v>737</v>
      </c>
      <c r="I57" s="2" t="s">
        <v>738</v>
      </c>
      <c r="J57" s="2" t="s">
        <v>739</v>
      </c>
      <c r="K57" s="2" t="s">
        <v>740</v>
      </c>
      <c r="L57" s="2" t="s">
        <v>42</v>
      </c>
      <c r="M57" s="2" t="s">
        <v>741</v>
      </c>
      <c r="N57" s="2" t="s">
        <v>742</v>
      </c>
      <c r="O57" s="3" t="s">
        <v>45</v>
      </c>
      <c r="P57" s="2"/>
      <c r="Q57" s="2" t="s">
        <v>743</v>
      </c>
      <c r="R57" s="2" t="s">
        <v>744</v>
      </c>
      <c r="S57" s="2" t="s">
        <v>49</v>
      </c>
      <c r="T57" s="3" t="s">
        <v>50</v>
      </c>
      <c r="U57" s="2"/>
      <c r="V57" s="2"/>
      <c r="W57" s="2"/>
      <c r="X57" s="2"/>
      <c r="Y57" s="2"/>
      <c r="Z57" s="2"/>
      <c r="AA57" s="2"/>
      <c r="AB57" s="2" t="s">
        <v>745</v>
      </c>
      <c r="AC57" s="2"/>
      <c r="AD57" s="2"/>
      <c r="AE57" s="3" t="s">
        <v>53</v>
      </c>
    </row>
    <row r="58" customFormat="false" ht="15" hidden="false" customHeight="false" outlineLevel="0" collapsed="false">
      <c r="A58" s="2" t="s">
        <v>464</v>
      </c>
      <c r="B58" s="2" t="s">
        <v>716</v>
      </c>
      <c r="C58" s="2" t="s">
        <v>746</v>
      </c>
      <c r="D58" s="2" t="s">
        <v>747</v>
      </c>
      <c r="E58" s="2" t="s">
        <v>7</v>
      </c>
      <c r="F58" s="3" t="s">
        <v>101</v>
      </c>
      <c r="G58" s="2" t="s">
        <v>748</v>
      </c>
      <c r="H58" s="2" t="s">
        <v>749</v>
      </c>
      <c r="I58" s="2" t="s">
        <v>750</v>
      </c>
      <c r="J58" s="2" t="s">
        <v>751</v>
      </c>
      <c r="K58" s="2" t="s">
        <v>752</v>
      </c>
      <c r="L58" s="2" t="s">
        <v>336</v>
      </c>
      <c r="M58" s="2" t="s">
        <v>753</v>
      </c>
      <c r="N58" s="2" t="s">
        <v>486</v>
      </c>
      <c r="O58" s="3" t="s">
        <v>266</v>
      </c>
      <c r="P58" s="2" t="s">
        <v>754</v>
      </c>
      <c r="Q58" s="2" t="s">
        <v>755</v>
      </c>
      <c r="R58" s="2" t="s">
        <v>285</v>
      </c>
      <c r="S58" s="2" t="s">
        <v>49</v>
      </c>
      <c r="T58" s="3" t="s">
        <v>82</v>
      </c>
      <c r="U58" s="2"/>
      <c r="V58" s="2"/>
      <c r="W58" s="2"/>
      <c r="X58" s="2"/>
      <c r="Y58" s="2"/>
      <c r="Z58" s="2"/>
      <c r="AA58" s="2"/>
      <c r="AB58" s="2" t="s">
        <v>756</v>
      </c>
      <c r="AC58" s="2"/>
      <c r="AD58" s="2"/>
      <c r="AE58" s="3" t="s">
        <v>53</v>
      </c>
    </row>
    <row r="59" customFormat="false" ht="15" hidden="false" customHeight="false" outlineLevel="0" collapsed="false">
      <c r="A59" s="2" t="s">
        <v>757</v>
      </c>
      <c r="B59" s="2" t="s">
        <v>716</v>
      </c>
      <c r="C59" s="2" t="s">
        <v>758</v>
      </c>
      <c r="D59" s="2" t="s">
        <v>34</v>
      </c>
      <c r="E59" s="2" t="s">
        <v>35</v>
      </c>
      <c r="F59" s="3" t="s">
        <v>36</v>
      </c>
      <c r="G59" s="2" t="s">
        <v>759</v>
      </c>
      <c r="H59" s="2" t="s">
        <v>760</v>
      </c>
      <c r="I59" s="2" t="s">
        <v>761</v>
      </c>
      <c r="J59" s="2" t="s">
        <v>762</v>
      </c>
      <c r="K59" s="2" t="s">
        <v>763</v>
      </c>
      <c r="L59" s="2" t="s">
        <v>42</v>
      </c>
      <c r="M59" s="2" t="s">
        <v>61</v>
      </c>
      <c r="N59" s="2" t="s">
        <v>62</v>
      </c>
      <c r="O59" s="3" t="s">
        <v>45</v>
      </c>
      <c r="P59" s="2"/>
      <c r="Q59" s="2" t="s">
        <v>764</v>
      </c>
      <c r="R59" s="2" t="s">
        <v>65</v>
      </c>
      <c r="S59" s="2" t="s">
        <v>49</v>
      </c>
      <c r="T59" s="3" t="s">
        <v>50</v>
      </c>
      <c r="U59" s="2"/>
      <c r="V59" s="2"/>
      <c r="W59" s="2"/>
      <c r="X59" s="2"/>
      <c r="Y59" s="2"/>
      <c r="Z59" s="2"/>
      <c r="AA59" s="2"/>
      <c r="AB59" s="2" t="s">
        <v>54</v>
      </c>
      <c r="AC59" s="2"/>
      <c r="AD59" s="2"/>
      <c r="AE59" s="3" t="s">
        <v>53</v>
      </c>
    </row>
    <row r="60" customFormat="false" ht="15" hidden="false" customHeight="false" outlineLevel="0" collapsed="false">
      <c r="A60" s="2" t="s">
        <v>765</v>
      </c>
      <c r="B60" s="2" t="s">
        <v>716</v>
      </c>
      <c r="C60" s="2" t="s">
        <v>766</v>
      </c>
      <c r="D60" s="2" t="s">
        <v>330</v>
      </c>
      <c r="E60" s="2" t="s">
        <v>7</v>
      </c>
      <c r="F60" s="3" t="s">
        <v>101</v>
      </c>
      <c r="G60" s="2" t="s">
        <v>767</v>
      </c>
      <c r="H60" s="2" t="s">
        <v>768</v>
      </c>
      <c r="I60" s="2" t="s">
        <v>769</v>
      </c>
      <c r="J60" s="2" t="s">
        <v>770</v>
      </c>
      <c r="K60" s="2" t="s">
        <v>771</v>
      </c>
      <c r="L60" s="2" t="s">
        <v>336</v>
      </c>
      <c r="M60" s="2" t="s">
        <v>485</v>
      </c>
      <c r="N60" s="2" t="s">
        <v>772</v>
      </c>
      <c r="O60" s="3" t="s">
        <v>266</v>
      </c>
      <c r="P60" s="2"/>
      <c r="Q60" s="2" t="s">
        <v>338</v>
      </c>
      <c r="R60" s="2" t="s">
        <v>285</v>
      </c>
      <c r="S60" s="2" t="s">
        <v>49</v>
      </c>
      <c r="T60" s="3" t="s">
        <v>82</v>
      </c>
      <c r="U60" s="2"/>
      <c r="V60" s="2"/>
      <c r="W60" s="2"/>
      <c r="X60" s="2"/>
      <c r="Y60" s="2"/>
      <c r="Z60" s="2"/>
      <c r="AA60" s="2"/>
      <c r="AB60" s="2" t="s">
        <v>773</v>
      </c>
      <c r="AC60" s="2"/>
      <c r="AD60" s="2"/>
      <c r="AE60" s="3" t="s">
        <v>53</v>
      </c>
    </row>
    <row r="61" customFormat="false" ht="15" hidden="false" customHeight="false" outlineLevel="0" collapsed="false">
      <c r="A61" s="2" t="s">
        <v>774</v>
      </c>
      <c r="B61" s="2" t="s">
        <v>716</v>
      </c>
      <c r="C61" s="2" t="s">
        <v>775</v>
      </c>
      <c r="D61" s="2" t="s">
        <v>124</v>
      </c>
      <c r="E61" s="2" t="s">
        <v>125</v>
      </c>
      <c r="F61" s="3" t="s">
        <v>36</v>
      </c>
      <c r="G61" s="2" t="s">
        <v>776</v>
      </c>
      <c r="H61" s="2" t="s">
        <v>777</v>
      </c>
      <c r="I61" s="2" t="s">
        <v>778</v>
      </c>
      <c r="J61" s="2" t="s">
        <v>779</v>
      </c>
      <c r="K61" s="2" t="s">
        <v>780</v>
      </c>
      <c r="L61" s="2" t="s">
        <v>42</v>
      </c>
      <c r="M61" s="2" t="s">
        <v>781</v>
      </c>
      <c r="N61" s="2" t="s">
        <v>131</v>
      </c>
      <c r="O61" s="3" t="s">
        <v>132</v>
      </c>
      <c r="P61" s="2" t="s">
        <v>79</v>
      </c>
      <c r="Q61" s="2" t="s">
        <v>133</v>
      </c>
      <c r="R61" s="2" t="s">
        <v>134</v>
      </c>
      <c r="S61" s="2" t="s">
        <v>49</v>
      </c>
      <c r="T61" s="3" t="s">
        <v>82</v>
      </c>
      <c r="U61" s="2"/>
      <c r="V61" s="2"/>
      <c r="W61" s="2"/>
      <c r="X61" s="2"/>
      <c r="Y61" s="2"/>
      <c r="Z61" s="2"/>
      <c r="AA61" s="2"/>
      <c r="AB61" s="2" t="s">
        <v>782</v>
      </c>
      <c r="AC61" s="2"/>
      <c r="AD61" s="2"/>
      <c r="AE61" s="3" t="s">
        <v>53</v>
      </c>
    </row>
    <row r="62" customFormat="false" ht="15" hidden="false" customHeight="false" outlineLevel="0" collapsed="false">
      <c r="A62" s="2" t="s">
        <v>783</v>
      </c>
      <c r="B62" s="2" t="s">
        <v>716</v>
      </c>
      <c r="C62" s="2" t="s">
        <v>784</v>
      </c>
      <c r="D62" s="2" t="s">
        <v>273</v>
      </c>
      <c r="E62" s="2" t="s">
        <v>274</v>
      </c>
      <c r="F62" s="3" t="s">
        <v>101</v>
      </c>
      <c r="G62" s="2" t="s">
        <v>785</v>
      </c>
      <c r="H62" s="2" t="s">
        <v>786</v>
      </c>
      <c r="I62" s="2" t="s">
        <v>787</v>
      </c>
      <c r="J62" s="2" t="s">
        <v>788</v>
      </c>
      <c r="K62" s="2" t="s">
        <v>789</v>
      </c>
      <c r="L62" s="2" t="s">
        <v>280</v>
      </c>
      <c r="M62" s="2" t="s">
        <v>385</v>
      </c>
      <c r="N62" s="2" t="s">
        <v>790</v>
      </c>
      <c r="O62" s="3" t="s">
        <v>282</v>
      </c>
      <c r="P62" s="2"/>
      <c r="Q62" s="2" t="s">
        <v>791</v>
      </c>
      <c r="R62" s="2" t="s">
        <v>285</v>
      </c>
      <c r="S62" s="2" t="s">
        <v>286</v>
      </c>
      <c r="T62" s="3" t="s">
        <v>287</v>
      </c>
      <c r="U62" s="2"/>
      <c r="V62" s="2"/>
      <c r="W62" s="2"/>
      <c r="X62" s="2"/>
      <c r="Y62" s="2"/>
      <c r="Z62" s="2"/>
      <c r="AA62" s="2"/>
      <c r="AB62" s="2" t="s">
        <v>792</v>
      </c>
      <c r="AC62" s="2"/>
      <c r="AD62" s="2"/>
      <c r="AE62" s="3" t="s">
        <v>53</v>
      </c>
    </row>
    <row r="63" customFormat="false" ht="15" hidden="false" customHeight="false" outlineLevel="0" collapsed="false">
      <c r="A63" s="2" t="s">
        <v>793</v>
      </c>
      <c r="B63" s="2" t="s">
        <v>716</v>
      </c>
      <c r="C63" s="2" t="s">
        <v>794</v>
      </c>
      <c r="D63" s="2" t="s">
        <v>273</v>
      </c>
      <c r="E63" s="2" t="s">
        <v>274</v>
      </c>
      <c r="F63" s="3" t="s">
        <v>101</v>
      </c>
      <c r="G63" s="2" t="s">
        <v>795</v>
      </c>
      <c r="H63" s="2" t="s">
        <v>796</v>
      </c>
      <c r="I63" s="2" t="s">
        <v>797</v>
      </c>
      <c r="J63" s="2" t="s">
        <v>798</v>
      </c>
      <c r="K63" s="2" t="s">
        <v>799</v>
      </c>
      <c r="L63" s="2" t="s">
        <v>280</v>
      </c>
      <c r="M63" s="2" t="s">
        <v>643</v>
      </c>
      <c r="N63" s="2" t="s">
        <v>800</v>
      </c>
      <c r="O63" s="3" t="s">
        <v>282</v>
      </c>
      <c r="P63" s="2"/>
      <c r="Q63" s="2" t="s">
        <v>801</v>
      </c>
      <c r="R63" s="2" t="s">
        <v>285</v>
      </c>
      <c r="S63" s="2" t="s">
        <v>286</v>
      </c>
      <c r="T63" s="3" t="s">
        <v>82</v>
      </c>
      <c r="U63" s="2"/>
      <c r="V63" s="2"/>
      <c r="W63" s="2"/>
      <c r="X63" s="2"/>
      <c r="Y63" s="2"/>
      <c r="Z63" s="2"/>
      <c r="AA63" s="2"/>
      <c r="AB63" s="2" t="s">
        <v>802</v>
      </c>
      <c r="AC63" s="2"/>
      <c r="AD63" s="2"/>
      <c r="AE63" s="3" t="s">
        <v>53</v>
      </c>
    </row>
    <row r="64" customFormat="false" ht="15" hidden="false" customHeight="false" outlineLevel="0" collapsed="false">
      <c r="A64" s="2" t="s">
        <v>803</v>
      </c>
      <c r="B64" s="2" t="s">
        <v>716</v>
      </c>
      <c r="C64" s="2" t="s">
        <v>804</v>
      </c>
      <c r="D64" s="2" t="s">
        <v>149</v>
      </c>
      <c r="E64" s="2" t="s">
        <v>70</v>
      </c>
      <c r="F64" s="3" t="s">
        <v>101</v>
      </c>
      <c r="G64" s="2" t="s">
        <v>805</v>
      </c>
      <c r="H64" s="2" t="s">
        <v>806</v>
      </c>
      <c r="I64" s="2" t="s">
        <v>807</v>
      </c>
      <c r="J64" s="2" t="s">
        <v>808</v>
      </c>
      <c r="K64" s="2" t="s">
        <v>809</v>
      </c>
      <c r="L64" s="2" t="s">
        <v>155</v>
      </c>
      <c r="M64" s="2" t="s">
        <v>810</v>
      </c>
      <c r="N64" s="2" t="s">
        <v>156</v>
      </c>
      <c r="O64" s="3" t="s">
        <v>132</v>
      </c>
      <c r="P64" s="2" t="s">
        <v>811</v>
      </c>
      <c r="Q64" s="2" t="s">
        <v>351</v>
      </c>
      <c r="R64" s="2" t="s">
        <v>285</v>
      </c>
      <c r="S64" s="2" t="s">
        <v>49</v>
      </c>
      <c r="T64" s="3" t="s">
        <v>82</v>
      </c>
      <c r="U64" s="2"/>
      <c r="V64" s="2"/>
      <c r="W64" s="2"/>
      <c r="X64" s="2"/>
      <c r="Y64" s="2"/>
      <c r="Z64" s="2"/>
      <c r="AA64" s="2"/>
      <c r="AB64" s="2" t="s">
        <v>812</v>
      </c>
      <c r="AC64" s="2"/>
      <c r="AD64" s="2"/>
      <c r="AE64" s="3" t="s">
        <v>53</v>
      </c>
    </row>
    <row r="65" customFormat="false" ht="15" hidden="false" customHeight="false" outlineLevel="0" collapsed="false">
      <c r="A65" s="2" t="s">
        <v>745</v>
      </c>
      <c r="B65" s="2" t="s">
        <v>716</v>
      </c>
      <c r="C65" s="2" t="s">
        <v>813</v>
      </c>
      <c r="D65" s="2" t="s">
        <v>257</v>
      </c>
      <c r="E65" s="2" t="s">
        <v>70</v>
      </c>
      <c r="F65" s="3" t="s">
        <v>101</v>
      </c>
      <c r="G65" s="2" t="s">
        <v>814</v>
      </c>
      <c r="H65" s="2" t="s">
        <v>815</v>
      </c>
      <c r="I65" s="2" t="s">
        <v>816</v>
      </c>
      <c r="J65" s="2" t="s">
        <v>817</v>
      </c>
      <c r="K65" s="2" t="s">
        <v>818</v>
      </c>
      <c r="L65" s="2" t="s">
        <v>76</v>
      </c>
      <c r="M65" s="2" t="s">
        <v>819</v>
      </c>
      <c r="N65" s="2" t="s">
        <v>820</v>
      </c>
      <c r="O65" s="3" t="s">
        <v>423</v>
      </c>
      <c r="P65" s="2"/>
      <c r="Q65" s="2" t="s">
        <v>821</v>
      </c>
      <c r="R65" s="2" t="s">
        <v>822</v>
      </c>
      <c r="S65" s="2" t="s">
        <v>49</v>
      </c>
      <c r="T65" s="3" t="s">
        <v>82</v>
      </c>
      <c r="U65" s="2"/>
      <c r="V65" s="2"/>
      <c r="W65" s="2"/>
      <c r="X65" s="2"/>
      <c r="Y65" s="2"/>
      <c r="Z65" s="2"/>
      <c r="AA65" s="2"/>
      <c r="AB65" s="2" t="s">
        <v>734</v>
      </c>
      <c r="AC65" s="2"/>
      <c r="AD65" s="2" t="s">
        <v>823</v>
      </c>
      <c r="AE65" s="3" t="s">
        <v>53</v>
      </c>
    </row>
    <row r="66" customFormat="false" ht="15" hidden="false" customHeight="false" outlineLevel="0" collapsed="false">
      <c r="A66" s="2" t="s">
        <v>824</v>
      </c>
      <c r="B66" s="2" t="s">
        <v>716</v>
      </c>
      <c r="C66" s="2" t="s">
        <v>825</v>
      </c>
      <c r="D66" s="2" t="s">
        <v>188</v>
      </c>
      <c r="E66" s="2" t="s">
        <v>826</v>
      </c>
      <c r="F66" s="3" t="s">
        <v>36</v>
      </c>
      <c r="G66" s="2" t="s">
        <v>827</v>
      </c>
      <c r="H66" s="2" t="s">
        <v>828</v>
      </c>
      <c r="I66" s="2" t="s">
        <v>829</v>
      </c>
      <c r="J66" s="2" t="s">
        <v>830</v>
      </c>
      <c r="K66" s="2" t="s">
        <v>831</v>
      </c>
      <c r="L66" s="2" t="s">
        <v>195</v>
      </c>
      <c r="M66" s="2" t="s">
        <v>196</v>
      </c>
      <c r="N66" s="2" t="s">
        <v>832</v>
      </c>
      <c r="O66" s="3" t="s">
        <v>833</v>
      </c>
      <c r="P66" s="2" t="s">
        <v>834</v>
      </c>
      <c r="Q66" s="2" t="s">
        <v>835</v>
      </c>
      <c r="R66" s="2" t="s">
        <v>836</v>
      </c>
      <c r="S66" s="2"/>
      <c r="T66" s="3" t="s">
        <v>50</v>
      </c>
      <c r="U66" s="2"/>
      <c r="V66" s="2"/>
      <c r="W66" s="2"/>
      <c r="X66" s="2"/>
      <c r="Y66" s="2"/>
      <c r="Z66" s="2"/>
      <c r="AA66" s="2"/>
      <c r="AB66" s="2" t="s">
        <v>837</v>
      </c>
      <c r="AC66" s="2"/>
      <c r="AD66" s="2" t="s">
        <v>838</v>
      </c>
      <c r="AE66" s="3" t="s">
        <v>53</v>
      </c>
    </row>
    <row r="67" customFormat="false" ht="15" hidden="false" customHeight="false" outlineLevel="0" collapsed="false">
      <c r="A67" s="2" t="s">
        <v>839</v>
      </c>
      <c r="B67" s="2" t="s">
        <v>840</v>
      </c>
      <c r="C67" s="2" t="s">
        <v>841</v>
      </c>
      <c r="D67" s="2" t="s">
        <v>274</v>
      </c>
      <c r="E67" s="2" t="s">
        <v>274</v>
      </c>
      <c r="F67" s="3" t="s">
        <v>842</v>
      </c>
      <c r="G67" s="2" t="s">
        <v>843</v>
      </c>
      <c r="H67" s="2" t="s">
        <v>844</v>
      </c>
      <c r="I67" s="2" t="s">
        <v>845</v>
      </c>
      <c r="J67" s="2" t="s">
        <v>846</v>
      </c>
      <c r="K67" s="2" t="s">
        <v>847</v>
      </c>
      <c r="L67" s="2"/>
      <c r="M67" s="2"/>
      <c r="N67" s="2"/>
      <c r="O67" s="3"/>
      <c r="P67" s="2" t="s">
        <v>848</v>
      </c>
      <c r="Q67" s="2"/>
      <c r="R67" s="2" t="s">
        <v>849</v>
      </c>
      <c r="S67" s="2" t="s">
        <v>286</v>
      </c>
      <c r="T67" s="3" t="s">
        <v>412</v>
      </c>
      <c r="U67" s="2"/>
      <c r="V67" s="2"/>
      <c r="W67" s="2"/>
      <c r="X67" s="2"/>
      <c r="Y67" s="2"/>
      <c r="Z67" s="2"/>
      <c r="AA67" s="2"/>
      <c r="AB67" s="2" t="s">
        <v>850</v>
      </c>
      <c r="AC67" s="2"/>
      <c r="AD67" s="2"/>
      <c r="AE67" s="3" t="s">
        <v>53</v>
      </c>
    </row>
    <row r="68" customFormat="false" ht="15" hidden="false" customHeight="false" outlineLevel="0" collapsed="false">
      <c r="A68" s="2" t="s">
        <v>851</v>
      </c>
      <c r="B68" s="2" t="s">
        <v>840</v>
      </c>
      <c r="C68" s="2" t="s">
        <v>852</v>
      </c>
      <c r="D68" s="2" t="s">
        <v>853</v>
      </c>
      <c r="E68" s="2" t="s">
        <v>189</v>
      </c>
      <c r="F68" s="3" t="s">
        <v>36</v>
      </c>
      <c r="G68" s="2" t="s">
        <v>854</v>
      </c>
      <c r="H68" s="2" t="s">
        <v>855</v>
      </c>
      <c r="I68" s="2" t="s">
        <v>856</v>
      </c>
      <c r="J68" s="2" t="s">
        <v>857</v>
      </c>
      <c r="K68" s="2" t="s">
        <v>858</v>
      </c>
      <c r="L68" s="2"/>
      <c r="M68" s="2"/>
      <c r="N68" s="2"/>
      <c r="O68" s="3"/>
      <c r="P68" s="2" t="s">
        <v>859</v>
      </c>
      <c r="Q68" s="2"/>
      <c r="R68" s="2" t="s">
        <v>860</v>
      </c>
      <c r="S68" s="2" t="s">
        <v>861</v>
      </c>
      <c r="T68" s="3" t="s">
        <v>412</v>
      </c>
      <c r="U68" s="2"/>
      <c r="V68" s="2"/>
      <c r="W68" s="2"/>
      <c r="X68" s="2"/>
      <c r="Y68" s="2"/>
      <c r="Z68" s="2"/>
      <c r="AA68" s="2"/>
      <c r="AB68" s="2" t="s">
        <v>862</v>
      </c>
      <c r="AC68" s="2"/>
      <c r="AD68" s="2"/>
      <c r="AE68" s="3" t="s">
        <v>53</v>
      </c>
    </row>
    <row r="69" customFormat="false" ht="15" hidden="false" customHeight="false" outlineLevel="0" collapsed="false">
      <c r="A69" s="2" t="s">
        <v>863</v>
      </c>
      <c r="B69" s="2" t="s">
        <v>840</v>
      </c>
      <c r="C69" s="2" t="s">
        <v>864</v>
      </c>
      <c r="D69" s="2" t="s">
        <v>853</v>
      </c>
      <c r="E69" s="2" t="s">
        <v>826</v>
      </c>
      <c r="F69" s="3" t="s">
        <v>36</v>
      </c>
      <c r="G69" s="2" t="s">
        <v>865</v>
      </c>
      <c r="H69" s="2" t="s">
        <v>866</v>
      </c>
      <c r="I69" s="2" t="s">
        <v>867</v>
      </c>
      <c r="J69" s="2" t="s">
        <v>868</v>
      </c>
      <c r="K69" s="2" t="s">
        <v>869</v>
      </c>
      <c r="L69" s="2"/>
      <c r="M69" s="2"/>
      <c r="N69" s="2"/>
      <c r="O69" s="3"/>
      <c r="P69" s="2" t="s">
        <v>870</v>
      </c>
      <c r="Q69" s="2"/>
      <c r="R69" s="2" t="s">
        <v>860</v>
      </c>
      <c r="S69" s="2" t="s">
        <v>861</v>
      </c>
      <c r="T69" s="3" t="s">
        <v>412</v>
      </c>
      <c r="U69" s="2"/>
      <c r="V69" s="2"/>
      <c r="W69" s="2"/>
      <c r="X69" s="2"/>
      <c r="Y69" s="2"/>
      <c r="Z69" s="2"/>
      <c r="AA69" s="2"/>
      <c r="AB69" s="2" t="s">
        <v>871</v>
      </c>
      <c r="AC69" s="2"/>
      <c r="AD69" s="2"/>
      <c r="AE69" s="3" t="s">
        <v>53</v>
      </c>
    </row>
    <row r="70" customFormat="false" ht="15" hidden="false" customHeight="false" outlineLevel="0" collapsed="false">
      <c r="A70" s="2" t="s">
        <v>872</v>
      </c>
      <c r="B70" s="2" t="s">
        <v>840</v>
      </c>
      <c r="C70" s="2" t="s">
        <v>873</v>
      </c>
      <c r="D70" s="2" t="s">
        <v>874</v>
      </c>
      <c r="E70" s="2" t="s">
        <v>258</v>
      </c>
      <c r="F70" s="3" t="s">
        <v>36</v>
      </c>
      <c r="G70" s="2" t="s">
        <v>875</v>
      </c>
      <c r="H70" s="2" t="s">
        <v>876</v>
      </c>
      <c r="I70" s="2" t="s">
        <v>877</v>
      </c>
      <c r="J70" s="2" t="s">
        <v>878</v>
      </c>
      <c r="K70" s="2" t="s">
        <v>879</v>
      </c>
      <c r="L70" s="2" t="s">
        <v>348</v>
      </c>
      <c r="M70" s="2"/>
      <c r="N70" s="2"/>
      <c r="O70" s="3"/>
      <c r="P70" s="2" t="s">
        <v>880</v>
      </c>
      <c r="Q70" s="2" t="s">
        <v>351</v>
      </c>
      <c r="R70" s="2" t="s">
        <v>285</v>
      </c>
      <c r="S70" s="2" t="s">
        <v>286</v>
      </c>
      <c r="T70" s="3" t="s">
        <v>412</v>
      </c>
      <c r="U70" s="2"/>
      <c r="V70" s="2"/>
      <c r="W70" s="2"/>
      <c r="X70" s="2"/>
      <c r="Y70" s="2"/>
      <c r="Z70" s="2"/>
      <c r="AA70" s="2"/>
      <c r="AB70" s="2" t="s">
        <v>881</v>
      </c>
      <c r="AC70" s="2"/>
      <c r="AD70" s="2"/>
      <c r="AE70" s="3" t="s">
        <v>53</v>
      </c>
    </row>
    <row r="71" customFormat="false" ht="15" hidden="false" customHeight="false" outlineLevel="0" collapsed="false">
      <c r="A71" s="2" t="s">
        <v>882</v>
      </c>
      <c r="B71" s="2" t="s">
        <v>840</v>
      </c>
      <c r="C71" s="2" t="s">
        <v>883</v>
      </c>
      <c r="D71" s="2" t="s">
        <v>189</v>
      </c>
      <c r="E71" s="2" t="s">
        <v>258</v>
      </c>
      <c r="F71" s="3" t="s">
        <v>36</v>
      </c>
      <c r="G71" s="2" t="s">
        <v>884</v>
      </c>
      <c r="H71" s="2" t="s">
        <v>885</v>
      </c>
      <c r="I71" s="2" t="s">
        <v>886</v>
      </c>
      <c r="J71" s="2" t="s">
        <v>887</v>
      </c>
      <c r="K71" s="2" t="s">
        <v>888</v>
      </c>
      <c r="L71" s="2"/>
      <c r="M71" s="2"/>
      <c r="N71" s="2"/>
      <c r="O71" s="3"/>
      <c r="P71" s="2" t="s">
        <v>889</v>
      </c>
      <c r="Q71" s="2" t="s">
        <v>598</v>
      </c>
      <c r="R71" s="2" t="s">
        <v>285</v>
      </c>
      <c r="S71" s="2" t="s">
        <v>286</v>
      </c>
      <c r="T71" s="3" t="s">
        <v>50</v>
      </c>
      <c r="U71" s="2"/>
      <c r="V71" s="2"/>
      <c r="W71" s="2"/>
      <c r="X71" s="2"/>
      <c r="Y71" s="2"/>
      <c r="Z71" s="2"/>
      <c r="AA71" s="2"/>
      <c r="AB71" s="2" t="s">
        <v>890</v>
      </c>
      <c r="AC71" s="2"/>
      <c r="AD71" s="2"/>
      <c r="AE71" s="3" t="s">
        <v>53</v>
      </c>
    </row>
    <row r="72" customFormat="false" ht="15" hidden="false" customHeight="false" outlineLevel="0" collapsed="false">
      <c r="A72" s="2" t="s">
        <v>891</v>
      </c>
      <c r="B72" s="2" t="s">
        <v>840</v>
      </c>
      <c r="C72" s="2" t="s">
        <v>892</v>
      </c>
      <c r="D72" s="2" t="s">
        <v>189</v>
      </c>
      <c r="E72" s="2" t="s">
        <v>189</v>
      </c>
      <c r="F72" s="3" t="s">
        <v>36</v>
      </c>
      <c r="G72" s="2" t="s">
        <v>893</v>
      </c>
      <c r="H72" s="2" t="s">
        <v>894</v>
      </c>
      <c r="I72" s="2" t="s">
        <v>895</v>
      </c>
      <c r="J72" s="2" t="s">
        <v>896</v>
      </c>
      <c r="K72" s="2" t="s">
        <v>897</v>
      </c>
      <c r="L72" s="2"/>
      <c r="M72" s="2"/>
      <c r="N72" s="2"/>
      <c r="O72" s="3"/>
      <c r="P72" s="2" t="s">
        <v>898</v>
      </c>
      <c r="Q72" s="2" t="s">
        <v>899</v>
      </c>
      <c r="R72" s="2" t="s">
        <v>900</v>
      </c>
      <c r="S72" s="2" t="s">
        <v>861</v>
      </c>
      <c r="T72" s="3" t="s">
        <v>50</v>
      </c>
      <c r="U72" s="2"/>
      <c r="V72" s="2"/>
      <c r="W72" s="2"/>
      <c r="X72" s="2"/>
      <c r="Y72" s="2"/>
      <c r="Z72" s="2"/>
      <c r="AA72" s="2"/>
      <c r="AB72" s="2" t="s">
        <v>901</v>
      </c>
      <c r="AC72" s="2"/>
      <c r="AD72" s="2"/>
      <c r="AE72" s="3" t="s">
        <v>53</v>
      </c>
    </row>
    <row r="73" customFormat="false" ht="15" hidden="false" customHeight="false" outlineLevel="0" collapsed="false">
      <c r="A73" s="2" t="s">
        <v>902</v>
      </c>
      <c r="B73" s="2" t="s">
        <v>840</v>
      </c>
      <c r="C73" s="2" t="s">
        <v>903</v>
      </c>
      <c r="D73" s="2" t="s">
        <v>904</v>
      </c>
      <c r="E73" s="2" t="s">
        <v>189</v>
      </c>
      <c r="F73" s="3" t="s">
        <v>101</v>
      </c>
      <c r="G73" s="2" t="s">
        <v>905</v>
      </c>
      <c r="H73" s="2" t="s">
        <v>906</v>
      </c>
      <c r="I73" s="2" t="s">
        <v>907</v>
      </c>
      <c r="J73" s="2" t="s">
        <v>908</v>
      </c>
      <c r="K73" s="2" t="s">
        <v>909</v>
      </c>
      <c r="L73" s="2" t="s">
        <v>307</v>
      </c>
      <c r="M73" s="2"/>
      <c r="N73" s="2"/>
      <c r="O73" s="3" t="s">
        <v>910</v>
      </c>
      <c r="P73" s="2" t="s">
        <v>911</v>
      </c>
      <c r="Q73" s="2" t="s">
        <v>912</v>
      </c>
      <c r="R73" s="2" t="s">
        <v>913</v>
      </c>
      <c r="S73" s="2" t="s">
        <v>286</v>
      </c>
      <c r="T73" s="3" t="s">
        <v>412</v>
      </c>
      <c r="U73" s="2"/>
      <c r="V73" s="2"/>
      <c r="W73" s="2"/>
      <c r="X73" s="2"/>
      <c r="Y73" s="2"/>
      <c r="Z73" s="2"/>
      <c r="AA73" s="2"/>
      <c r="AB73" s="2" t="s">
        <v>914</v>
      </c>
      <c r="AC73" s="2"/>
      <c r="AD73" s="2"/>
      <c r="AE73" s="3" t="s">
        <v>53</v>
      </c>
    </row>
    <row r="74" customFormat="false" ht="15" hidden="false" customHeight="false" outlineLevel="0" collapsed="false">
      <c r="A74" s="2" t="s">
        <v>915</v>
      </c>
      <c r="B74" s="2" t="s">
        <v>840</v>
      </c>
      <c r="C74" s="2" t="s">
        <v>916</v>
      </c>
      <c r="D74" s="2" t="s">
        <v>273</v>
      </c>
      <c r="E74" s="2" t="s">
        <v>826</v>
      </c>
      <c r="F74" s="3" t="s">
        <v>101</v>
      </c>
      <c r="G74" s="2" t="s">
        <v>917</v>
      </c>
      <c r="H74" s="2" t="s">
        <v>918</v>
      </c>
      <c r="I74" s="2" t="s">
        <v>919</v>
      </c>
      <c r="J74" s="2" t="s">
        <v>920</v>
      </c>
      <c r="K74" s="2" t="s">
        <v>921</v>
      </c>
      <c r="L74" s="2" t="s">
        <v>280</v>
      </c>
      <c r="M74" s="2"/>
      <c r="N74" s="2"/>
      <c r="O74" s="3"/>
      <c r="P74" s="2" t="s">
        <v>870</v>
      </c>
      <c r="Q74" s="2" t="s">
        <v>791</v>
      </c>
      <c r="R74" s="2" t="s">
        <v>860</v>
      </c>
      <c r="S74" s="2" t="s">
        <v>861</v>
      </c>
      <c r="T74" s="3" t="s">
        <v>412</v>
      </c>
      <c r="U74" s="2"/>
      <c r="V74" s="2"/>
      <c r="W74" s="2"/>
      <c r="X74" s="2"/>
      <c r="Y74" s="2"/>
      <c r="Z74" s="2"/>
      <c r="AA74" s="2"/>
      <c r="AB74" s="2" t="s">
        <v>922</v>
      </c>
      <c r="AC74" s="2"/>
      <c r="AD74" s="2"/>
      <c r="AE74" s="3" t="s">
        <v>53</v>
      </c>
    </row>
    <row r="75" customFormat="false" ht="15" hidden="false" customHeight="false" outlineLevel="0" collapsed="false">
      <c r="A75" s="2" t="s">
        <v>923</v>
      </c>
      <c r="B75" s="2" t="s">
        <v>840</v>
      </c>
      <c r="C75" s="2" t="s">
        <v>924</v>
      </c>
      <c r="D75" s="2" t="s">
        <v>273</v>
      </c>
      <c r="E75" s="2" t="s">
        <v>125</v>
      </c>
      <c r="F75" s="3" t="s">
        <v>101</v>
      </c>
      <c r="G75" s="2" t="s">
        <v>925</v>
      </c>
      <c r="H75" s="2" t="s">
        <v>926</v>
      </c>
      <c r="I75" s="2" t="s">
        <v>927</v>
      </c>
      <c r="J75" s="2" t="s">
        <v>928</v>
      </c>
      <c r="K75" s="2" t="s">
        <v>929</v>
      </c>
      <c r="L75" s="2" t="s">
        <v>280</v>
      </c>
      <c r="M75" s="2"/>
      <c r="N75" s="2"/>
      <c r="O75" s="3"/>
      <c r="P75" s="2" t="s">
        <v>930</v>
      </c>
      <c r="Q75" s="2" t="s">
        <v>791</v>
      </c>
      <c r="R75" s="2" t="s">
        <v>285</v>
      </c>
      <c r="S75" s="2" t="s">
        <v>286</v>
      </c>
      <c r="T75" s="3" t="s">
        <v>412</v>
      </c>
      <c r="U75" s="2"/>
      <c r="V75" s="2"/>
      <c r="W75" s="2"/>
      <c r="X75" s="2"/>
      <c r="Y75" s="2"/>
      <c r="Z75" s="2"/>
      <c r="AA75" s="2"/>
      <c r="AB75" s="2" t="s">
        <v>931</v>
      </c>
      <c r="AC75" s="2"/>
      <c r="AD75" s="2"/>
      <c r="AE75" s="3" t="s">
        <v>53</v>
      </c>
    </row>
    <row r="76" customFormat="false" ht="15" hidden="false" customHeight="false" outlineLevel="0" collapsed="false">
      <c r="A76" s="2" t="s">
        <v>932</v>
      </c>
      <c r="B76" s="2" t="s">
        <v>840</v>
      </c>
      <c r="C76" s="2" t="s">
        <v>933</v>
      </c>
      <c r="D76" s="2" t="s">
        <v>853</v>
      </c>
      <c r="E76" s="2" t="s">
        <v>189</v>
      </c>
      <c r="F76" s="3" t="s">
        <v>36</v>
      </c>
      <c r="G76" s="2" t="s">
        <v>934</v>
      </c>
      <c r="H76" s="2" t="s">
        <v>935</v>
      </c>
      <c r="I76" s="2" t="s">
        <v>936</v>
      </c>
      <c r="J76" s="2" t="s">
        <v>937</v>
      </c>
      <c r="K76" s="2" t="s">
        <v>938</v>
      </c>
      <c r="L76" s="2"/>
      <c r="M76" s="2"/>
      <c r="N76" s="2"/>
      <c r="O76" s="3"/>
      <c r="P76" s="2" t="s">
        <v>939</v>
      </c>
      <c r="Q76" s="2" t="s">
        <v>940</v>
      </c>
      <c r="R76" s="2" t="s">
        <v>941</v>
      </c>
      <c r="S76" s="2" t="s">
        <v>861</v>
      </c>
      <c r="T76" s="3" t="s">
        <v>412</v>
      </c>
      <c r="U76" s="2"/>
      <c r="V76" s="2"/>
      <c r="W76" s="2"/>
      <c r="X76" s="2"/>
      <c r="Y76" s="2"/>
      <c r="Z76" s="2"/>
      <c r="AA76" s="2"/>
      <c r="AB76" s="2" t="s">
        <v>942</v>
      </c>
      <c r="AC76" s="2"/>
      <c r="AD76" s="2" t="s">
        <v>943</v>
      </c>
      <c r="AE76" s="3" t="s">
        <v>53</v>
      </c>
    </row>
    <row r="77" customFormat="false" ht="15" hidden="false" customHeight="false" outlineLevel="0" collapsed="false">
      <c r="A77" s="2" t="s">
        <v>944</v>
      </c>
      <c r="B77" s="2" t="s">
        <v>840</v>
      </c>
      <c r="C77" s="2" t="s">
        <v>945</v>
      </c>
      <c r="D77" s="2" t="s">
        <v>853</v>
      </c>
      <c r="E77" s="2" t="s">
        <v>189</v>
      </c>
      <c r="F77" s="3" t="s">
        <v>101</v>
      </c>
      <c r="G77" s="2" t="s">
        <v>946</v>
      </c>
      <c r="H77" s="2" t="s">
        <v>947</v>
      </c>
      <c r="I77" s="2" t="s">
        <v>948</v>
      </c>
      <c r="J77" s="2" t="s">
        <v>949</v>
      </c>
      <c r="K77" s="2" t="s">
        <v>950</v>
      </c>
      <c r="L77" s="2"/>
      <c r="M77" s="2"/>
      <c r="N77" s="2"/>
      <c r="O77" s="3"/>
      <c r="P77" s="2" t="s">
        <v>951</v>
      </c>
      <c r="Q77" s="2" t="s">
        <v>940</v>
      </c>
      <c r="R77" s="2" t="s">
        <v>913</v>
      </c>
      <c r="S77" s="2" t="s">
        <v>286</v>
      </c>
      <c r="T77" s="3" t="s">
        <v>412</v>
      </c>
      <c r="U77" s="2"/>
      <c r="V77" s="2"/>
      <c r="W77" s="2"/>
      <c r="X77" s="2"/>
      <c r="Y77" s="2"/>
      <c r="Z77" s="2"/>
      <c r="AA77" s="2"/>
      <c r="AB77" s="2" t="s">
        <v>952</v>
      </c>
      <c r="AC77" s="2"/>
      <c r="AD77" s="2" t="s">
        <v>953</v>
      </c>
      <c r="AE77" s="3" t="s">
        <v>53</v>
      </c>
    </row>
    <row r="78" customFormat="false" ht="15" hidden="false" customHeight="false" outlineLevel="0" collapsed="false">
      <c r="A78" s="2" t="s">
        <v>954</v>
      </c>
      <c r="B78" s="2" t="s">
        <v>840</v>
      </c>
      <c r="C78" s="2" t="s">
        <v>955</v>
      </c>
      <c r="D78" s="2" t="s">
        <v>273</v>
      </c>
      <c r="E78" s="2" t="s">
        <v>35</v>
      </c>
      <c r="F78" s="3" t="s">
        <v>36</v>
      </c>
      <c r="G78" s="2" t="s">
        <v>956</v>
      </c>
      <c r="H78" s="2" t="s">
        <v>957</v>
      </c>
      <c r="I78" s="2" t="s">
        <v>958</v>
      </c>
      <c r="J78" s="2" t="s">
        <v>959</v>
      </c>
      <c r="K78" s="2" t="s">
        <v>960</v>
      </c>
      <c r="L78" s="2"/>
      <c r="M78" s="2"/>
      <c r="N78" s="2"/>
      <c r="O78" s="3"/>
      <c r="P78" s="2" t="s">
        <v>961</v>
      </c>
      <c r="Q78" s="2" t="s">
        <v>962</v>
      </c>
      <c r="R78" s="2" t="s">
        <v>963</v>
      </c>
      <c r="S78" s="2" t="s">
        <v>286</v>
      </c>
      <c r="T78" s="3" t="s">
        <v>412</v>
      </c>
      <c r="U78" s="2"/>
      <c r="V78" s="2"/>
      <c r="W78" s="2"/>
      <c r="X78" s="2"/>
      <c r="Y78" s="2"/>
      <c r="Z78" s="2"/>
      <c r="AA78" s="2"/>
      <c r="AB78" s="2" t="s">
        <v>964</v>
      </c>
      <c r="AC78" s="2"/>
      <c r="AD78" s="2" t="s">
        <v>965</v>
      </c>
      <c r="AE78" s="3" t="s">
        <v>53</v>
      </c>
    </row>
    <row r="79" customFormat="false" ht="15" hidden="false" customHeight="false" outlineLevel="0" collapsed="false">
      <c r="A79" s="2" t="s">
        <v>966</v>
      </c>
      <c r="B79" s="2" t="s">
        <v>840</v>
      </c>
      <c r="C79" s="2" t="s">
        <v>967</v>
      </c>
      <c r="D79" s="2" t="s">
        <v>124</v>
      </c>
      <c r="E79" s="2" t="s">
        <v>316</v>
      </c>
      <c r="F79" s="3" t="s">
        <v>36</v>
      </c>
      <c r="G79" s="2" t="s">
        <v>968</v>
      </c>
      <c r="H79" s="2" t="s">
        <v>969</v>
      </c>
      <c r="I79" s="2" t="s">
        <v>970</v>
      </c>
      <c r="J79" s="2" t="s">
        <v>971</v>
      </c>
      <c r="K79" s="2" t="s">
        <v>972</v>
      </c>
      <c r="L79" s="2"/>
      <c r="M79" s="2"/>
      <c r="N79" s="2"/>
      <c r="O79" s="3"/>
      <c r="P79" s="2" t="s">
        <v>973</v>
      </c>
      <c r="Q79" s="2" t="s">
        <v>974</v>
      </c>
      <c r="R79" s="2" t="s">
        <v>975</v>
      </c>
      <c r="S79" s="2" t="s">
        <v>286</v>
      </c>
      <c r="T79" s="3" t="s">
        <v>326</v>
      </c>
      <c r="U79" s="2"/>
      <c r="V79" s="2"/>
      <c r="W79" s="2"/>
      <c r="X79" s="2"/>
      <c r="Y79" s="2"/>
      <c r="Z79" s="2"/>
      <c r="AA79" s="2"/>
      <c r="AB79" s="2" t="s">
        <v>976</v>
      </c>
      <c r="AC79" s="2"/>
      <c r="AD79" s="2" t="s">
        <v>977</v>
      </c>
      <c r="AE79" s="3" t="s">
        <v>53</v>
      </c>
    </row>
    <row r="80" customFormat="false" ht="15" hidden="false" customHeight="false" outlineLevel="0" collapsed="false">
      <c r="A80" s="2" t="s">
        <v>978</v>
      </c>
      <c r="B80" s="2" t="s">
        <v>840</v>
      </c>
      <c r="C80" s="2" t="s">
        <v>979</v>
      </c>
      <c r="D80" s="2" t="s">
        <v>273</v>
      </c>
      <c r="E80" s="2" t="s">
        <v>258</v>
      </c>
      <c r="F80" s="3" t="s">
        <v>36</v>
      </c>
      <c r="G80" s="2" t="s">
        <v>980</v>
      </c>
      <c r="H80" s="2" t="s">
        <v>981</v>
      </c>
      <c r="I80" s="2" t="s">
        <v>982</v>
      </c>
      <c r="J80" s="2" t="s">
        <v>983</v>
      </c>
      <c r="K80" s="2" t="s">
        <v>984</v>
      </c>
      <c r="L80" s="2" t="s">
        <v>280</v>
      </c>
      <c r="M80" s="2"/>
      <c r="N80" s="2"/>
      <c r="O80" s="3"/>
      <c r="P80" s="2" t="s">
        <v>985</v>
      </c>
      <c r="Q80" s="2" t="s">
        <v>986</v>
      </c>
      <c r="R80" s="2" t="s">
        <v>285</v>
      </c>
      <c r="S80" s="2" t="s">
        <v>286</v>
      </c>
      <c r="T80" s="3" t="s">
        <v>412</v>
      </c>
      <c r="U80" s="2"/>
      <c r="V80" s="2"/>
      <c r="W80" s="2"/>
      <c r="X80" s="2"/>
      <c r="Y80" s="2"/>
      <c r="Z80" s="2"/>
      <c r="AA80" s="2"/>
      <c r="AB80" s="2" t="s">
        <v>987</v>
      </c>
      <c r="AC80" s="2"/>
      <c r="AD80" s="2" t="s">
        <v>988</v>
      </c>
      <c r="AE80" s="3" t="s">
        <v>53</v>
      </c>
    </row>
    <row r="81" customFormat="false" ht="15" hidden="false" customHeight="false" outlineLevel="0" collapsed="false">
      <c r="A81" s="2" t="s">
        <v>989</v>
      </c>
      <c r="B81" s="2" t="s">
        <v>840</v>
      </c>
      <c r="C81" s="2" t="s">
        <v>990</v>
      </c>
      <c r="D81" s="2" t="s">
        <v>991</v>
      </c>
      <c r="E81" s="2" t="s">
        <v>826</v>
      </c>
      <c r="F81" s="3" t="s">
        <v>36</v>
      </c>
      <c r="G81" s="2" t="s">
        <v>992</v>
      </c>
      <c r="H81" s="2" t="s">
        <v>993</v>
      </c>
      <c r="I81" s="2" t="s">
        <v>994</v>
      </c>
      <c r="J81" s="2" t="s">
        <v>995</v>
      </c>
      <c r="K81" s="2" t="s">
        <v>996</v>
      </c>
      <c r="L81" s="2"/>
      <c r="M81" s="2"/>
      <c r="N81" s="2"/>
      <c r="O81" s="3"/>
      <c r="P81" s="2" t="s">
        <v>997</v>
      </c>
      <c r="Q81" s="2" t="s">
        <v>998</v>
      </c>
      <c r="R81" s="2" t="s">
        <v>999</v>
      </c>
      <c r="S81" s="2" t="s">
        <v>1000</v>
      </c>
      <c r="T81" s="3" t="s">
        <v>412</v>
      </c>
      <c r="U81" s="2"/>
      <c r="V81" s="2"/>
      <c r="W81" s="2"/>
      <c r="X81" s="2"/>
      <c r="Y81" s="2"/>
      <c r="Z81" s="2"/>
      <c r="AA81" s="2"/>
      <c r="AB81" s="2" t="s">
        <v>1001</v>
      </c>
      <c r="AC81" s="2" t="s">
        <v>1002</v>
      </c>
      <c r="AD81" s="2" t="s">
        <v>1003</v>
      </c>
      <c r="AE81" s="3" t="s">
        <v>53</v>
      </c>
    </row>
    <row r="82" customFormat="false" ht="15" hidden="false" customHeight="false" outlineLevel="0" collapsed="false">
      <c r="A82" s="2" t="s">
        <v>1004</v>
      </c>
      <c r="B82" s="2" t="s">
        <v>840</v>
      </c>
      <c r="C82" s="2" t="s">
        <v>1005</v>
      </c>
      <c r="D82" s="2" t="s">
        <v>991</v>
      </c>
      <c r="E82" s="2" t="s">
        <v>1006</v>
      </c>
      <c r="F82" s="3" t="s">
        <v>101</v>
      </c>
      <c r="G82" s="2" t="s">
        <v>1007</v>
      </c>
      <c r="H82" s="2" t="s">
        <v>1008</v>
      </c>
      <c r="I82" s="2" t="s">
        <v>1009</v>
      </c>
      <c r="J82" s="2" t="s">
        <v>1010</v>
      </c>
      <c r="K82" s="2" t="s">
        <v>1011</v>
      </c>
      <c r="L82" s="2"/>
      <c r="M82" s="2"/>
      <c r="N82" s="2"/>
      <c r="O82" s="3"/>
      <c r="P82" s="2" t="s">
        <v>1012</v>
      </c>
      <c r="Q82" s="2" t="s">
        <v>998</v>
      </c>
      <c r="R82" s="2" t="s">
        <v>999</v>
      </c>
      <c r="S82" s="2" t="s">
        <v>1000</v>
      </c>
      <c r="T82" s="3" t="s">
        <v>412</v>
      </c>
      <c r="U82" s="2"/>
      <c r="V82" s="2"/>
      <c r="W82" s="2"/>
      <c r="X82" s="2"/>
      <c r="Y82" s="2"/>
      <c r="Z82" s="2"/>
      <c r="AA82" s="2"/>
      <c r="AB82" s="2" t="s">
        <v>989</v>
      </c>
      <c r="AC82" s="2"/>
      <c r="AD82" s="2" t="s">
        <v>1013</v>
      </c>
      <c r="AE82" s="3" t="s">
        <v>53</v>
      </c>
    </row>
    <row r="83" customFormat="false" ht="15" hidden="false" customHeight="false" outlineLevel="0" collapsed="false">
      <c r="A83" s="2" t="s">
        <v>1014</v>
      </c>
      <c r="B83" s="2" t="s">
        <v>840</v>
      </c>
      <c r="C83" s="2" t="s">
        <v>1015</v>
      </c>
      <c r="D83" s="2" t="s">
        <v>273</v>
      </c>
      <c r="E83" s="2" t="s">
        <v>826</v>
      </c>
      <c r="F83" s="3" t="s">
        <v>101</v>
      </c>
      <c r="G83" s="2" t="s">
        <v>1016</v>
      </c>
      <c r="H83" s="2" t="s">
        <v>1017</v>
      </c>
      <c r="I83" s="2" t="s">
        <v>1018</v>
      </c>
      <c r="J83" s="2" t="s">
        <v>1019</v>
      </c>
      <c r="K83" s="2" t="s">
        <v>1020</v>
      </c>
      <c r="L83" s="2"/>
      <c r="M83" s="2"/>
      <c r="N83" s="2"/>
      <c r="O83" s="3"/>
      <c r="P83" s="2" t="s">
        <v>1021</v>
      </c>
      <c r="Q83" s="2" t="s">
        <v>1022</v>
      </c>
      <c r="R83" s="2" t="s">
        <v>285</v>
      </c>
      <c r="S83" s="2" t="s">
        <v>599</v>
      </c>
      <c r="T83" s="3" t="s">
        <v>412</v>
      </c>
      <c r="U83" s="2"/>
      <c r="V83" s="2"/>
      <c r="W83" s="2"/>
      <c r="X83" s="2"/>
      <c r="Y83" s="2"/>
      <c r="Z83" s="2"/>
      <c r="AA83" s="2"/>
      <c r="AB83" s="2" t="s">
        <v>1023</v>
      </c>
      <c r="AC83" s="2"/>
      <c r="AD83" s="2" t="s">
        <v>1024</v>
      </c>
      <c r="AE83" s="3" t="s">
        <v>53</v>
      </c>
    </row>
    <row r="84" customFormat="false" ht="15" hidden="false" customHeight="false" outlineLevel="0" collapsed="false">
      <c r="A84" s="2" t="s">
        <v>1025</v>
      </c>
      <c r="B84" s="2" t="s">
        <v>840</v>
      </c>
      <c r="C84" s="2" t="s">
        <v>1026</v>
      </c>
      <c r="D84" s="2" t="s">
        <v>273</v>
      </c>
      <c r="E84" s="2" t="s">
        <v>258</v>
      </c>
      <c r="F84" s="3" t="s">
        <v>101</v>
      </c>
      <c r="G84" s="2" t="s">
        <v>1027</v>
      </c>
      <c r="H84" s="2" t="s">
        <v>1028</v>
      </c>
      <c r="I84" s="2" t="s">
        <v>1029</v>
      </c>
      <c r="J84" s="2" t="s">
        <v>1030</v>
      </c>
      <c r="K84" s="2" t="s">
        <v>1031</v>
      </c>
      <c r="L84" s="2" t="s">
        <v>1032</v>
      </c>
      <c r="M84" s="2"/>
      <c r="N84" s="2"/>
      <c r="O84" s="3"/>
      <c r="P84" s="2" t="s">
        <v>1033</v>
      </c>
      <c r="Q84" s="2" t="s">
        <v>1034</v>
      </c>
      <c r="R84" s="2" t="s">
        <v>285</v>
      </c>
      <c r="S84" s="2" t="s">
        <v>286</v>
      </c>
      <c r="T84" s="3" t="s">
        <v>412</v>
      </c>
      <c r="U84" s="2"/>
      <c r="V84" s="2"/>
      <c r="W84" s="2"/>
      <c r="X84" s="2"/>
      <c r="Y84" s="2"/>
      <c r="Z84" s="2"/>
      <c r="AA84" s="2"/>
      <c r="AB84" s="2" t="s">
        <v>1035</v>
      </c>
      <c r="AC84" s="2"/>
      <c r="AD84" s="2" t="s">
        <v>1036</v>
      </c>
      <c r="AE84" s="3" t="s">
        <v>53</v>
      </c>
    </row>
    <row r="85" customFormat="false" ht="15" hidden="false" customHeight="false" outlineLevel="0" collapsed="false">
      <c r="A85" s="2" t="s">
        <v>1037</v>
      </c>
      <c r="B85" s="2" t="s">
        <v>840</v>
      </c>
      <c r="C85" s="2" t="s">
        <v>1038</v>
      </c>
      <c r="D85" s="2" t="s">
        <v>273</v>
      </c>
      <c r="E85" s="2" t="s">
        <v>189</v>
      </c>
      <c r="F85" s="3" t="s">
        <v>101</v>
      </c>
      <c r="G85" s="2" t="s">
        <v>1039</v>
      </c>
      <c r="H85" s="2" t="s">
        <v>1040</v>
      </c>
      <c r="I85" s="2" t="s">
        <v>1041</v>
      </c>
      <c r="J85" s="2" t="s">
        <v>1042</v>
      </c>
      <c r="K85" s="2" t="s">
        <v>1043</v>
      </c>
      <c r="L85" s="2"/>
      <c r="M85" s="2"/>
      <c r="N85" s="2"/>
      <c r="O85" s="3"/>
      <c r="P85" s="2" t="s">
        <v>1044</v>
      </c>
      <c r="Q85" s="2" t="s">
        <v>1045</v>
      </c>
      <c r="R85" s="2" t="s">
        <v>285</v>
      </c>
      <c r="S85" s="2" t="s">
        <v>286</v>
      </c>
      <c r="T85" s="3" t="s">
        <v>412</v>
      </c>
      <c r="U85" s="2"/>
      <c r="V85" s="2"/>
      <c r="W85" s="2"/>
      <c r="X85" s="2"/>
      <c r="Y85" s="2"/>
      <c r="Z85" s="2"/>
      <c r="AA85" s="2"/>
      <c r="AB85" s="2" t="s">
        <v>1046</v>
      </c>
      <c r="AC85" s="2"/>
      <c r="AD85" s="2" t="s">
        <v>1047</v>
      </c>
      <c r="AE85" s="3" t="s">
        <v>53</v>
      </c>
    </row>
    <row r="86" customFormat="false" ht="15" hidden="false" customHeight="false" outlineLevel="0" collapsed="false">
      <c r="A86" s="2" t="s">
        <v>1048</v>
      </c>
      <c r="B86" s="2" t="s">
        <v>840</v>
      </c>
      <c r="C86" s="2" t="s">
        <v>1049</v>
      </c>
      <c r="D86" s="2" t="s">
        <v>273</v>
      </c>
      <c r="E86" s="2" t="s">
        <v>258</v>
      </c>
      <c r="F86" s="3" t="s">
        <v>101</v>
      </c>
      <c r="G86" s="2" t="s">
        <v>1050</v>
      </c>
      <c r="H86" s="2" t="s">
        <v>1051</v>
      </c>
      <c r="I86" s="2" t="s">
        <v>1052</v>
      </c>
      <c r="J86" s="2" t="s">
        <v>1053</v>
      </c>
      <c r="K86" s="2" t="s">
        <v>1054</v>
      </c>
      <c r="L86" s="2"/>
      <c r="M86" s="2"/>
      <c r="N86" s="2"/>
      <c r="O86" s="3"/>
      <c r="P86" s="2" t="s">
        <v>1055</v>
      </c>
      <c r="Q86" s="2" t="s">
        <v>1056</v>
      </c>
      <c r="R86" s="2" t="s">
        <v>285</v>
      </c>
      <c r="S86" s="2"/>
      <c r="T86" s="3" t="s">
        <v>412</v>
      </c>
      <c r="U86" s="2"/>
      <c r="V86" s="2"/>
      <c r="W86" s="2"/>
      <c r="X86" s="2"/>
      <c r="Y86" s="2"/>
      <c r="Z86" s="2"/>
      <c r="AA86" s="2"/>
      <c r="AB86" s="2" t="s">
        <v>1057</v>
      </c>
      <c r="AC86" s="2"/>
      <c r="AD86" s="2" t="s">
        <v>1058</v>
      </c>
      <c r="AE86" s="3" t="s">
        <v>53</v>
      </c>
    </row>
    <row r="87" customFormat="false" ht="15" hidden="false" customHeight="false" outlineLevel="0" collapsed="false">
      <c r="A87" s="2" t="s">
        <v>1059</v>
      </c>
      <c r="B87" s="2" t="s">
        <v>840</v>
      </c>
      <c r="C87" s="2" t="s">
        <v>1060</v>
      </c>
      <c r="D87" s="2" t="s">
        <v>342</v>
      </c>
      <c r="E87" s="2" t="s">
        <v>258</v>
      </c>
      <c r="F87" s="3" t="s">
        <v>36</v>
      </c>
      <c r="G87" s="2" t="s">
        <v>1061</v>
      </c>
      <c r="H87" s="2" t="s">
        <v>1062</v>
      </c>
      <c r="I87" s="2" t="s">
        <v>1063</v>
      </c>
      <c r="J87" s="2" t="s">
        <v>1064</v>
      </c>
      <c r="K87" s="2" t="s">
        <v>1065</v>
      </c>
      <c r="L87" s="2" t="s">
        <v>348</v>
      </c>
      <c r="M87" s="2"/>
      <c r="N87" s="2"/>
      <c r="O87" s="3"/>
      <c r="P87" s="2" t="s">
        <v>1066</v>
      </c>
      <c r="Q87" s="2" t="s">
        <v>351</v>
      </c>
      <c r="R87" s="2" t="s">
        <v>285</v>
      </c>
      <c r="S87" s="2" t="s">
        <v>1067</v>
      </c>
      <c r="T87" s="3" t="s">
        <v>675</v>
      </c>
      <c r="U87" s="2"/>
      <c r="V87" s="2"/>
      <c r="W87" s="2"/>
      <c r="X87" s="2"/>
      <c r="Y87" s="2"/>
      <c r="Z87" s="2"/>
      <c r="AA87" s="2"/>
      <c r="AB87" s="2" t="s">
        <v>1068</v>
      </c>
      <c r="AC87" s="2"/>
      <c r="AD87" s="2" t="s">
        <v>1069</v>
      </c>
      <c r="AE87" s="3" t="s">
        <v>53</v>
      </c>
    </row>
    <row r="88" customFormat="false" ht="15" hidden="false" customHeight="false" outlineLevel="0" collapsed="false">
      <c r="A88" s="2" t="s">
        <v>1070</v>
      </c>
      <c r="B88" s="2" t="s">
        <v>840</v>
      </c>
      <c r="C88" s="2" t="s">
        <v>1071</v>
      </c>
      <c r="D88" s="2" t="s">
        <v>273</v>
      </c>
      <c r="E88" s="2" t="s">
        <v>35</v>
      </c>
      <c r="F88" s="3" t="s">
        <v>36</v>
      </c>
      <c r="G88" s="2" t="s">
        <v>1072</v>
      </c>
      <c r="H88" s="2" t="s">
        <v>1073</v>
      </c>
      <c r="I88" s="2" t="s">
        <v>1074</v>
      </c>
      <c r="J88" s="2" t="s">
        <v>1075</v>
      </c>
      <c r="K88" s="2" t="s">
        <v>1076</v>
      </c>
      <c r="L88" s="2"/>
      <c r="M88" s="2"/>
      <c r="N88" s="2"/>
      <c r="O88" s="3"/>
      <c r="P88" s="2" t="s">
        <v>1077</v>
      </c>
      <c r="Q88" s="2" t="s">
        <v>410</v>
      </c>
      <c r="R88" s="2" t="s">
        <v>285</v>
      </c>
      <c r="S88" s="2"/>
      <c r="T88" s="3" t="s">
        <v>287</v>
      </c>
      <c r="U88" s="2"/>
      <c r="V88" s="2"/>
      <c r="W88" s="2"/>
      <c r="X88" s="2"/>
      <c r="Y88" s="2"/>
      <c r="Z88" s="2"/>
      <c r="AA88" s="2"/>
      <c r="AB88" s="2" t="s">
        <v>1078</v>
      </c>
      <c r="AC88" s="2"/>
      <c r="AD88" s="2" t="s">
        <v>1079</v>
      </c>
      <c r="AE88" s="3" t="s">
        <v>53</v>
      </c>
    </row>
    <row r="89" customFormat="false" ht="15" hidden="false" customHeight="false" outlineLevel="0" collapsed="false">
      <c r="A89" s="2" t="s">
        <v>1080</v>
      </c>
      <c r="B89" s="2" t="s">
        <v>840</v>
      </c>
      <c r="C89" s="2" t="s">
        <v>1081</v>
      </c>
      <c r="D89" s="2" t="s">
        <v>273</v>
      </c>
      <c r="E89" s="2" t="s">
        <v>7</v>
      </c>
      <c r="F89" s="3" t="s">
        <v>36</v>
      </c>
      <c r="G89" s="2" t="s">
        <v>1082</v>
      </c>
      <c r="H89" s="2" t="s">
        <v>1083</v>
      </c>
      <c r="I89" s="2" t="s">
        <v>1084</v>
      </c>
      <c r="J89" s="2" t="s">
        <v>1085</v>
      </c>
      <c r="K89" s="2" t="s">
        <v>1086</v>
      </c>
      <c r="L89" s="2"/>
      <c r="M89" s="2"/>
      <c r="N89" s="2"/>
      <c r="O89" s="3"/>
      <c r="P89" s="2" t="s">
        <v>1087</v>
      </c>
      <c r="Q89" s="2" t="s">
        <v>410</v>
      </c>
      <c r="R89" s="2" t="s">
        <v>285</v>
      </c>
      <c r="S89" s="2"/>
      <c r="T89" s="3" t="s">
        <v>675</v>
      </c>
      <c r="U89" s="2"/>
      <c r="V89" s="2"/>
      <c r="W89" s="2"/>
      <c r="X89" s="2"/>
      <c r="Y89" s="2"/>
      <c r="Z89" s="2"/>
      <c r="AA89" s="2"/>
      <c r="AB89" s="2" t="s">
        <v>1088</v>
      </c>
      <c r="AC89" s="2"/>
      <c r="AD89" s="2" t="s">
        <v>1089</v>
      </c>
      <c r="AE89" s="3" t="s">
        <v>53</v>
      </c>
    </row>
    <row r="90" customFormat="false" ht="15" hidden="false" customHeight="false" outlineLevel="0" collapsed="false">
      <c r="A90" s="2" t="s">
        <v>1090</v>
      </c>
      <c r="B90" s="2" t="s">
        <v>1091</v>
      </c>
      <c r="C90" s="2" t="s">
        <v>1092</v>
      </c>
      <c r="D90" s="2" t="s">
        <v>274</v>
      </c>
      <c r="E90" s="2" t="s">
        <v>274</v>
      </c>
      <c r="F90" s="3" t="s">
        <v>842</v>
      </c>
      <c r="G90" s="2" t="s">
        <v>1093</v>
      </c>
      <c r="H90" s="2" t="s">
        <v>1094</v>
      </c>
      <c r="I90" s="2" t="s">
        <v>1095</v>
      </c>
      <c r="J90" s="2" t="s">
        <v>1096</v>
      </c>
      <c r="K90" s="2" t="s">
        <v>1097</v>
      </c>
      <c r="L90" s="2"/>
      <c r="M90" s="2"/>
      <c r="N90" s="2" t="s">
        <v>1098</v>
      </c>
      <c r="O90" s="3"/>
      <c r="P90" s="2" t="s">
        <v>1099</v>
      </c>
      <c r="Q90" s="2"/>
      <c r="R90" s="2" t="s">
        <v>411</v>
      </c>
      <c r="S90" s="2" t="s">
        <v>286</v>
      </c>
      <c r="T90" s="3" t="s">
        <v>412</v>
      </c>
      <c r="U90" s="2"/>
      <c r="V90" s="2"/>
      <c r="W90" s="2"/>
      <c r="X90" s="2"/>
      <c r="Y90" s="2"/>
      <c r="Z90" s="2"/>
      <c r="AA90" s="2"/>
      <c r="AB90" s="2" t="s">
        <v>1100</v>
      </c>
      <c r="AC90" s="2"/>
      <c r="AD90" s="2" t="s">
        <v>1101</v>
      </c>
      <c r="AE90" s="3" t="s">
        <v>53</v>
      </c>
    </row>
    <row r="91" customFormat="false" ht="15" hidden="false" customHeight="false" outlineLevel="0" collapsed="false">
      <c r="A91" s="2" t="s">
        <v>1102</v>
      </c>
      <c r="B91" s="2" t="s">
        <v>1091</v>
      </c>
      <c r="C91" s="2" t="s">
        <v>1103</v>
      </c>
      <c r="D91" s="2" t="s">
        <v>273</v>
      </c>
      <c r="E91" s="2" t="s">
        <v>258</v>
      </c>
      <c r="F91" s="3" t="s">
        <v>36</v>
      </c>
      <c r="G91" s="2" t="s">
        <v>1104</v>
      </c>
      <c r="H91" s="2" t="s">
        <v>1105</v>
      </c>
      <c r="I91" s="2" t="s">
        <v>1106</v>
      </c>
      <c r="J91" s="2" t="s">
        <v>1107</v>
      </c>
      <c r="K91" s="2" t="s">
        <v>1108</v>
      </c>
      <c r="L91" s="2" t="s">
        <v>280</v>
      </c>
      <c r="M91" s="2"/>
      <c r="N91" s="2"/>
      <c r="O91" s="3"/>
      <c r="P91" s="2" t="s">
        <v>1109</v>
      </c>
      <c r="Q91" s="2" t="s">
        <v>1110</v>
      </c>
      <c r="R91" s="2" t="s">
        <v>285</v>
      </c>
      <c r="S91" s="2" t="s">
        <v>286</v>
      </c>
      <c r="T91" s="3" t="s">
        <v>412</v>
      </c>
      <c r="U91" s="2"/>
      <c r="V91" s="2"/>
      <c r="W91" s="2"/>
      <c r="X91" s="2"/>
      <c r="Y91" s="2"/>
      <c r="Z91" s="2"/>
      <c r="AA91" s="2"/>
      <c r="AB91" s="2" t="s">
        <v>1111</v>
      </c>
      <c r="AC91" s="2"/>
      <c r="AD91" s="2" t="s">
        <v>1112</v>
      </c>
      <c r="AE91" s="3" t="s">
        <v>53</v>
      </c>
    </row>
    <row r="92" customFormat="false" ht="15" hidden="false" customHeight="false" outlineLevel="0" collapsed="false">
      <c r="A92" s="2" t="s">
        <v>1113</v>
      </c>
      <c r="B92" s="2" t="s">
        <v>1091</v>
      </c>
      <c r="C92" s="2" t="s">
        <v>1114</v>
      </c>
      <c r="D92" s="2" t="s">
        <v>273</v>
      </c>
      <c r="E92" s="2" t="s">
        <v>258</v>
      </c>
      <c r="F92" s="3" t="s">
        <v>101</v>
      </c>
      <c r="G92" s="2" t="s">
        <v>1115</v>
      </c>
      <c r="H92" s="2" t="s">
        <v>1116</v>
      </c>
      <c r="I92" s="2" t="s">
        <v>1117</v>
      </c>
      <c r="J92" s="2" t="s">
        <v>1118</v>
      </c>
      <c r="K92" s="2" t="s">
        <v>1119</v>
      </c>
      <c r="L92" s="2"/>
      <c r="M92" s="2"/>
      <c r="N92" s="2"/>
      <c r="O92" s="3"/>
      <c r="P92" s="2" t="s">
        <v>1120</v>
      </c>
      <c r="Q92" s="2" t="s">
        <v>1121</v>
      </c>
      <c r="R92" s="2" t="s">
        <v>1122</v>
      </c>
      <c r="S92" s="2"/>
      <c r="T92" s="3" t="s">
        <v>412</v>
      </c>
      <c r="U92" s="2"/>
      <c r="V92" s="2"/>
      <c r="W92" s="2"/>
      <c r="X92" s="2"/>
      <c r="Y92" s="2"/>
      <c r="Z92" s="2"/>
      <c r="AA92" s="2"/>
      <c r="AB92" s="2" t="s">
        <v>1123</v>
      </c>
      <c r="AC92" s="2" t="s">
        <v>1124</v>
      </c>
      <c r="AD92" s="2" t="s">
        <v>1125</v>
      </c>
      <c r="AE92" s="3" t="s">
        <v>53</v>
      </c>
    </row>
    <row r="93" customFormat="false" ht="15" hidden="false" customHeight="false" outlineLevel="0" collapsed="false">
      <c r="A93" s="2" t="s">
        <v>413</v>
      </c>
      <c r="B93" s="2" t="s">
        <v>1091</v>
      </c>
      <c r="C93" s="2" t="s">
        <v>1126</v>
      </c>
      <c r="D93" s="2" t="s">
        <v>273</v>
      </c>
      <c r="E93" s="2" t="s">
        <v>274</v>
      </c>
      <c r="F93" s="3" t="s">
        <v>259</v>
      </c>
      <c r="G93" s="2" t="s">
        <v>1127</v>
      </c>
      <c r="H93" s="2" t="s">
        <v>1128</v>
      </c>
      <c r="I93" s="2" t="s">
        <v>1129</v>
      </c>
      <c r="J93" s="2" t="s">
        <v>1130</v>
      </c>
      <c r="K93" s="2" t="s">
        <v>1131</v>
      </c>
      <c r="L93" s="2"/>
      <c r="M93" s="2"/>
      <c r="N93" s="2" t="s">
        <v>1132</v>
      </c>
      <c r="O93" s="3"/>
      <c r="P93" s="2" t="s">
        <v>1133</v>
      </c>
      <c r="Q93" s="2" t="s">
        <v>1134</v>
      </c>
      <c r="R93" s="2" t="s">
        <v>411</v>
      </c>
      <c r="S93" s="2" t="s">
        <v>286</v>
      </c>
      <c r="T93" s="3" t="s">
        <v>412</v>
      </c>
      <c r="U93" s="2"/>
      <c r="V93" s="2"/>
      <c r="W93" s="2"/>
      <c r="X93" s="2"/>
      <c r="Y93" s="2"/>
      <c r="Z93" s="2"/>
      <c r="AA93" s="2"/>
      <c r="AB93" s="2" t="s">
        <v>401</v>
      </c>
      <c r="AC93" s="2"/>
      <c r="AD93" s="2" t="s">
        <v>1125</v>
      </c>
      <c r="AE93" s="3" t="s">
        <v>53</v>
      </c>
    </row>
    <row r="94" customFormat="false" ht="15" hidden="false" customHeight="false" outlineLevel="0" collapsed="false">
      <c r="A94" s="2" t="s">
        <v>1135</v>
      </c>
      <c r="B94" s="2" t="s">
        <v>1091</v>
      </c>
      <c r="C94" s="2" t="s">
        <v>1136</v>
      </c>
      <c r="D94" s="2" t="s">
        <v>188</v>
      </c>
      <c r="E94" s="2" t="s">
        <v>258</v>
      </c>
      <c r="F94" s="3" t="s">
        <v>36</v>
      </c>
      <c r="G94" s="2" t="s">
        <v>1137</v>
      </c>
      <c r="H94" s="2" t="s">
        <v>1138</v>
      </c>
      <c r="I94" s="2" t="s">
        <v>1139</v>
      </c>
      <c r="J94" s="2" t="s">
        <v>1140</v>
      </c>
      <c r="K94" s="2" t="s">
        <v>1141</v>
      </c>
      <c r="L94" s="2"/>
      <c r="M94" s="2"/>
      <c r="N94" s="2"/>
      <c r="O94" s="3"/>
      <c r="P94" s="2" t="s">
        <v>1142</v>
      </c>
      <c r="Q94" s="2" t="s">
        <v>1143</v>
      </c>
      <c r="R94" s="2" t="s">
        <v>285</v>
      </c>
      <c r="S94" s="2" t="s">
        <v>1067</v>
      </c>
      <c r="T94" s="3" t="s">
        <v>412</v>
      </c>
      <c r="U94" s="2"/>
      <c r="V94" s="2"/>
      <c r="W94" s="2"/>
      <c r="X94" s="2"/>
      <c r="Y94" s="2"/>
      <c r="Z94" s="2"/>
      <c r="AA94" s="2"/>
      <c r="AB94" s="2" t="s">
        <v>1144</v>
      </c>
      <c r="AC94" s="2" t="s">
        <v>1145</v>
      </c>
      <c r="AD94" s="2" t="s">
        <v>1146</v>
      </c>
      <c r="AE94" s="3" t="s">
        <v>53</v>
      </c>
    </row>
    <row r="95" customFormat="false" ht="15" hidden="false" customHeight="false" outlineLevel="0" collapsed="false">
      <c r="A95" s="2" t="s">
        <v>1147</v>
      </c>
      <c r="B95" s="2" t="s">
        <v>1091</v>
      </c>
      <c r="C95" s="2" t="s">
        <v>1148</v>
      </c>
      <c r="D95" s="2" t="s">
        <v>189</v>
      </c>
      <c r="E95" s="2" t="s">
        <v>258</v>
      </c>
      <c r="F95" s="3" t="s">
        <v>36</v>
      </c>
      <c r="G95" s="2" t="s">
        <v>1149</v>
      </c>
      <c r="H95" s="2" t="s">
        <v>1150</v>
      </c>
      <c r="I95" s="2" t="s">
        <v>1151</v>
      </c>
      <c r="J95" s="2" t="s">
        <v>1152</v>
      </c>
      <c r="K95" s="2" t="s">
        <v>1153</v>
      </c>
      <c r="L95" s="2"/>
      <c r="M95" s="2"/>
      <c r="N95" s="2"/>
      <c r="O95" s="3"/>
      <c r="P95" s="2" t="s">
        <v>1154</v>
      </c>
      <c r="Q95" s="2" t="s">
        <v>1155</v>
      </c>
      <c r="R95" s="2" t="s">
        <v>201</v>
      </c>
      <c r="S95" s="2" t="s">
        <v>599</v>
      </c>
      <c r="T95" s="3" t="s">
        <v>50</v>
      </c>
      <c r="U95" s="2"/>
      <c r="V95" s="2"/>
      <c r="W95" s="2"/>
      <c r="X95" s="2"/>
      <c r="Y95" s="2"/>
      <c r="Z95" s="2"/>
      <c r="AA95" s="2"/>
      <c r="AB95" s="2" t="s">
        <v>1156</v>
      </c>
      <c r="AC95" s="2"/>
      <c r="AD95" s="2" t="s">
        <v>1157</v>
      </c>
      <c r="AE95" s="3" t="s">
        <v>53</v>
      </c>
    </row>
    <row r="96" customFormat="false" ht="15" hidden="false" customHeight="false" outlineLevel="0" collapsed="false">
      <c r="A96" s="2" t="s">
        <v>1158</v>
      </c>
      <c r="B96" s="2" t="s">
        <v>1091</v>
      </c>
      <c r="C96" s="2" t="s">
        <v>1159</v>
      </c>
      <c r="D96" s="2" t="s">
        <v>273</v>
      </c>
      <c r="E96" s="2" t="s">
        <v>258</v>
      </c>
      <c r="F96" s="3" t="s">
        <v>101</v>
      </c>
      <c r="G96" s="2" t="s">
        <v>1160</v>
      </c>
      <c r="H96" s="2" t="s">
        <v>1161</v>
      </c>
      <c r="I96" s="2" t="s">
        <v>1162</v>
      </c>
      <c r="J96" s="2" t="s">
        <v>1163</v>
      </c>
      <c r="K96" s="2" t="s">
        <v>1164</v>
      </c>
      <c r="L96" s="2" t="s">
        <v>280</v>
      </c>
      <c r="M96" s="2"/>
      <c r="N96" s="2" t="s">
        <v>1165</v>
      </c>
      <c r="O96" s="3" t="s">
        <v>282</v>
      </c>
      <c r="P96" s="2" t="s">
        <v>1166</v>
      </c>
      <c r="Q96" s="2" t="s">
        <v>1167</v>
      </c>
      <c r="R96" s="2" t="s">
        <v>285</v>
      </c>
      <c r="S96" s="2" t="s">
        <v>286</v>
      </c>
      <c r="T96" s="3" t="s">
        <v>82</v>
      </c>
      <c r="U96" s="2"/>
      <c r="V96" s="2"/>
      <c r="W96" s="2"/>
      <c r="X96" s="2"/>
      <c r="Y96" s="2"/>
      <c r="Z96" s="2"/>
      <c r="AA96" s="2"/>
      <c r="AB96" s="2" t="s">
        <v>1168</v>
      </c>
      <c r="AC96" s="2"/>
      <c r="AD96" s="2" t="s">
        <v>1169</v>
      </c>
      <c r="AE96" s="3" t="s">
        <v>53</v>
      </c>
    </row>
    <row r="97" customFormat="false" ht="15" hidden="false" customHeight="false" outlineLevel="0" collapsed="false">
      <c r="A97" s="2" t="s">
        <v>1170</v>
      </c>
      <c r="B97" s="2" t="s">
        <v>861</v>
      </c>
      <c r="C97" s="2" t="s">
        <v>1171</v>
      </c>
      <c r="D97" s="2" t="s">
        <v>189</v>
      </c>
      <c r="E97" s="2" t="s">
        <v>189</v>
      </c>
      <c r="F97" s="3" t="s">
        <v>36</v>
      </c>
      <c r="G97" s="2" t="s">
        <v>1172</v>
      </c>
      <c r="H97" s="2" t="s">
        <v>1173</v>
      </c>
      <c r="I97" s="2" t="s">
        <v>1174</v>
      </c>
      <c r="J97" s="2" t="s">
        <v>1175</v>
      </c>
      <c r="K97" s="2" t="s">
        <v>1176</v>
      </c>
      <c r="L97" s="2"/>
      <c r="M97" s="2"/>
      <c r="N97" s="2"/>
      <c r="O97" s="3"/>
      <c r="P97" s="2" t="s">
        <v>1177</v>
      </c>
      <c r="Q97" s="2"/>
      <c r="R97" s="2" t="s">
        <v>1178</v>
      </c>
      <c r="S97" s="2" t="s">
        <v>861</v>
      </c>
      <c r="T97" s="3" t="s">
        <v>50</v>
      </c>
      <c r="U97" s="2"/>
      <c r="V97" s="2"/>
      <c r="W97" s="2"/>
      <c r="X97" s="2"/>
      <c r="Y97" s="2"/>
      <c r="Z97" s="2"/>
      <c r="AA97" s="2"/>
      <c r="AB97" s="2" t="s">
        <v>1179</v>
      </c>
      <c r="AC97" s="2"/>
      <c r="AD97" s="2"/>
      <c r="AE97" s="3" t="s">
        <v>53</v>
      </c>
    </row>
    <row r="98" customFormat="false" ht="15" hidden="false" customHeight="false" outlineLevel="0" collapsed="false">
      <c r="A98" s="2" t="s">
        <v>1180</v>
      </c>
      <c r="B98" s="2" t="s">
        <v>861</v>
      </c>
      <c r="C98" s="2" t="s">
        <v>1181</v>
      </c>
      <c r="D98" s="2" t="s">
        <v>189</v>
      </c>
      <c r="E98" s="2" t="s">
        <v>189</v>
      </c>
      <c r="F98" s="3" t="s">
        <v>36</v>
      </c>
      <c r="G98" s="2" t="s">
        <v>1182</v>
      </c>
      <c r="H98" s="2" t="s">
        <v>1183</v>
      </c>
      <c r="I98" s="2" t="s">
        <v>1184</v>
      </c>
      <c r="J98" s="2" t="s">
        <v>1185</v>
      </c>
      <c r="K98" s="2" t="s">
        <v>1186</v>
      </c>
      <c r="L98" s="2"/>
      <c r="M98" s="2"/>
      <c r="N98" s="2"/>
      <c r="O98" s="3"/>
      <c r="P98" s="2" t="s">
        <v>1187</v>
      </c>
      <c r="Q98" s="2"/>
      <c r="R98" s="2" t="s">
        <v>1188</v>
      </c>
      <c r="S98" s="2" t="s">
        <v>861</v>
      </c>
      <c r="T98" s="3" t="s">
        <v>50</v>
      </c>
      <c r="U98" s="2"/>
      <c r="V98" s="2"/>
      <c r="W98" s="2"/>
      <c r="X98" s="2"/>
      <c r="Y98" s="2"/>
      <c r="Z98" s="2"/>
      <c r="AA98" s="2"/>
      <c r="AB98" s="2" t="s">
        <v>1189</v>
      </c>
      <c r="AC98" s="2"/>
      <c r="AD98" s="2"/>
      <c r="AE98" s="3" t="s">
        <v>53</v>
      </c>
    </row>
    <row r="99" customFormat="false" ht="15" hidden="false" customHeight="false" outlineLevel="0" collapsed="false">
      <c r="A99" s="2" t="s">
        <v>1190</v>
      </c>
      <c r="B99" s="2" t="s">
        <v>861</v>
      </c>
      <c r="C99" s="2" t="s">
        <v>1191</v>
      </c>
      <c r="D99" s="2" t="s">
        <v>189</v>
      </c>
      <c r="E99" s="2" t="s">
        <v>189</v>
      </c>
      <c r="F99" s="3" t="s">
        <v>36</v>
      </c>
      <c r="G99" s="2" t="s">
        <v>1192</v>
      </c>
      <c r="H99" s="2" t="s">
        <v>1193</v>
      </c>
      <c r="I99" s="2" t="s">
        <v>1194</v>
      </c>
      <c r="J99" s="2" t="s">
        <v>1195</v>
      </c>
      <c r="K99" s="2" t="s">
        <v>1196</v>
      </c>
      <c r="L99" s="2"/>
      <c r="M99" s="2"/>
      <c r="N99" s="2"/>
      <c r="O99" s="3"/>
      <c r="P99" s="2" t="s">
        <v>1197</v>
      </c>
      <c r="Q99" s="2"/>
      <c r="R99" s="2" t="s">
        <v>1198</v>
      </c>
      <c r="S99" s="2" t="s">
        <v>861</v>
      </c>
      <c r="T99" s="3" t="s">
        <v>50</v>
      </c>
      <c r="U99" s="2"/>
      <c r="V99" s="2"/>
      <c r="W99" s="2"/>
      <c r="X99" s="2"/>
      <c r="Y99" s="2"/>
      <c r="Z99" s="2"/>
      <c r="AA99" s="2"/>
      <c r="AB99" s="2" t="s">
        <v>1199</v>
      </c>
      <c r="AC99" s="2"/>
      <c r="AD99" s="2"/>
      <c r="AE99" s="3" t="s">
        <v>53</v>
      </c>
    </row>
    <row r="100" customFormat="false" ht="15" hidden="false" customHeight="false" outlineLevel="0" collapsed="false">
      <c r="A100" s="2" t="s">
        <v>1200</v>
      </c>
      <c r="B100" s="2" t="s">
        <v>861</v>
      </c>
      <c r="C100" s="2" t="s">
        <v>1201</v>
      </c>
      <c r="D100" s="2" t="s">
        <v>189</v>
      </c>
      <c r="E100" s="2" t="s">
        <v>189</v>
      </c>
      <c r="F100" s="3" t="s">
        <v>36</v>
      </c>
      <c r="G100" s="2" t="s">
        <v>1202</v>
      </c>
      <c r="H100" s="2" t="s">
        <v>1203</v>
      </c>
      <c r="I100" s="2" t="s">
        <v>1204</v>
      </c>
      <c r="J100" s="2" t="s">
        <v>1205</v>
      </c>
      <c r="K100" s="2" t="s">
        <v>1206</v>
      </c>
      <c r="L100" s="2"/>
      <c r="M100" s="2"/>
      <c r="N100" s="2"/>
      <c r="O100" s="3"/>
      <c r="P100" s="2" t="s">
        <v>1207</v>
      </c>
      <c r="Q100" s="2"/>
      <c r="R100" s="2" t="s">
        <v>1208</v>
      </c>
      <c r="S100" s="2" t="s">
        <v>861</v>
      </c>
      <c r="T100" s="3" t="s">
        <v>50</v>
      </c>
      <c r="U100" s="2"/>
      <c r="V100" s="2"/>
      <c r="W100" s="2"/>
      <c r="X100" s="2"/>
      <c r="Y100" s="2"/>
      <c r="Z100" s="2"/>
      <c r="AA100" s="2"/>
      <c r="AB100" s="2" t="s">
        <v>1209</v>
      </c>
      <c r="AC100" s="2"/>
      <c r="AD100" s="2"/>
      <c r="AE100" s="3" t="s">
        <v>53</v>
      </c>
    </row>
    <row r="101" customFormat="false" ht="15" hidden="false" customHeight="false" outlineLevel="0" collapsed="false">
      <c r="A101" s="2" t="s">
        <v>1210</v>
      </c>
      <c r="B101" s="2" t="s">
        <v>861</v>
      </c>
      <c r="C101" s="2" t="s">
        <v>1211</v>
      </c>
      <c r="D101" s="2" t="s">
        <v>826</v>
      </c>
      <c r="E101" s="2" t="s">
        <v>826</v>
      </c>
      <c r="F101" s="3" t="s">
        <v>36</v>
      </c>
      <c r="G101" s="2" t="s">
        <v>1212</v>
      </c>
      <c r="H101" s="2" t="s">
        <v>1213</v>
      </c>
      <c r="I101" s="2" t="s">
        <v>1214</v>
      </c>
      <c r="J101" s="2" t="s">
        <v>1215</v>
      </c>
      <c r="K101" s="2" t="s">
        <v>1216</v>
      </c>
      <c r="L101" s="2"/>
      <c r="M101" s="2"/>
      <c r="N101" s="2"/>
      <c r="O101" s="3"/>
      <c r="P101" s="2" t="s">
        <v>1217</v>
      </c>
      <c r="Q101" s="2"/>
      <c r="R101" s="2" t="s">
        <v>1218</v>
      </c>
      <c r="S101" s="2" t="s">
        <v>861</v>
      </c>
      <c r="T101" s="3" t="s">
        <v>50</v>
      </c>
      <c r="U101" s="2"/>
      <c r="V101" s="2"/>
      <c r="W101" s="2"/>
      <c r="X101" s="2"/>
      <c r="Y101" s="2"/>
      <c r="Z101" s="2"/>
      <c r="AA101" s="2"/>
      <c r="AB101" s="2" t="s">
        <v>1219</v>
      </c>
      <c r="AC101" s="2"/>
      <c r="AD101" s="2"/>
      <c r="AE101" s="3" t="s">
        <v>53</v>
      </c>
    </row>
    <row r="102" customFormat="false" ht="15" hidden="false" customHeight="false" outlineLevel="0" collapsed="false">
      <c r="A102" s="2" t="s">
        <v>1220</v>
      </c>
      <c r="B102" s="2" t="s">
        <v>861</v>
      </c>
      <c r="C102" s="2" t="s">
        <v>1221</v>
      </c>
      <c r="D102" s="2" t="s">
        <v>826</v>
      </c>
      <c r="E102" s="2" t="s">
        <v>826</v>
      </c>
      <c r="F102" s="3" t="s">
        <v>36</v>
      </c>
      <c r="G102" s="2" t="s">
        <v>1222</v>
      </c>
      <c r="H102" s="2" t="s">
        <v>1223</v>
      </c>
      <c r="I102" s="2" t="s">
        <v>1224</v>
      </c>
      <c r="J102" s="2" t="s">
        <v>1225</v>
      </c>
      <c r="K102" s="2" t="s">
        <v>1226</v>
      </c>
      <c r="L102" s="2"/>
      <c r="M102" s="2"/>
      <c r="N102" s="2"/>
      <c r="O102" s="3"/>
      <c r="P102" s="2" t="s">
        <v>1227</v>
      </c>
      <c r="Q102" s="2"/>
      <c r="R102" s="2" t="s">
        <v>1228</v>
      </c>
      <c r="S102" s="2" t="s">
        <v>861</v>
      </c>
      <c r="T102" s="3" t="s">
        <v>50</v>
      </c>
      <c r="U102" s="2"/>
      <c r="V102" s="2"/>
      <c r="W102" s="2"/>
      <c r="X102" s="2"/>
      <c r="Y102" s="2"/>
      <c r="Z102" s="2"/>
      <c r="AA102" s="2"/>
      <c r="AB102" s="2" t="s">
        <v>1229</v>
      </c>
      <c r="AC102" s="2"/>
      <c r="AD102" s="2"/>
      <c r="AE102" s="3" t="s">
        <v>53</v>
      </c>
    </row>
    <row r="103" customFormat="false" ht="15" hidden="false" customHeight="false" outlineLevel="0" collapsed="false">
      <c r="A103" s="2" t="s">
        <v>1230</v>
      </c>
      <c r="B103" s="2" t="s">
        <v>861</v>
      </c>
      <c r="C103" s="2" t="s">
        <v>1231</v>
      </c>
      <c r="D103" s="2" t="s">
        <v>35</v>
      </c>
      <c r="E103" s="2" t="s">
        <v>35</v>
      </c>
      <c r="F103" s="3" t="s">
        <v>36</v>
      </c>
      <c r="G103" s="2" t="s">
        <v>1232</v>
      </c>
      <c r="H103" s="2" t="s">
        <v>1233</v>
      </c>
      <c r="I103" s="2" t="s">
        <v>1234</v>
      </c>
      <c r="J103" s="2" t="s">
        <v>1235</v>
      </c>
      <c r="K103" s="2" t="s">
        <v>1236</v>
      </c>
      <c r="L103" s="2"/>
      <c r="M103" s="2"/>
      <c r="N103" s="2"/>
      <c r="O103" s="3"/>
      <c r="P103" s="2" t="s">
        <v>1237</v>
      </c>
      <c r="Q103" s="2"/>
      <c r="R103" s="2" t="s">
        <v>1238</v>
      </c>
      <c r="S103" s="2" t="s">
        <v>861</v>
      </c>
      <c r="T103" s="3" t="s">
        <v>50</v>
      </c>
      <c r="U103" s="2"/>
      <c r="V103" s="2"/>
      <c r="W103" s="2"/>
      <c r="X103" s="2"/>
      <c r="Y103" s="2"/>
      <c r="Z103" s="2"/>
      <c r="AA103" s="2"/>
      <c r="AB103" s="2" t="s">
        <v>1239</v>
      </c>
      <c r="AC103" s="2"/>
      <c r="AD103" s="2"/>
      <c r="AE103" s="3" t="s">
        <v>53</v>
      </c>
    </row>
    <row r="104" customFormat="false" ht="15" hidden="false" customHeight="false" outlineLevel="0" collapsed="false">
      <c r="A104" s="2" t="s">
        <v>1240</v>
      </c>
      <c r="B104" s="2" t="s">
        <v>861</v>
      </c>
      <c r="C104" s="2" t="s">
        <v>1241</v>
      </c>
      <c r="D104" s="2" t="s">
        <v>35</v>
      </c>
      <c r="E104" s="2" t="s">
        <v>35</v>
      </c>
      <c r="F104" s="3" t="s">
        <v>36</v>
      </c>
      <c r="G104" s="2" t="s">
        <v>1242</v>
      </c>
      <c r="H104" s="2" t="s">
        <v>1243</v>
      </c>
      <c r="I104" s="2" t="s">
        <v>1244</v>
      </c>
      <c r="J104" s="2" t="s">
        <v>1245</v>
      </c>
      <c r="K104" s="2" t="s">
        <v>1246</v>
      </c>
      <c r="L104" s="2"/>
      <c r="M104" s="2"/>
      <c r="N104" s="2"/>
      <c r="O104" s="3"/>
      <c r="P104" s="2" t="s">
        <v>1247</v>
      </c>
      <c r="Q104" s="2"/>
      <c r="R104" s="2" t="s">
        <v>1248</v>
      </c>
      <c r="S104" s="2" t="s">
        <v>861</v>
      </c>
      <c r="T104" s="3" t="s">
        <v>50</v>
      </c>
      <c r="U104" s="2"/>
      <c r="V104" s="2"/>
      <c r="W104" s="2"/>
      <c r="X104" s="2"/>
      <c r="Y104" s="2"/>
      <c r="Z104" s="2"/>
      <c r="AA104" s="2"/>
      <c r="AB104" s="2" t="s">
        <v>1249</v>
      </c>
      <c r="AC104" s="2"/>
      <c r="AD104" s="2"/>
      <c r="AE104" s="3" t="s">
        <v>53</v>
      </c>
    </row>
    <row r="105" customFormat="false" ht="15" hidden="false" customHeight="false" outlineLevel="0" collapsed="false">
      <c r="A105" s="2" t="s">
        <v>1250</v>
      </c>
      <c r="B105" s="2" t="s">
        <v>861</v>
      </c>
      <c r="C105" s="2" t="s">
        <v>1251</v>
      </c>
      <c r="D105" s="2" t="s">
        <v>35</v>
      </c>
      <c r="E105" s="2" t="s">
        <v>35</v>
      </c>
      <c r="F105" s="3" t="s">
        <v>36</v>
      </c>
      <c r="G105" s="2" t="s">
        <v>1252</v>
      </c>
      <c r="H105" s="2" t="s">
        <v>1253</v>
      </c>
      <c r="I105" s="2" t="s">
        <v>1254</v>
      </c>
      <c r="J105" s="2" t="s">
        <v>1255</v>
      </c>
      <c r="K105" s="2" t="s">
        <v>1256</v>
      </c>
      <c r="L105" s="2"/>
      <c r="M105" s="2"/>
      <c r="N105" s="2"/>
      <c r="O105" s="3"/>
      <c r="P105" s="2" t="s">
        <v>1257</v>
      </c>
      <c r="Q105" s="2"/>
      <c r="R105" s="2" t="s">
        <v>1258</v>
      </c>
      <c r="S105" s="2" t="s">
        <v>861</v>
      </c>
      <c r="T105" s="3" t="s">
        <v>50</v>
      </c>
      <c r="U105" s="2"/>
      <c r="V105" s="2"/>
      <c r="W105" s="2"/>
      <c r="X105" s="2"/>
      <c r="Y105" s="2"/>
      <c r="Z105" s="2"/>
      <c r="AA105" s="2"/>
      <c r="AB105" s="2" t="s">
        <v>1259</v>
      </c>
      <c r="AC105" s="2" t="s">
        <v>1260</v>
      </c>
      <c r="AD105" s="2"/>
      <c r="AE105" s="3" t="s">
        <v>53</v>
      </c>
    </row>
    <row r="106" customFormat="false" ht="15" hidden="false" customHeight="false" outlineLevel="0" collapsed="false">
      <c r="A106" s="2" t="s">
        <v>1261</v>
      </c>
      <c r="B106" s="2" t="s">
        <v>861</v>
      </c>
      <c r="C106" s="2" t="s">
        <v>1262</v>
      </c>
      <c r="D106" s="2" t="s">
        <v>189</v>
      </c>
      <c r="E106" s="2" t="s">
        <v>189</v>
      </c>
      <c r="F106" s="3" t="s">
        <v>101</v>
      </c>
      <c r="G106" s="2" t="s">
        <v>1263</v>
      </c>
      <c r="H106" s="2" t="s">
        <v>1264</v>
      </c>
      <c r="I106" s="2" t="s">
        <v>1265</v>
      </c>
      <c r="J106" s="2" t="s">
        <v>1266</v>
      </c>
      <c r="K106" s="2" t="s">
        <v>1267</v>
      </c>
      <c r="L106" s="2"/>
      <c r="M106" s="2"/>
      <c r="N106" s="2"/>
      <c r="O106" s="3"/>
      <c r="P106" s="2" t="s">
        <v>1268</v>
      </c>
      <c r="Q106" s="2"/>
      <c r="R106" s="2" t="s">
        <v>1269</v>
      </c>
      <c r="S106" s="2" t="s">
        <v>861</v>
      </c>
      <c r="T106" s="3" t="s">
        <v>50</v>
      </c>
      <c r="U106" s="2"/>
      <c r="V106" s="2"/>
      <c r="W106" s="2"/>
      <c r="X106" s="2"/>
      <c r="Y106" s="2"/>
      <c r="Z106" s="2"/>
      <c r="AA106" s="2"/>
      <c r="AB106" s="2" t="s">
        <v>1270</v>
      </c>
      <c r="AC106" s="2"/>
      <c r="AD106" s="2"/>
      <c r="AE106" s="3" t="s">
        <v>53</v>
      </c>
    </row>
    <row r="107" customFormat="false" ht="15" hidden="false" customHeight="false" outlineLevel="0" collapsed="false">
      <c r="A107" s="2" t="s">
        <v>1271</v>
      </c>
      <c r="B107" s="2" t="s">
        <v>861</v>
      </c>
      <c r="C107" s="2" t="s">
        <v>1272</v>
      </c>
      <c r="D107" s="2" t="s">
        <v>1273</v>
      </c>
      <c r="E107" s="2" t="s">
        <v>1273</v>
      </c>
      <c r="F107" s="3" t="s">
        <v>36</v>
      </c>
      <c r="G107" s="2" t="s">
        <v>1274</v>
      </c>
      <c r="H107" s="2" t="s">
        <v>1275</v>
      </c>
      <c r="I107" s="2" t="s">
        <v>1276</v>
      </c>
      <c r="J107" s="2" t="s">
        <v>1277</v>
      </c>
      <c r="K107" s="2" t="s">
        <v>1278</v>
      </c>
      <c r="L107" s="2"/>
      <c r="M107" s="2"/>
      <c r="N107" s="2"/>
      <c r="O107" s="3"/>
      <c r="P107" s="2" t="s">
        <v>1279</v>
      </c>
      <c r="Q107" s="2"/>
      <c r="R107" s="2" t="s">
        <v>1280</v>
      </c>
      <c r="S107" s="2" t="s">
        <v>861</v>
      </c>
      <c r="T107" s="3" t="s">
        <v>50</v>
      </c>
      <c r="U107" s="2"/>
      <c r="V107" s="2"/>
      <c r="W107" s="2"/>
      <c r="X107" s="2"/>
      <c r="Y107" s="2"/>
      <c r="Z107" s="2"/>
      <c r="AA107" s="2"/>
      <c r="AB107" s="2" t="s">
        <v>1281</v>
      </c>
      <c r="AC107" s="2"/>
      <c r="AD107" s="2"/>
      <c r="AE107" s="3" t="s">
        <v>53</v>
      </c>
    </row>
    <row r="108" customFormat="false" ht="15" hidden="false" customHeight="false" outlineLevel="0" collapsed="false">
      <c r="A108" s="2" t="s">
        <v>1282</v>
      </c>
      <c r="B108" s="2" t="s">
        <v>861</v>
      </c>
      <c r="C108" s="2" t="s">
        <v>1283</v>
      </c>
      <c r="D108" s="2" t="s">
        <v>1273</v>
      </c>
      <c r="E108" s="2" t="s">
        <v>1273</v>
      </c>
      <c r="F108" s="3" t="s">
        <v>36</v>
      </c>
      <c r="G108" s="2" t="s">
        <v>1284</v>
      </c>
      <c r="H108" s="2" t="s">
        <v>1285</v>
      </c>
      <c r="I108" s="2" t="s">
        <v>1286</v>
      </c>
      <c r="J108" s="2" t="s">
        <v>1287</v>
      </c>
      <c r="K108" s="2" t="s">
        <v>1288</v>
      </c>
      <c r="L108" s="2"/>
      <c r="M108" s="2"/>
      <c r="N108" s="2"/>
      <c r="O108" s="3"/>
      <c r="P108" s="2" t="s">
        <v>1289</v>
      </c>
      <c r="Q108" s="2"/>
      <c r="R108" s="2" t="s">
        <v>1290</v>
      </c>
      <c r="S108" s="2" t="s">
        <v>861</v>
      </c>
      <c r="T108" s="3" t="s">
        <v>50</v>
      </c>
      <c r="U108" s="2"/>
      <c r="V108" s="2"/>
      <c r="W108" s="2"/>
      <c r="X108" s="2"/>
      <c r="Y108" s="2"/>
      <c r="Z108" s="2"/>
      <c r="AA108" s="2"/>
      <c r="AB108" s="2" t="s">
        <v>1170</v>
      </c>
      <c r="AC108" s="2"/>
      <c r="AD108" s="2"/>
      <c r="AE108" s="3" t="s">
        <v>53</v>
      </c>
    </row>
    <row r="109" customFormat="false" ht="15" hidden="false" customHeight="false" outlineLevel="0" collapsed="false">
      <c r="A109" s="2" t="s">
        <v>1291</v>
      </c>
      <c r="B109" s="2" t="s">
        <v>861</v>
      </c>
      <c r="C109" s="2" t="s">
        <v>1292</v>
      </c>
      <c r="D109" s="2" t="s">
        <v>125</v>
      </c>
      <c r="E109" s="2" t="s">
        <v>125</v>
      </c>
      <c r="F109" s="3" t="s">
        <v>842</v>
      </c>
      <c r="G109" s="2" t="s">
        <v>1293</v>
      </c>
      <c r="H109" s="2" t="s">
        <v>1294</v>
      </c>
      <c r="I109" s="2" t="s">
        <v>1295</v>
      </c>
      <c r="J109" s="2" t="s">
        <v>1296</v>
      </c>
      <c r="K109" s="2" t="s">
        <v>1297</v>
      </c>
      <c r="L109" s="2"/>
      <c r="M109" s="2"/>
      <c r="N109" s="2"/>
      <c r="O109" s="3"/>
      <c r="P109" s="2" t="s">
        <v>1298</v>
      </c>
      <c r="Q109" s="2"/>
      <c r="R109" s="2" t="s">
        <v>1299</v>
      </c>
      <c r="S109" s="2" t="s">
        <v>861</v>
      </c>
      <c r="T109" s="3" t="s">
        <v>50</v>
      </c>
      <c r="U109" s="2"/>
      <c r="V109" s="2"/>
      <c r="W109" s="2"/>
      <c r="X109" s="2"/>
      <c r="Y109" s="2"/>
      <c r="Z109" s="2"/>
      <c r="AA109" s="2"/>
      <c r="AB109" s="2" t="s">
        <v>1300</v>
      </c>
      <c r="AC109" s="2"/>
      <c r="AD109" s="2"/>
      <c r="AE109" s="3" t="s">
        <v>53</v>
      </c>
    </row>
    <row r="110" customFormat="false" ht="15" hidden="false" customHeight="false" outlineLevel="0" collapsed="false">
      <c r="A110" s="2" t="s">
        <v>1301</v>
      </c>
      <c r="B110" s="2" t="s">
        <v>861</v>
      </c>
      <c r="C110" s="2" t="s">
        <v>1302</v>
      </c>
      <c r="D110" s="2" t="s">
        <v>853</v>
      </c>
      <c r="E110" s="2" t="s">
        <v>189</v>
      </c>
      <c r="F110" s="3" t="s">
        <v>36</v>
      </c>
      <c r="G110" s="2" t="s">
        <v>1303</v>
      </c>
      <c r="H110" s="2" t="s">
        <v>1304</v>
      </c>
      <c r="I110" s="2" t="s">
        <v>1305</v>
      </c>
      <c r="J110" s="2" t="s">
        <v>1306</v>
      </c>
      <c r="K110" s="2" t="s">
        <v>1307</v>
      </c>
      <c r="L110" s="2"/>
      <c r="M110" s="2"/>
      <c r="N110" s="2"/>
      <c r="O110" s="3"/>
      <c r="P110" s="2" t="s">
        <v>1308</v>
      </c>
      <c r="Q110" s="2" t="s">
        <v>732</v>
      </c>
      <c r="R110" s="2" t="s">
        <v>1309</v>
      </c>
      <c r="S110" s="2" t="s">
        <v>861</v>
      </c>
      <c r="T110" s="3" t="s">
        <v>50</v>
      </c>
      <c r="U110" s="2"/>
      <c r="V110" s="2"/>
      <c r="W110" s="2"/>
      <c r="X110" s="2"/>
      <c r="Y110" s="2"/>
      <c r="Z110" s="2"/>
      <c r="AA110" s="2"/>
      <c r="AB110" s="2" t="s">
        <v>1310</v>
      </c>
      <c r="AC110" s="2"/>
      <c r="AD110" s="2" t="s">
        <v>1311</v>
      </c>
      <c r="AE110" s="3" t="s">
        <v>53</v>
      </c>
    </row>
    <row r="111" customFormat="false" ht="15" hidden="false" customHeight="false" outlineLevel="0" collapsed="false">
      <c r="A111" s="2" t="s">
        <v>1312</v>
      </c>
      <c r="B111" s="2" t="s">
        <v>861</v>
      </c>
      <c r="C111" s="2" t="s">
        <v>1313</v>
      </c>
      <c r="D111" s="2" t="s">
        <v>35</v>
      </c>
      <c r="E111" s="2" t="s">
        <v>35</v>
      </c>
      <c r="F111" s="3" t="s">
        <v>36</v>
      </c>
      <c r="G111" s="2" t="s">
        <v>1314</v>
      </c>
      <c r="H111" s="2" t="s">
        <v>1315</v>
      </c>
      <c r="I111" s="2" t="s">
        <v>1316</v>
      </c>
      <c r="J111" s="2" t="s">
        <v>1317</v>
      </c>
      <c r="K111" s="2" t="s">
        <v>1318</v>
      </c>
      <c r="L111" s="2"/>
      <c r="M111" s="2"/>
      <c r="N111" s="2"/>
      <c r="O111" s="3"/>
      <c r="P111" s="2" t="s">
        <v>1319</v>
      </c>
      <c r="Q111" s="2" t="s">
        <v>410</v>
      </c>
      <c r="R111" s="2" t="s">
        <v>1320</v>
      </c>
      <c r="S111" s="2" t="s">
        <v>861</v>
      </c>
      <c r="T111" s="3" t="s">
        <v>50</v>
      </c>
      <c r="U111" s="2"/>
      <c r="V111" s="2"/>
      <c r="W111" s="2"/>
      <c r="X111" s="2"/>
      <c r="Y111" s="2"/>
      <c r="Z111" s="2"/>
      <c r="AA111" s="2"/>
      <c r="AB111" s="2" t="s">
        <v>1321</v>
      </c>
      <c r="AC111" s="2"/>
      <c r="AD111" s="2" t="s">
        <v>1322</v>
      </c>
      <c r="AE111" s="3" t="s">
        <v>53</v>
      </c>
    </row>
    <row r="112" customFormat="false" ht="15" hidden="false" customHeight="false" outlineLevel="0" collapsed="false">
      <c r="A112" s="2" t="s">
        <v>1323</v>
      </c>
      <c r="B112" s="2" t="s">
        <v>861</v>
      </c>
      <c r="C112" s="2" t="s">
        <v>1324</v>
      </c>
      <c r="D112" s="2" t="s">
        <v>273</v>
      </c>
      <c r="E112" s="2" t="s">
        <v>35</v>
      </c>
      <c r="F112" s="3" t="s">
        <v>101</v>
      </c>
      <c r="G112" s="2" t="s">
        <v>1325</v>
      </c>
      <c r="H112" s="2" t="s">
        <v>1326</v>
      </c>
      <c r="I112" s="2" t="s">
        <v>1327</v>
      </c>
      <c r="J112" s="2" t="s">
        <v>1328</v>
      </c>
      <c r="K112" s="2" t="s">
        <v>1329</v>
      </c>
      <c r="L112" s="2"/>
      <c r="M112" s="2"/>
      <c r="N112" s="2"/>
      <c r="O112" s="3"/>
      <c r="P112" s="2" t="s">
        <v>1330</v>
      </c>
      <c r="Q112" s="2" t="s">
        <v>410</v>
      </c>
      <c r="R112" s="2" t="s">
        <v>1331</v>
      </c>
      <c r="S112" s="2" t="s">
        <v>861</v>
      </c>
      <c r="T112" s="3" t="s">
        <v>50</v>
      </c>
      <c r="U112" s="2"/>
      <c r="V112" s="2"/>
      <c r="W112" s="2"/>
      <c r="X112" s="2"/>
      <c r="Y112" s="2"/>
      <c r="Z112" s="2"/>
      <c r="AA112" s="2"/>
      <c r="AB112" s="2" t="s">
        <v>1332</v>
      </c>
      <c r="AC112" s="2"/>
      <c r="AD112" s="2" t="s">
        <v>1333</v>
      </c>
      <c r="AE112" s="3" t="s">
        <v>53</v>
      </c>
    </row>
    <row r="113" customFormat="false" ht="15" hidden="false" customHeight="false" outlineLevel="0" collapsed="false">
      <c r="A113" s="2" t="s">
        <v>1334</v>
      </c>
      <c r="B113" s="2" t="s">
        <v>861</v>
      </c>
      <c r="C113" s="2" t="s">
        <v>1335</v>
      </c>
      <c r="D113" s="2" t="s">
        <v>273</v>
      </c>
      <c r="E113" s="2" t="s">
        <v>826</v>
      </c>
      <c r="F113" s="3" t="s">
        <v>36</v>
      </c>
      <c r="G113" s="2" t="s">
        <v>1336</v>
      </c>
      <c r="H113" s="2" t="s">
        <v>1337</v>
      </c>
      <c r="I113" s="2" t="s">
        <v>1338</v>
      </c>
      <c r="J113" s="2" t="s">
        <v>1339</v>
      </c>
      <c r="K113" s="2" t="s">
        <v>1340</v>
      </c>
      <c r="L113" s="2"/>
      <c r="M113" s="2"/>
      <c r="N113" s="2"/>
      <c r="O113" s="3"/>
      <c r="P113" s="2" t="s">
        <v>1341</v>
      </c>
      <c r="Q113" s="2" t="s">
        <v>1056</v>
      </c>
      <c r="R113" s="2" t="s">
        <v>1342</v>
      </c>
      <c r="S113" s="2" t="s">
        <v>861</v>
      </c>
      <c r="T113" s="3" t="s">
        <v>50</v>
      </c>
      <c r="U113" s="2"/>
      <c r="V113" s="2"/>
      <c r="W113" s="2"/>
      <c r="X113" s="2"/>
      <c r="Y113" s="2"/>
      <c r="Z113" s="2"/>
      <c r="AA113" s="2"/>
      <c r="AB113" s="2" t="s">
        <v>1343</v>
      </c>
      <c r="AC113" s="2"/>
      <c r="AD113" s="2" t="s">
        <v>1344</v>
      </c>
      <c r="AE113" s="3" t="s">
        <v>53</v>
      </c>
    </row>
    <row r="114" customFormat="false" ht="15" hidden="false" customHeight="false" outlineLevel="0" collapsed="false">
      <c r="A114" s="2" t="s">
        <v>1345</v>
      </c>
      <c r="B114" s="2" t="s">
        <v>861</v>
      </c>
      <c r="C114" s="2" t="s">
        <v>1346</v>
      </c>
      <c r="D114" s="2" t="s">
        <v>273</v>
      </c>
      <c r="E114" s="2" t="s">
        <v>189</v>
      </c>
      <c r="F114" s="3" t="s">
        <v>36</v>
      </c>
      <c r="G114" s="2" t="s">
        <v>1347</v>
      </c>
      <c r="H114" s="2" t="s">
        <v>1348</v>
      </c>
      <c r="I114" s="2" t="s">
        <v>1349</v>
      </c>
      <c r="J114" s="2" t="s">
        <v>1350</v>
      </c>
      <c r="K114" s="2" t="s">
        <v>1351</v>
      </c>
      <c r="L114" s="2"/>
      <c r="M114" s="2"/>
      <c r="N114" s="2"/>
      <c r="O114" s="3"/>
      <c r="P114" s="2" t="s">
        <v>1352</v>
      </c>
      <c r="Q114" s="2" t="s">
        <v>311</v>
      </c>
      <c r="R114" s="2" t="s">
        <v>1353</v>
      </c>
      <c r="S114" s="2" t="s">
        <v>861</v>
      </c>
      <c r="T114" s="3" t="s">
        <v>50</v>
      </c>
      <c r="U114" s="2"/>
      <c r="V114" s="2"/>
      <c r="W114" s="2"/>
      <c r="X114" s="2"/>
      <c r="Y114" s="2"/>
      <c r="Z114" s="2"/>
      <c r="AA114" s="2"/>
      <c r="AB114" s="2" t="s">
        <v>1354</v>
      </c>
      <c r="AC114" s="2"/>
      <c r="AD114" s="2" t="s">
        <v>1355</v>
      </c>
      <c r="AE114" s="3" t="s">
        <v>53</v>
      </c>
    </row>
    <row r="115" customFormat="false" ht="15" hidden="false" customHeight="false" outlineLevel="0" collapsed="false">
      <c r="A115" s="2" t="s">
        <v>1189</v>
      </c>
      <c r="B115" s="2" t="s">
        <v>861</v>
      </c>
      <c r="C115" s="2" t="s">
        <v>1356</v>
      </c>
      <c r="D115" s="2" t="s">
        <v>189</v>
      </c>
      <c r="E115" s="2" t="s">
        <v>189</v>
      </c>
      <c r="F115" s="3" t="s">
        <v>36</v>
      </c>
      <c r="G115" s="2" t="s">
        <v>1357</v>
      </c>
      <c r="H115" s="2" t="s">
        <v>1358</v>
      </c>
      <c r="I115" s="2" t="s">
        <v>1359</v>
      </c>
      <c r="J115" s="2" t="s">
        <v>1360</v>
      </c>
      <c r="K115" s="2" t="s">
        <v>1361</v>
      </c>
      <c r="L115" s="2"/>
      <c r="M115" s="2"/>
      <c r="N115" s="2"/>
      <c r="O115" s="3"/>
      <c r="P115" s="2" t="s">
        <v>1362</v>
      </c>
      <c r="Q115" s="2" t="s">
        <v>598</v>
      </c>
      <c r="R115" s="2" t="s">
        <v>1363</v>
      </c>
      <c r="S115" s="2" t="s">
        <v>599</v>
      </c>
      <c r="T115" s="3" t="s">
        <v>50</v>
      </c>
      <c r="U115" s="2"/>
      <c r="V115" s="2"/>
      <c r="W115" s="2"/>
      <c r="X115" s="2"/>
      <c r="Y115" s="2"/>
      <c r="Z115" s="2"/>
      <c r="AA115" s="2"/>
      <c r="AB115" s="2" t="s">
        <v>1364</v>
      </c>
      <c r="AC115" s="2" t="s">
        <v>601</v>
      </c>
      <c r="AD115" s="2" t="s">
        <v>1365</v>
      </c>
      <c r="AE115" s="3" t="s">
        <v>53</v>
      </c>
    </row>
    <row r="116" customFormat="false" ht="15" hidden="false" customHeight="false" outlineLevel="0" collapsed="false">
      <c r="A116" s="2" t="s">
        <v>1366</v>
      </c>
      <c r="B116" s="2" t="s">
        <v>861</v>
      </c>
      <c r="C116" s="2" t="s">
        <v>1367</v>
      </c>
      <c r="D116" s="2" t="s">
        <v>35</v>
      </c>
      <c r="E116" s="2" t="s">
        <v>35</v>
      </c>
      <c r="F116" s="3" t="s">
        <v>36</v>
      </c>
      <c r="G116" s="2" t="s">
        <v>1368</v>
      </c>
      <c r="H116" s="2" t="s">
        <v>1369</v>
      </c>
      <c r="I116" s="2" t="s">
        <v>1370</v>
      </c>
      <c r="J116" s="2" t="s">
        <v>1371</v>
      </c>
      <c r="K116" s="2" t="s">
        <v>1372</v>
      </c>
      <c r="L116" s="2"/>
      <c r="M116" s="2"/>
      <c r="N116" s="2"/>
      <c r="O116" s="3"/>
      <c r="P116" s="2" t="s">
        <v>1373</v>
      </c>
      <c r="Q116" s="2" t="s">
        <v>1374</v>
      </c>
      <c r="R116" s="2" t="s">
        <v>1299</v>
      </c>
      <c r="S116" s="2" t="s">
        <v>861</v>
      </c>
      <c r="T116" s="3" t="s">
        <v>50</v>
      </c>
      <c r="U116" s="2"/>
      <c r="V116" s="2"/>
      <c r="W116" s="2"/>
      <c r="X116" s="2"/>
      <c r="Y116" s="2"/>
      <c r="Z116" s="2"/>
      <c r="AA116" s="2"/>
      <c r="AB116" s="2" t="s">
        <v>1375</v>
      </c>
      <c r="AC116" s="2" t="s">
        <v>1376</v>
      </c>
      <c r="AD116" s="2" t="s">
        <v>1377</v>
      </c>
      <c r="AE116" s="3" t="s">
        <v>53</v>
      </c>
    </row>
    <row r="117" customFormat="false" ht="15" hidden="false" customHeight="false" outlineLevel="0" collapsed="false">
      <c r="A117" s="2" t="s">
        <v>1378</v>
      </c>
      <c r="B117" s="2" t="s">
        <v>861</v>
      </c>
      <c r="C117" s="2" t="s">
        <v>1379</v>
      </c>
      <c r="D117" s="2" t="s">
        <v>189</v>
      </c>
      <c r="E117" s="2" t="s">
        <v>826</v>
      </c>
      <c r="F117" s="3" t="s">
        <v>36</v>
      </c>
      <c r="G117" s="2" t="s">
        <v>1380</v>
      </c>
      <c r="H117" s="2" t="s">
        <v>1381</v>
      </c>
      <c r="I117" s="2" t="s">
        <v>1382</v>
      </c>
      <c r="J117" s="2" t="s">
        <v>1383</v>
      </c>
      <c r="K117" s="2" t="s">
        <v>1384</v>
      </c>
      <c r="L117" s="2"/>
      <c r="M117" s="2"/>
      <c r="N117" s="2"/>
      <c r="O117" s="3"/>
      <c r="P117" s="2" t="s">
        <v>1385</v>
      </c>
      <c r="Q117" s="2" t="s">
        <v>1386</v>
      </c>
      <c r="R117" s="2" t="s">
        <v>1218</v>
      </c>
      <c r="S117" s="2" t="s">
        <v>861</v>
      </c>
      <c r="T117" s="3" t="s">
        <v>50</v>
      </c>
      <c r="U117" s="2"/>
      <c r="V117" s="2"/>
      <c r="W117" s="2"/>
      <c r="X117" s="2"/>
      <c r="Y117" s="2"/>
      <c r="Z117" s="2"/>
      <c r="AA117" s="2"/>
      <c r="AB117" s="2" t="s">
        <v>1387</v>
      </c>
      <c r="AC117" s="2"/>
      <c r="AD117" s="2" t="s">
        <v>1388</v>
      </c>
      <c r="AE117" s="3" t="s">
        <v>53</v>
      </c>
    </row>
    <row r="118" customFormat="false" ht="15" hidden="false" customHeight="false" outlineLevel="0" collapsed="false">
      <c r="A118" s="2" t="s">
        <v>1389</v>
      </c>
      <c r="B118" s="2" t="s">
        <v>861</v>
      </c>
      <c r="C118" s="2" t="s">
        <v>1390</v>
      </c>
      <c r="D118" s="2" t="s">
        <v>125</v>
      </c>
      <c r="E118" s="2" t="s">
        <v>125</v>
      </c>
      <c r="F118" s="3" t="s">
        <v>101</v>
      </c>
      <c r="G118" s="2" t="s">
        <v>1391</v>
      </c>
      <c r="H118" s="2" t="s">
        <v>1392</v>
      </c>
      <c r="I118" s="2" t="s">
        <v>1393</v>
      </c>
      <c r="J118" s="2" t="s">
        <v>1394</v>
      </c>
      <c r="K118" s="2" t="s">
        <v>1395</v>
      </c>
      <c r="L118" s="2"/>
      <c r="M118" s="2"/>
      <c r="N118" s="2"/>
      <c r="O118" s="3"/>
      <c r="P118" s="2" t="s">
        <v>1396</v>
      </c>
      <c r="Q118" s="2" t="s">
        <v>1397</v>
      </c>
      <c r="R118" s="2" t="s">
        <v>1398</v>
      </c>
      <c r="S118" s="2" t="s">
        <v>861</v>
      </c>
      <c r="T118" s="3" t="s">
        <v>50</v>
      </c>
      <c r="U118" s="2"/>
      <c r="V118" s="2"/>
      <c r="W118" s="2"/>
      <c r="X118" s="2"/>
      <c r="Y118" s="2"/>
      <c r="Z118" s="2"/>
      <c r="AA118" s="2"/>
      <c r="AB118" s="2" t="s">
        <v>1399</v>
      </c>
      <c r="AC118" s="2"/>
      <c r="AD118" s="2" t="s">
        <v>1400</v>
      </c>
      <c r="AE118" s="3" t="s">
        <v>53</v>
      </c>
    </row>
    <row r="119" customFormat="false" ht="15" hidden="false" customHeight="false" outlineLevel="0" collapsed="false">
      <c r="A119" s="2" t="s">
        <v>1401</v>
      </c>
      <c r="B119" s="2" t="s">
        <v>861</v>
      </c>
      <c r="C119" s="2" t="s">
        <v>1402</v>
      </c>
      <c r="D119" s="2" t="s">
        <v>35</v>
      </c>
      <c r="E119" s="2" t="s">
        <v>35</v>
      </c>
      <c r="F119" s="3" t="s">
        <v>36</v>
      </c>
      <c r="G119" s="2" t="s">
        <v>1403</v>
      </c>
      <c r="H119" s="2" t="s">
        <v>1404</v>
      </c>
      <c r="I119" s="2" t="s">
        <v>1405</v>
      </c>
      <c r="J119" s="2" t="s">
        <v>1406</v>
      </c>
      <c r="K119" s="2" t="s">
        <v>1407</v>
      </c>
      <c r="L119" s="2"/>
      <c r="M119" s="2"/>
      <c r="N119" s="2"/>
      <c r="O119" s="3"/>
      <c r="P119" s="2" t="s">
        <v>1408</v>
      </c>
      <c r="Q119" s="2" t="s">
        <v>410</v>
      </c>
      <c r="R119" s="2" t="s">
        <v>1409</v>
      </c>
      <c r="S119" s="2" t="s">
        <v>861</v>
      </c>
      <c r="T119" s="3" t="s">
        <v>50</v>
      </c>
      <c r="U119" s="2"/>
      <c r="V119" s="2"/>
      <c r="W119" s="2"/>
      <c r="X119" s="2"/>
      <c r="Y119" s="2"/>
      <c r="Z119" s="2"/>
      <c r="AA119" s="2"/>
      <c r="AB119" s="2" t="s">
        <v>1410</v>
      </c>
      <c r="AC119" s="2"/>
      <c r="AD119" s="2" t="s">
        <v>1411</v>
      </c>
      <c r="AE119" s="3" t="s">
        <v>53</v>
      </c>
    </row>
    <row r="120" customFormat="false" ht="15" hidden="false" customHeight="false" outlineLevel="0" collapsed="false">
      <c r="A120" s="2" t="s">
        <v>1412</v>
      </c>
      <c r="B120" s="2" t="s">
        <v>861</v>
      </c>
      <c r="C120" s="2" t="s">
        <v>1413</v>
      </c>
      <c r="D120" s="2" t="s">
        <v>35</v>
      </c>
      <c r="E120" s="2" t="s">
        <v>35</v>
      </c>
      <c r="F120" s="3" t="s">
        <v>36</v>
      </c>
      <c r="G120" s="2" t="s">
        <v>1414</v>
      </c>
      <c r="H120" s="2" t="s">
        <v>1415</v>
      </c>
      <c r="I120" s="2" t="s">
        <v>1416</v>
      </c>
      <c r="J120" s="2" t="s">
        <v>1417</v>
      </c>
      <c r="K120" s="2" t="s">
        <v>1418</v>
      </c>
      <c r="L120" s="2"/>
      <c r="M120" s="2"/>
      <c r="N120" s="2"/>
      <c r="O120" s="3"/>
      <c r="P120" s="2" t="s">
        <v>1419</v>
      </c>
      <c r="Q120" s="2" t="s">
        <v>1420</v>
      </c>
      <c r="R120" s="2" t="s">
        <v>1421</v>
      </c>
      <c r="S120" s="2" t="s">
        <v>861</v>
      </c>
      <c r="T120" s="3" t="s">
        <v>50</v>
      </c>
      <c r="U120" s="2"/>
      <c r="V120" s="2"/>
      <c r="W120" s="2"/>
      <c r="X120" s="2"/>
      <c r="Y120" s="2"/>
      <c r="Z120" s="2"/>
      <c r="AA120" s="2"/>
      <c r="AB120" s="2" t="s">
        <v>1422</v>
      </c>
      <c r="AC120" s="2" t="s">
        <v>1423</v>
      </c>
      <c r="AD120" s="2" t="s">
        <v>1424</v>
      </c>
      <c r="AE120" s="3" t="s">
        <v>53</v>
      </c>
    </row>
    <row r="121" customFormat="false" ht="15" hidden="false" customHeight="false" outlineLevel="0" collapsed="false">
      <c r="A121" s="2" t="s">
        <v>1425</v>
      </c>
      <c r="B121" s="2" t="s">
        <v>861</v>
      </c>
      <c r="C121" s="2" t="s">
        <v>1426</v>
      </c>
      <c r="D121" s="2" t="s">
        <v>35</v>
      </c>
      <c r="E121" s="2" t="s">
        <v>35</v>
      </c>
      <c r="F121" s="3" t="s">
        <v>36</v>
      </c>
      <c r="G121" s="2" t="s">
        <v>1427</v>
      </c>
      <c r="H121" s="2" t="s">
        <v>1428</v>
      </c>
      <c r="I121" s="2" t="s">
        <v>1429</v>
      </c>
      <c r="J121" s="2" t="s">
        <v>1430</v>
      </c>
      <c r="K121" s="2" t="s">
        <v>1431</v>
      </c>
      <c r="L121" s="2"/>
      <c r="M121" s="2"/>
      <c r="N121" s="2"/>
      <c r="O121" s="3"/>
      <c r="P121" s="2" t="s">
        <v>1319</v>
      </c>
      <c r="Q121" s="2" t="s">
        <v>410</v>
      </c>
      <c r="R121" s="2" t="s">
        <v>1432</v>
      </c>
      <c r="S121" s="2" t="s">
        <v>861</v>
      </c>
      <c r="T121" s="3" t="s">
        <v>50</v>
      </c>
      <c r="U121" s="2"/>
      <c r="V121" s="2"/>
      <c r="W121" s="2"/>
      <c r="X121" s="2"/>
      <c r="Y121" s="2"/>
      <c r="Z121" s="2"/>
      <c r="AA121" s="2"/>
      <c r="AB121" s="2" t="s">
        <v>1433</v>
      </c>
      <c r="AC121" s="2"/>
      <c r="AD121" s="2" t="s">
        <v>1434</v>
      </c>
      <c r="AE121" s="3" t="s">
        <v>53</v>
      </c>
    </row>
    <row r="122" customFormat="false" ht="15" hidden="false" customHeight="false" outlineLevel="0" collapsed="false">
      <c r="A122" s="2" t="s">
        <v>1435</v>
      </c>
      <c r="B122" s="2" t="s">
        <v>861</v>
      </c>
      <c r="C122" s="2" t="s">
        <v>1436</v>
      </c>
      <c r="D122" s="2" t="s">
        <v>189</v>
      </c>
      <c r="E122" s="2" t="s">
        <v>189</v>
      </c>
      <c r="F122" s="3" t="s">
        <v>36</v>
      </c>
      <c r="G122" s="2" t="s">
        <v>1437</v>
      </c>
      <c r="H122" s="2" t="s">
        <v>1438</v>
      </c>
      <c r="I122" s="2" t="s">
        <v>1439</v>
      </c>
      <c r="J122" s="2" t="s">
        <v>1440</v>
      </c>
      <c r="K122" s="2" t="s">
        <v>1441</v>
      </c>
      <c r="L122" s="2"/>
      <c r="M122" s="2"/>
      <c r="N122" s="2"/>
      <c r="O122" s="3"/>
      <c r="P122" s="2" t="s">
        <v>1442</v>
      </c>
      <c r="Q122" s="2" t="s">
        <v>1443</v>
      </c>
      <c r="R122" s="2" t="s">
        <v>1444</v>
      </c>
      <c r="S122" s="2" t="s">
        <v>861</v>
      </c>
      <c r="T122" s="3" t="s">
        <v>50</v>
      </c>
      <c r="U122" s="2"/>
      <c r="V122" s="2"/>
      <c r="W122" s="2"/>
      <c r="X122" s="2"/>
      <c r="Y122" s="2"/>
      <c r="Z122" s="2"/>
      <c r="AA122" s="2"/>
      <c r="AB122" s="2" t="s">
        <v>1445</v>
      </c>
      <c r="AC122" s="2"/>
      <c r="AD122" s="2" t="s">
        <v>1446</v>
      </c>
      <c r="AE122" s="3" t="s">
        <v>53</v>
      </c>
    </row>
    <row r="123" customFormat="false" ht="15" hidden="false" customHeight="false" outlineLevel="0" collapsed="false">
      <c r="A123" s="2" t="s">
        <v>1447</v>
      </c>
      <c r="B123" s="2" t="s">
        <v>861</v>
      </c>
      <c r="C123" s="2" t="s">
        <v>1448</v>
      </c>
      <c r="D123" s="2" t="s">
        <v>35</v>
      </c>
      <c r="E123" s="2" t="s">
        <v>826</v>
      </c>
      <c r="F123" s="3" t="s">
        <v>101</v>
      </c>
      <c r="G123" s="2" t="s">
        <v>1449</v>
      </c>
      <c r="H123" s="2" t="s">
        <v>1450</v>
      </c>
      <c r="I123" s="2" t="s">
        <v>1451</v>
      </c>
      <c r="J123" s="2" t="s">
        <v>1452</v>
      </c>
      <c r="K123" s="2" t="s">
        <v>1453</v>
      </c>
      <c r="L123" s="2"/>
      <c r="M123" s="2"/>
      <c r="N123" s="2"/>
      <c r="O123" s="3"/>
      <c r="P123" s="2" t="s">
        <v>1454</v>
      </c>
      <c r="Q123" s="2" t="s">
        <v>410</v>
      </c>
      <c r="R123" s="2" t="s">
        <v>1455</v>
      </c>
      <c r="S123" s="2" t="s">
        <v>861</v>
      </c>
      <c r="T123" s="3" t="s">
        <v>50</v>
      </c>
      <c r="U123" s="2"/>
      <c r="V123" s="2"/>
      <c r="W123" s="2"/>
      <c r="X123" s="2"/>
      <c r="Y123" s="2"/>
      <c r="Z123" s="2"/>
      <c r="AA123" s="2"/>
      <c r="AB123" s="2" t="s">
        <v>1456</v>
      </c>
      <c r="AC123" s="2"/>
      <c r="AD123" s="2" t="s">
        <v>1457</v>
      </c>
      <c r="AE123" s="3" t="s">
        <v>53</v>
      </c>
    </row>
    <row r="124" customFormat="false" ht="15" hidden="false" customHeight="false" outlineLevel="0" collapsed="false">
      <c r="A124" s="2" t="s">
        <v>1458</v>
      </c>
      <c r="B124" s="2" t="s">
        <v>1459</v>
      </c>
      <c r="C124" s="2" t="s">
        <v>1460</v>
      </c>
      <c r="D124" s="2" t="s">
        <v>1461</v>
      </c>
      <c r="E124" s="2" t="s">
        <v>35</v>
      </c>
      <c r="F124" s="3" t="s">
        <v>36</v>
      </c>
      <c r="G124" s="2" t="s">
        <v>1462</v>
      </c>
      <c r="H124" s="2" t="s">
        <v>1463</v>
      </c>
      <c r="I124" s="2" t="s">
        <v>1464</v>
      </c>
      <c r="J124" s="2" t="s">
        <v>1465</v>
      </c>
      <c r="K124" s="2" t="s">
        <v>1466</v>
      </c>
      <c r="L124" s="2" t="s">
        <v>42</v>
      </c>
      <c r="M124" s="2"/>
      <c r="N124" s="2"/>
      <c r="O124" s="3"/>
      <c r="P124" s="2" t="s">
        <v>1467</v>
      </c>
      <c r="Q124" s="2" t="s">
        <v>64</v>
      </c>
      <c r="R124" s="2" t="s">
        <v>1468</v>
      </c>
      <c r="S124" s="2"/>
      <c r="T124" s="3" t="s">
        <v>50</v>
      </c>
      <c r="U124" s="2"/>
      <c r="V124" s="2"/>
      <c r="W124" s="2"/>
      <c r="X124" s="2"/>
      <c r="Y124" s="2"/>
      <c r="Z124" s="2"/>
      <c r="AA124" s="2"/>
      <c r="AB124" s="2" t="s">
        <v>1469</v>
      </c>
      <c r="AC124" s="2"/>
      <c r="AD124" s="2"/>
      <c r="AE124" s="3" t="s">
        <v>53</v>
      </c>
    </row>
    <row r="125" customFormat="false" ht="15" hidden="false" customHeight="false" outlineLevel="0" collapsed="false">
      <c r="A125" s="2" t="s">
        <v>1470</v>
      </c>
      <c r="B125" s="2" t="s">
        <v>1459</v>
      </c>
      <c r="C125" s="2" t="s">
        <v>1471</v>
      </c>
      <c r="D125" s="2" t="s">
        <v>189</v>
      </c>
      <c r="E125" s="2" t="s">
        <v>189</v>
      </c>
      <c r="F125" s="3" t="s">
        <v>36</v>
      </c>
      <c r="G125" s="2" t="s">
        <v>1472</v>
      </c>
      <c r="H125" s="2" t="s">
        <v>1473</v>
      </c>
      <c r="I125" s="2" t="s">
        <v>1474</v>
      </c>
      <c r="J125" s="2" t="s">
        <v>1475</v>
      </c>
      <c r="K125" s="2" t="s">
        <v>1476</v>
      </c>
      <c r="L125" s="2"/>
      <c r="M125" s="2"/>
      <c r="N125" s="2"/>
      <c r="O125" s="3" t="s">
        <v>282</v>
      </c>
      <c r="P125" s="2" t="s">
        <v>1477</v>
      </c>
      <c r="Q125" s="2" t="s">
        <v>1478</v>
      </c>
      <c r="R125" s="2" t="s">
        <v>1479</v>
      </c>
      <c r="S125" s="2"/>
      <c r="T125" s="3" t="s">
        <v>50</v>
      </c>
      <c r="U125" s="2"/>
      <c r="V125" s="2"/>
      <c r="W125" s="2"/>
      <c r="X125" s="2"/>
      <c r="Y125" s="2"/>
      <c r="Z125" s="2"/>
      <c r="AA125" s="2"/>
      <c r="AB125" s="2" t="s">
        <v>1480</v>
      </c>
      <c r="AC125" s="2"/>
      <c r="AD125" s="2"/>
      <c r="AE125" s="3" t="s">
        <v>53</v>
      </c>
    </row>
    <row r="126" customFormat="false" ht="15" hidden="false" customHeight="false" outlineLevel="0" collapsed="false">
      <c r="A126" s="2" t="s">
        <v>1481</v>
      </c>
      <c r="B126" s="2" t="s">
        <v>1459</v>
      </c>
      <c r="C126" s="2" t="s">
        <v>1482</v>
      </c>
      <c r="D126" s="2" t="s">
        <v>315</v>
      </c>
      <c r="E126" s="2" t="s">
        <v>316</v>
      </c>
      <c r="F126" s="3" t="s">
        <v>36</v>
      </c>
      <c r="G126" s="2" t="s">
        <v>1483</v>
      </c>
      <c r="H126" s="2" t="s">
        <v>1484</v>
      </c>
      <c r="I126" s="2" t="s">
        <v>1485</v>
      </c>
      <c r="J126" s="2" t="s">
        <v>1486</v>
      </c>
      <c r="K126" s="2" t="s">
        <v>1487</v>
      </c>
      <c r="L126" s="2" t="s">
        <v>280</v>
      </c>
      <c r="M126" s="2"/>
      <c r="N126" s="2"/>
      <c r="O126" s="3" t="s">
        <v>323</v>
      </c>
      <c r="P126" s="2" t="s">
        <v>1488</v>
      </c>
      <c r="Q126" s="2" t="s">
        <v>1489</v>
      </c>
      <c r="R126" s="2" t="s">
        <v>1490</v>
      </c>
      <c r="S126" s="2"/>
      <c r="T126" s="3" t="s">
        <v>326</v>
      </c>
      <c r="U126" s="2"/>
      <c r="V126" s="2"/>
      <c r="W126" s="2"/>
      <c r="X126" s="2"/>
      <c r="Y126" s="2"/>
      <c r="Z126" s="2"/>
      <c r="AA126" s="2"/>
      <c r="AB126" s="2" t="s">
        <v>1491</v>
      </c>
      <c r="AC126" s="2"/>
      <c r="AD126" s="2"/>
      <c r="AE126" s="3" t="s">
        <v>53</v>
      </c>
    </row>
    <row r="127" customFormat="false" ht="15" hidden="false" customHeight="false" outlineLevel="0" collapsed="false">
      <c r="A127" s="2" t="s">
        <v>1492</v>
      </c>
      <c r="B127" s="2" t="s">
        <v>1459</v>
      </c>
      <c r="C127" s="2" t="s">
        <v>1493</v>
      </c>
      <c r="D127" s="2" t="s">
        <v>125</v>
      </c>
      <c r="E127" s="2" t="s">
        <v>125</v>
      </c>
      <c r="F127" s="3" t="s">
        <v>842</v>
      </c>
      <c r="G127" s="2" t="s">
        <v>1494</v>
      </c>
      <c r="H127" s="2" t="s">
        <v>1495</v>
      </c>
      <c r="I127" s="2" t="s">
        <v>1496</v>
      </c>
      <c r="J127" s="2" t="s">
        <v>1497</v>
      </c>
      <c r="K127" s="2" t="s">
        <v>1498</v>
      </c>
      <c r="L127" s="2"/>
      <c r="M127" s="2"/>
      <c r="N127" s="2"/>
      <c r="O127" s="3"/>
      <c r="P127" s="2" t="s">
        <v>1499</v>
      </c>
      <c r="Q127" s="2"/>
      <c r="R127" s="2" t="s">
        <v>1500</v>
      </c>
      <c r="S127" s="2"/>
      <c r="T127" s="3" t="s">
        <v>412</v>
      </c>
      <c r="U127" s="2"/>
      <c r="V127" s="2"/>
      <c r="W127" s="2"/>
      <c r="X127" s="2"/>
      <c r="Y127" s="2"/>
      <c r="Z127" s="2"/>
      <c r="AA127" s="2"/>
      <c r="AB127" s="2" t="s">
        <v>1090</v>
      </c>
      <c r="AC127" s="2"/>
      <c r="AD127" s="2"/>
      <c r="AE127" s="3" t="s">
        <v>53</v>
      </c>
    </row>
    <row r="128" customFormat="false" ht="15" hidden="false" customHeight="false" outlineLevel="0" collapsed="false">
      <c r="A128" s="2" t="s">
        <v>1501</v>
      </c>
      <c r="B128" s="2" t="s">
        <v>1459</v>
      </c>
      <c r="C128" s="2" t="s">
        <v>1502</v>
      </c>
      <c r="D128" s="2" t="s">
        <v>189</v>
      </c>
      <c r="E128" s="2" t="s">
        <v>189</v>
      </c>
      <c r="F128" s="3" t="s">
        <v>36</v>
      </c>
      <c r="G128" s="2" t="s">
        <v>1503</v>
      </c>
      <c r="H128" s="2" t="s">
        <v>1504</v>
      </c>
      <c r="I128" s="2" t="s">
        <v>1505</v>
      </c>
      <c r="J128" s="2" t="s">
        <v>1506</v>
      </c>
      <c r="K128" s="2" t="s">
        <v>1507</v>
      </c>
      <c r="L128" s="2" t="s">
        <v>42</v>
      </c>
      <c r="M128" s="2"/>
      <c r="N128" s="2"/>
      <c r="O128" s="3" t="s">
        <v>132</v>
      </c>
      <c r="P128" s="2" t="s">
        <v>1508</v>
      </c>
      <c r="Q128" s="2" t="s">
        <v>133</v>
      </c>
      <c r="R128" s="2" t="s">
        <v>1509</v>
      </c>
      <c r="S128" s="2"/>
      <c r="T128" s="3" t="s">
        <v>50</v>
      </c>
      <c r="U128" s="2"/>
      <c r="V128" s="2"/>
      <c r="W128" s="2"/>
      <c r="X128" s="2"/>
      <c r="Y128" s="2"/>
      <c r="Z128" s="2"/>
      <c r="AA128" s="2"/>
      <c r="AB128" s="2" t="s">
        <v>1510</v>
      </c>
      <c r="AC128" s="2"/>
      <c r="AD128" s="2"/>
      <c r="AE128" s="3" t="s">
        <v>53</v>
      </c>
    </row>
    <row r="129" customFormat="false" ht="15" hidden="false" customHeight="false" outlineLevel="0" collapsed="false">
      <c r="A129" s="2" t="s">
        <v>1511</v>
      </c>
      <c r="B129" s="2" t="s">
        <v>1459</v>
      </c>
      <c r="C129" s="2" t="s">
        <v>1512</v>
      </c>
      <c r="D129" s="2" t="s">
        <v>35</v>
      </c>
      <c r="E129" s="2" t="s">
        <v>35</v>
      </c>
      <c r="F129" s="3" t="s">
        <v>36</v>
      </c>
      <c r="G129" s="2" t="s">
        <v>1513</v>
      </c>
      <c r="H129" s="2" t="s">
        <v>1514</v>
      </c>
      <c r="I129" s="2" t="s">
        <v>1515</v>
      </c>
      <c r="J129" s="2" t="s">
        <v>1516</v>
      </c>
      <c r="K129" s="2" t="s">
        <v>1517</v>
      </c>
      <c r="L129" s="2" t="s">
        <v>42</v>
      </c>
      <c r="M129" s="2"/>
      <c r="N129" s="2"/>
      <c r="O129" s="3"/>
      <c r="P129" s="2" t="s">
        <v>1518</v>
      </c>
      <c r="Q129" s="2" t="s">
        <v>64</v>
      </c>
      <c r="R129" s="2" t="s">
        <v>1519</v>
      </c>
      <c r="S129" s="2"/>
      <c r="T129" s="3" t="s">
        <v>50</v>
      </c>
      <c r="U129" s="2"/>
      <c r="V129" s="2"/>
      <c r="W129" s="2"/>
      <c r="X129" s="2"/>
      <c r="Y129" s="2"/>
      <c r="Z129" s="2"/>
      <c r="AA129" s="2"/>
      <c r="AB129" s="2" t="s">
        <v>1520</v>
      </c>
      <c r="AC129" s="2"/>
      <c r="AD129" s="2"/>
      <c r="AE129" s="3" t="s">
        <v>53</v>
      </c>
    </row>
    <row r="130" customFormat="false" ht="15" hidden="false" customHeight="false" outlineLevel="0" collapsed="false">
      <c r="A130" s="2" t="s">
        <v>1521</v>
      </c>
      <c r="B130" s="2" t="s">
        <v>1459</v>
      </c>
      <c r="C130" s="2" t="s">
        <v>1522</v>
      </c>
      <c r="D130" s="2" t="s">
        <v>273</v>
      </c>
      <c r="E130" s="2" t="s">
        <v>35</v>
      </c>
      <c r="F130" s="3" t="s">
        <v>36</v>
      </c>
      <c r="G130" s="2" t="s">
        <v>1523</v>
      </c>
      <c r="H130" s="2" t="s">
        <v>1524</v>
      </c>
      <c r="I130" s="2" t="s">
        <v>1525</v>
      </c>
      <c r="J130" s="2" t="s">
        <v>1526</v>
      </c>
      <c r="K130" s="2" t="s">
        <v>1527</v>
      </c>
      <c r="L130" s="2" t="s">
        <v>280</v>
      </c>
      <c r="M130" s="2"/>
      <c r="N130" s="2"/>
      <c r="O130" s="3" t="s">
        <v>282</v>
      </c>
      <c r="P130" s="2" t="s">
        <v>1528</v>
      </c>
      <c r="Q130" s="2" t="s">
        <v>791</v>
      </c>
      <c r="R130" s="2" t="s">
        <v>1529</v>
      </c>
      <c r="S130" s="2"/>
      <c r="T130" s="3" t="s">
        <v>287</v>
      </c>
      <c r="U130" s="2"/>
      <c r="V130" s="2"/>
      <c r="W130" s="2"/>
      <c r="X130" s="2"/>
      <c r="Y130" s="2"/>
      <c r="Z130" s="2"/>
      <c r="AA130" s="2"/>
      <c r="AB130" s="2" t="s">
        <v>1530</v>
      </c>
      <c r="AC130" s="2" t="s">
        <v>1531</v>
      </c>
      <c r="AD130" s="2"/>
      <c r="AE130" s="3" t="s">
        <v>53</v>
      </c>
    </row>
    <row r="131" customFormat="false" ht="15" hidden="false" customHeight="false" outlineLevel="0" collapsed="false">
      <c r="A131" s="2" t="s">
        <v>676</v>
      </c>
      <c r="B131" s="2" t="s">
        <v>1459</v>
      </c>
      <c r="C131" s="2" t="s">
        <v>1532</v>
      </c>
      <c r="D131" s="2" t="s">
        <v>664</v>
      </c>
      <c r="E131" s="2" t="s">
        <v>665</v>
      </c>
      <c r="F131" s="3" t="s">
        <v>101</v>
      </c>
      <c r="G131" s="2" t="s">
        <v>1533</v>
      </c>
      <c r="H131" s="2" t="s">
        <v>1534</v>
      </c>
      <c r="I131" s="2" t="s">
        <v>1535</v>
      </c>
      <c r="J131" s="2" t="s">
        <v>1536</v>
      </c>
      <c r="K131" s="2" t="s">
        <v>1537</v>
      </c>
      <c r="L131" s="2" t="s">
        <v>671</v>
      </c>
      <c r="M131" s="2"/>
      <c r="N131" s="2"/>
      <c r="O131" s="3" t="s">
        <v>363</v>
      </c>
      <c r="P131" s="2"/>
      <c r="Q131" s="2" t="s">
        <v>1538</v>
      </c>
      <c r="R131" s="2" t="s">
        <v>1539</v>
      </c>
      <c r="S131" s="2"/>
      <c r="T131" s="3" t="s">
        <v>675</v>
      </c>
      <c r="U131" s="2"/>
      <c r="V131" s="2"/>
      <c r="W131" s="2"/>
      <c r="X131" s="2"/>
      <c r="Y131" s="2"/>
      <c r="Z131" s="2"/>
      <c r="AA131" s="2"/>
      <c r="AB131" s="2" t="s">
        <v>662</v>
      </c>
      <c r="AC131" s="2" t="s">
        <v>1540</v>
      </c>
      <c r="AD131" s="2"/>
      <c r="AE131" s="3" t="s">
        <v>53</v>
      </c>
    </row>
    <row r="132" customFormat="false" ht="15" hidden="false" customHeight="false" outlineLevel="0" collapsed="false">
      <c r="A132" s="2" t="s">
        <v>1541</v>
      </c>
      <c r="B132" s="2" t="s">
        <v>1459</v>
      </c>
      <c r="C132" s="2" t="s">
        <v>1542</v>
      </c>
      <c r="D132" s="2" t="s">
        <v>1461</v>
      </c>
      <c r="E132" s="2" t="s">
        <v>258</v>
      </c>
      <c r="F132" s="3" t="s">
        <v>36</v>
      </c>
      <c r="G132" s="2" t="s">
        <v>1543</v>
      </c>
      <c r="H132" s="2" t="s">
        <v>1544</v>
      </c>
      <c r="I132" s="2" t="s">
        <v>1545</v>
      </c>
      <c r="J132" s="2" t="s">
        <v>1546</v>
      </c>
      <c r="K132" s="2" t="s">
        <v>1547</v>
      </c>
      <c r="L132" s="2" t="s">
        <v>195</v>
      </c>
      <c r="M132" s="2"/>
      <c r="N132" s="2"/>
      <c r="O132" s="3"/>
      <c r="P132" s="2" t="s">
        <v>1548</v>
      </c>
      <c r="Q132" s="2" t="s">
        <v>1549</v>
      </c>
      <c r="R132" s="2" t="s">
        <v>1550</v>
      </c>
      <c r="S132" s="2"/>
      <c r="T132" s="3" t="s">
        <v>50</v>
      </c>
      <c r="U132" s="2"/>
      <c r="V132" s="2"/>
      <c r="W132" s="2"/>
      <c r="X132" s="2"/>
      <c r="Y132" s="2"/>
      <c r="Z132" s="2"/>
      <c r="AA132" s="2"/>
      <c r="AB132" s="2" t="s">
        <v>1551</v>
      </c>
      <c r="AC132" s="2" t="s">
        <v>1552</v>
      </c>
      <c r="AD132" s="2" t="s">
        <v>1553</v>
      </c>
      <c r="AE132" s="3" t="s">
        <v>53</v>
      </c>
    </row>
    <row r="133" customFormat="false" ht="15" hidden="false" customHeight="false" outlineLevel="0" collapsed="false">
      <c r="A133" s="2" t="s">
        <v>1554</v>
      </c>
      <c r="B133" s="2" t="s">
        <v>1459</v>
      </c>
      <c r="C133" s="2" t="s">
        <v>1555</v>
      </c>
      <c r="D133" s="2" t="s">
        <v>1556</v>
      </c>
      <c r="E133" s="2" t="s">
        <v>258</v>
      </c>
      <c r="F133" s="3" t="s">
        <v>36</v>
      </c>
      <c r="G133" s="2" t="s">
        <v>1557</v>
      </c>
      <c r="H133" s="2" t="s">
        <v>1558</v>
      </c>
      <c r="I133" s="2" t="s">
        <v>1559</v>
      </c>
      <c r="J133" s="2" t="s">
        <v>1560</v>
      </c>
      <c r="K133" s="2" t="s">
        <v>1561</v>
      </c>
      <c r="L133" s="2"/>
      <c r="M133" s="2"/>
      <c r="N133" s="2"/>
      <c r="O133" s="3"/>
      <c r="P133" s="2" t="s">
        <v>1562</v>
      </c>
      <c r="Q133" s="2" t="s">
        <v>732</v>
      </c>
      <c r="R133" s="2" t="s">
        <v>1550</v>
      </c>
      <c r="S133" s="2"/>
      <c r="T133" s="3" t="s">
        <v>50</v>
      </c>
      <c r="U133" s="2"/>
      <c r="V133" s="2"/>
      <c r="W133" s="2"/>
      <c r="X133" s="2"/>
      <c r="Y133" s="2"/>
      <c r="Z133" s="2"/>
      <c r="AA133" s="2"/>
      <c r="AB133" s="2" t="s">
        <v>1563</v>
      </c>
      <c r="AC133" s="2"/>
      <c r="AD133" s="2" t="s">
        <v>1564</v>
      </c>
      <c r="AE133" s="3" t="s">
        <v>53</v>
      </c>
    </row>
    <row r="134" customFormat="false" ht="15" hidden="false" customHeight="false" outlineLevel="0" collapsed="false">
      <c r="A134" s="2" t="s">
        <v>1565</v>
      </c>
      <c r="B134" s="2" t="s">
        <v>1459</v>
      </c>
      <c r="C134" s="2" t="s">
        <v>1566</v>
      </c>
      <c r="D134" s="2" t="s">
        <v>1461</v>
      </c>
      <c r="E134" s="2" t="s">
        <v>35</v>
      </c>
      <c r="F134" s="3" t="s">
        <v>36</v>
      </c>
      <c r="G134" s="2" t="s">
        <v>1567</v>
      </c>
      <c r="H134" s="2" t="s">
        <v>1568</v>
      </c>
      <c r="I134" s="2" t="s">
        <v>1569</v>
      </c>
      <c r="J134" s="2" t="s">
        <v>1570</v>
      </c>
      <c r="K134" s="2" t="s">
        <v>1571</v>
      </c>
      <c r="L134" s="2" t="s">
        <v>42</v>
      </c>
      <c r="M134" s="2"/>
      <c r="N134" s="2"/>
      <c r="O134" s="3"/>
      <c r="P134" s="2" t="s">
        <v>1572</v>
      </c>
      <c r="Q134" s="2" t="s">
        <v>1573</v>
      </c>
      <c r="R134" s="2" t="s">
        <v>1550</v>
      </c>
      <c r="S134" s="2"/>
      <c r="T134" s="3" t="s">
        <v>50</v>
      </c>
      <c r="U134" s="2"/>
      <c r="V134" s="2"/>
      <c r="W134" s="2"/>
      <c r="X134" s="2"/>
      <c r="Y134" s="2"/>
      <c r="Z134" s="2"/>
      <c r="AA134" s="2"/>
      <c r="AB134" s="2" t="s">
        <v>1574</v>
      </c>
      <c r="AC134" s="2"/>
      <c r="AD134" s="2" t="s">
        <v>1575</v>
      </c>
      <c r="AE134" s="3" t="s">
        <v>53</v>
      </c>
    </row>
    <row r="135" customFormat="false" ht="15" hidden="false" customHeight="false" outlineLevel="0" collapsed="false">
      <c r="A135" s="2" t="s">
        <v>1576</v>
      </c>
      <c r="B135" s="2" t="s">
        <v>1459</v>
      </c>
      <c r="C135" s="2" t="s">
        <v>1577</v>
      </c>
      <c r="D135" s="2" t="s">
        <v>1461</v>
      </c>
      <c r="E135" s="2" t="s">
        <v>35</v>
      </c>
      <c r="F135" s="3" t="s">
        <v>101</v>
      </c>
      <c r="G135" s="2" t="s">
        <v>1578</v>
      </c>
      <c r="H135" s="2" t="s">
        <v>1579</v>
      </c>
      <c r="I135" s="2" t="s">
        <v>1580</v>
      </c>
      <c r="J135" s="2" t="s">
        <v>1581</v>
      </c>
      <c r="K135" s="2" t="s">
        <v>1582</v>
      </c>
      <c r="L135" s="2" t="s">
        <v>42</v>
      </c>
      <c r="M135" s="2"/>
      <c r="N135" s="2"/>
      <c r="O135" s="3"/>
      <c r="P135" s="2" t="s">
        <v>1467</v>
      </c>
      <c r="Q135" s="2" t="s">
        <v>64</v>
      </c>
      <c r="R135" s="2" t="s">
        <v>1550</v>
      </c>
      <c r="S135" s="2"/>
      <c r="T135" s="3" t="s">
        <v>50</v>
      </c>
      <c r="U135" s="2"/>
      <c r="V135" s="2"/>
      <c r="W135" s="2"/>
      <c r="X135" s="2"/>
      <c r="Y135" s="2"/>
      <c r="Z135" s="2"/>
      <c r="AA135" s="2"/>
      <c r="AB135" s="2" t="s">
        <v>1583</v>
      </c>
      <c r="AC135" s="2" t="s">
        <v>1552</v>
      </c>
      <c r="AD135" s="2" t="s">
        <v>1584</v>
      </c>
      <c r="AE135" s="3" t="s">
        <v>53</v>
      </c>
    </row>
    <row r="136" customFormat="false" ht="15" hidden="false" customHeight="false" outlineLevel="0" collapsed="false">
      <c r="A136" s="2" t="s">
        <v>1585</v>
      </c>
      <c r="B136" s="2" t="s">
        <v>1459</v>
      </c>
      <c r="C136" s="2" t="s">
        <v>1586</v>
      </c>
      <c r="D136" s="2" t="s">
        <v>1461</v>
      </c>
      <c r="E136" s="2" t="s">
        <v>35</v>
      </c>
      <c r="F136" s="3" t="s">
        <v>36</v>
      </c>
      <c r="G136" s="2" t="s">
        <v>1587</v>
      </c>
      <c r="H136" s="2" t="s">
        <v>1588</v>
      </c>
      <c r="I136" s="2" t="s">
        <v>1589</v>
      </c>
      <c r="J136" s="2" t="s">
        <v>1590</v>
      </c>
      <c r="K136" s="2" t="s">
        <v>1591</v>
      </c>
      <c r="L136" s="2"/>
      <c r="M136" s="2"/>
      <c r="N136" s="2"/>
      <c r="O136" s="3"/>
      <c r="P136" s="2" t="s">
        <v>1592</v>
      </c>
      <c r="Q136" s="2" t="s">
        <v>64</v>
      </c>
      <c r="R136" s="2" t="s">
        <v>1550</v>
      </c>
      <c r="S136" s="2" t="s">
        <v>861</v>
      </c>
      <c r="T136" s="3" t="s">
        <v>50</v>
      </c>
      <c r="U136" s="2"/>
      <c r="V136" s="2"/>
      <c r="W136" s="2"/>
      <c r="X136" s="2"/>
      <c r="Y136" s="2"/>
      <c r="Z136" s="2"/>
      <c r="AA136" s="2"/>
      <c r="AB136" s="2" t="s">
        <v>1593</v>
      </c>
      <c r="AC136" s="2"/>
      <c r="AD136" s="2" t="s">
        <v>1594</v>
      </c>
      <c r="AE136" s="3" t="s">
        <v>53</v>
      </c>
    </row>
    <row r="137" customFormat="false" ht="15" hidden="false" customHeight="false" outlineLevel="0" collapsed="false">
      <c r="A137" s="2" t="s">
        <v>1595</v>
      </c>
      <c r="B137" s="2" t="s">
        <v>1459</v>
      </c>
      <c r="C137" s="2" t="s">
        <v>1596</v>
      </c>
      <c r="D137" s="2" t="s">
        <v>342</v>
      </c>
      <c r="E137" s="2" t="s">
        <v>258</v>
      </c>
      <c r="F137" s="3" t="s">
        <v>36</v>
      </c>
      <c r="G137" s="2" t="s">
        <v>1597</v>
      </c>
      <c r="H137" s="2" t="s">
        <v>1598</v>
      </c>
      <c r="I137" s="2" t="s">
        <v>1599</v>
      </c>
      <c r="J137" s="2" t="s">
        <v>1600</v>
      </c>
      <c r="K137" s="2" t="s">
        <v>1601</v>
      </c>
      <c r="L137" s="2" t="s">
        <v>1602</v>
      </c>
      <c r="M137" s="2"/>
      <c r="N137" s="2"/>
      <c r="O137" s="3" t="s">
        <v>350</v>
      </c>
      <c r="P137" s="2" t="s">
        <v>1603</v>
      </c>
      <c r="Q137" s="2" t="s">
        <v>1604</v>
      </c>
      <c r="R137" s="2" t="s">
        <v>1605</v>
      </c>
      <c r="S137" s="2"/>
      <c r="T137" s="3" t="s">
        <v>82</v>
      </c>
      <c r="U137" s="2"/>
      <c r="V137" s="2"/>
      <c r="W137" s="2"/>
      <c r="X137" s="2"/>
      <c r="Y137" s="2"/>
      <c r="Z137" s="2"/>
      <c r="AA137" s="2"/>
      <c r="AB137" s="2" t="s">
        <v>1606</v>
      </c>
      <c r="AC137" s="2" t="s">
        <v>1607</v>
      </c>
      <c r="AD137" s="2" t="s">
        <v>1608</v>
      </c>
      <c r="AE137" s="3" t="s">
        <v>53</v>
      </c>
    </row>
    <row r="138" customFormat="false" ht="15" hidden="false" customHeight="false" outlineLevel="0" collapsed="false">
      <c r="A138" s="2" t="s">
        <v>1609</v>
      </c>
      <c r="B138" s="2" t="s">
        <v>1459</v>
      </c>
      <c r="C138" s="2" t="s">
        <v>1610</v>
      </c>
      <c r="D138" s="2" t="s">
        <v>273</v>
      </c>
      <c r="E138" s="2" t="s">
        <v>258</v>
      </c>
      <c r="F138" s="3" t="s">
        <v>36</v>
      </c>
      <c r="G138" s="2" t="s">
        <v>1611</v>
      </c>
      <c r="H138" s="2" t="s">
        <v>1612</v>
      </c>
      <c r="I138" s="2" t="s">
        <v>1613</v>
      </c>
      <c r="J138" s="2" t="s">
        <v>1614</v>
      </c>
      <c r="K138" s="2" t="s">
        <v>1615</v>
      </c>
      <c r="L138" s="2" t="s">
        <v>280</v>
      </c>
      <c r="M138" s="2"/>
      <c r="N138" s="2"/>
      <c r="O138" s="3" t="s">
        <v>282</v>
      </c>
      <c r="P138" s="2" t="s">
        <v>1616</v>
      </c>
      <c r="Q138" s="2" t="s">
        <v>1617</v>
      </c>
      <c r="R138" s="2" t="s">
        <v>1618</v>
      </c>
      <c r="S138" s="2"/>
      <c r="T138" s="3" t="s">
        <v>287</v>
      </c>
      <c r="U138" s="2"/>
      <c r="V138" s="2"/>
      <c r="W138" s="2"/>
      <c r="X138" s="2"/>
      <c r="Y138" s="2"/>
      <c r="Z138" s="2"/>
      <c r="AA138" s="2"/>
      <c r="AB138" s="2" t="s">
        <v>1619</v>
      </c>
      <c r="AC138" s="2" t="s">
        <v>1531</v>
      </c>
      <c r="AD138" s="2" t="s">
        <v>1620</v>
      </c>
      <c r="AE138" s="3" t="s">
        <v>53</v>
      </c>
    </row>
    <row r="139" customFormat="false" ht="15" hidden="false" customHeight="false" outlineLevel="0" collapsed="false">
      <c r="A139" s="2" t="s">
        <v>1621</v>
      </c>
      <c r="B139" s="2" t="s">
        <v>1459</v>
      </c>
      <c r="C139" s="2" t="s">
        <v>1622</v>
      </c>
      <c r="D139" s="2" t="s">
        <v>1461</v>
      </c>
      <c r="E139" s="2" t="s">
        <v>258</v>
      </c>
      <c r="F139" s="3" t="s">
        <v>36</v>
      </c>
      <c r="G139" s="2" t="s">
        <v>1623</v>
      </c>
      <c r="H139" s="2" t="s">
        <v>1624</v>
      </c>
      <c r="I139" s="2" t="s">
        <v>1625</v>
      </c>
      <c r="J139" s="2" t="s">
        <v>1626</v>
      </c>
      <c r="K139" s="2" t="s">
        <v>1627</v>
      </c>
      <c r="L139" s="2" t="s">
        <v>42</v>
      </c>
      <c r="M139" s="2"/>
      <c r="N139" s="2"/>
      <c r="O139" s="3"/>
      <c r="P139" s="2" t="s">
        <v>1628</v>
      </c>
      <c r="Q139" s="2" t="s">
        <v>1629</v>
      </c>
      <c r="R139" s="2" t="s">
        <v>1630</v>
      </c>
      <c r="S139" s="2"/>
      <c r="T139" s="3" t="s">
        <v>50</v>
      </c>
      <c r="U139" s="2"/>
      <c r="V139" s="2"/>
      <c r="W139" s="2"/>
      <c r="X139" s="2"/>
      <c r="Y139" s="2"/>
      <c r="Z139" s="2"/>
      <c r="AA139" s="2"/>
      <c r="AB139" s="2" t="s">
        <v>1631</v>
      </c>
      <c r="AC139" s="2"/>
      <c r="AD139" s="2" t="s">
        <v>1632</v>
      </c>
      <c r="AE139" s="3" t="s">
        <v>53</v>
      </c>
    </row>
    <row r="140" customFormat="false" ht="15" hidden="false" customHeight="false" outlineLevel="0" collapsed="false">
      <c r="A140" s="2" t="s">
        <v>1633</v>
      </c>
      <c r="B140" s="2" t="s">
        <v>1459</v>
      </c>
      <c r="C140" s="2" t="s">
        <v>1634</v>
      </c>
      <c r="D140" s="2" t="s">
        <v>273</v>
      </c>
      <c r="E140" s="2" t="s">
        <v>258</v>
      </c>
      <c r="F140" s="3" t="s">
        <v>36</v>
      </c>
      <c r="G140" s="2" t="s">
        <v>1635</v>
      </c>
      <c r="H140" s="2" t="s">
        <v>1636</v>
      </c>
      <c r="I140" s="2" t="s">
        <v>1637</v>
      </c>
      <c r="J140" s="2" t="s">
        <v>1638</v>
      </c>
      <c r="K140" s="2" t="s">
        <v>1639</v>
      </c>
      <c r="L140" s="2" t="s">
        <v>280</v>
      </c>
      <c r="M140" s="2"/>
      <c r="N140" s="2"/>
      <c r="O140" s="3"/>
      <c r="P140" s="2" t="s">
        <v>1640</v>
      </c>
      <c r="Q140" s="2" t="s">
        <v>1110</v>
      </c>
      <c r="R140" s="2" t="s">
        <v>1630</v>
      </c>
      <c r="S140" s="2"/>
      <c r="T140" s="3" t="s">
        <v>412</v>
      </c>
      <c r="U140" s="2"/>
      <c r="V140" s="2"/>
      <c r="W140" s="2"/>
      <c r="X140" s="2"/>
      <c r="Y140" s="2"/>
      <c r="Z140" s="2"/>
      <c r="AA140" s="2"/>
      <c r="AB140" s="2" t="s">
        <v>1641</v>
      </c>
      <c r="AC140" s="2" t="s">
        <v>1642</v>
      </c>
      <c r="AD140" s="2" t="s">
        <v>1643</v>
      </c>
      <c r="AE140" s="3" t="s">
        <v>53</v>
      </c>
    </row>
    <row r="141" customFormat="false" ht="15" hidden="false" customHeight="false" outlineLevel="0" collapsed="false">
      <c r="A141" s="2" t="s">
        <v>1644</v>
      </c>
      <c r="B141" s="2" t="s">
        <v>1459</v>
      </c>
      <c r="C141" s="2" t="s">
        <v>1645</v>
      </c>
      <c r="D141" s="2" t="s">
        <v>315</v>
      </c>
      <c r="E141" s="2" t="s">
        <v>316</v>
      </c>
      <c r="F141" s="3" t="s">
        <v>101</v>
      </c>
      <c r="G141" s="2" t="s">
        <v>1646</v>
      </c>
      <c r="H141" s="2" t="s">
        <v>1647</v>
      </c>
      <c r="I141" s="2" t="s">
        <v>1648</v>
      </c>
      <c r="J141" s="2" t="s">
        <v>1649</v>
      </c>
      <c r="K141" s="2" t="s">
        <v>1650</v>
      </c>
      <c r="L141" s="2" t="s">
        <v>307</v>
      </c>
      <c r="M141" s="2"/>
      <c r="N141" s="2"/>
      <c r="O141" s="3"/>
      <c r="P141" s="2" t="s">
        <v>1651</v>
      </c>
      <c r="Q141" s="2" t="s">
        <v>1652</v>
      </c>
      <c r="R141" s="2" t="s">
        <v>1550</v>
      </c>
      <c r="S141" s="2"/>
      <c r="T141" s="3" t="s">
        <v>326</v>
      </c>
      <c r="U141" s="2"/>
      <c r="V141" s="2"/>
      <c r="W141" s="2"/>
      <c r="X141" s="2"/>
      <c r="Y141" s="2"/>
      <c r="Z141" s="2"/>
      <c r="AA141" s="2"/>
      <c r="AB141" s="2" t="s">
        <v>1653</v>
      </c>
      <c r="AC141" s="2" t="s">
        <v>1552</v>
      </c>
      <c r="AD141" s="2" t="s">
        <v>1654</v>
      </c>
      <c r="AE141" s="3" t="s">
        <v>53</v>
      </c>
    </row>
    <row r="142" customFormat="false" ht="15" hidden="false" customHeight="false" outlineLevel="0" collapsed="false">
      <c r="A142" s="2" t="s">
        <v>812</v>
      </c>
      <c r="B142" s="2" t="s">
        <v>1459</v>
      </c>
      <c r="C142" s="2" t="s">
        <v>1655</v>
      </c>
      <c r="D142" s="2" t="s">
        <v>342</v>
      </c>
      <c r="E142" s="2" t="s">
        <v>258</v>
      </c>
      <c r="F142" s="3" t="s">
        <v>36</v>
      </c>
      <c r="G142" s="2" t="s">
        <v>1656</v>
      </c>
      <c r="H142" s="2" t="s">
        <v>1657</v>
      </c>
      <c r="I142" s="2" t="s">
        <v>1658</v>
      </c>
      <c r="J142" s="2" t="s">
        <v>1659</v>
      </c>
      <c r="K142" s="2" t="s">
        <v>1660</v>
      </c>
      <c r="L142" s="2" t="s">
        <v>348</v>
      </c>
      <c r="M142" s="2"/>
      <c r="N142" s="2"/>
      <c r="O142" s="3" t="s">
        <v>350</v>
      </c>
      <c r="P142" s="2" t="s">
        <v>688</v>
      </c>
      <c r="Q142" s="2" t="s">
        <v>1661</v>
      </c>
      <c r="R142" s="2" t="s">
        <v>1662</v>
      </c>
      <c r="S142" s="2"/>
      <c r="T142" s="3" t="s">
        <v>82</v>
      </c>
      <c r="U142" s="2"/>
      <c r="V142" s="2"/>
      <c r="W142" s="2"/>
      <c r="X142" s="2"/>
      <c r="Y142" s="2"/>
      <c r="Z142" s="2"/>
      <c r="AA142" s="2"/>
      <c r="AB142" s="2" t="s">
        <v>1663</v>
      </c>
      <c r="AC142" s="2" t="s">
        <v>1664</v>
      </c>
      <c r="AD142" s="2" t="s">
        <v>1665</v>
      </c>
      <c r="AE142" s="3" t="s">
        <v>53</v>
      </c>
    </row>
    <row r="143" customFormat="false" ht="15" hidden="false" customHeight="false" outlineLevel="0" collapsed="false">
      <c r="A143" s="2" t="s">
        <v>1666</v>
      </c>
      <c r="B143" s="2" t="s">
        <v>1667</v>
      </c>
      <c r="C143" s="2" t="s">
        <v>1668</v>
      </c>
      <c r="D143" s="2" t="s">
        <v>1669</v>
      </c>
      <c r="E143" s="2" t="s">
        <v>316</v>
      </c>
      <c r="F143" s="3" t="s">
        <v>101</v>
      </c>
      <c r="G143" s="2" t="s">
        <v>1670</v>
      </c>
      <c r="H143" s="2" t="s">
        <v>1671</v>
      </c>
      <c r="I143" s="2" t="s">
        <v>1672</v>
      </c>
      <c r="J143" s="2" t="s">
        <v>1673</v>
      </c>
      <c r="K143" s="2" t="s">
        <v>1674</v>
      </c>
      <c r="L143" s="2"/>
      <c r="M143" s="2"/>
      <c r="N143" s="2"/>
      <c r="O143" s="3"/>
      <c r="P143" s="2"/>
      <c r="Q143" s="2" t="s">
        <v>1675</v>
      </c>
      <c r="R143" s="2" t="s">
        <v>285</v>
      </c>
      <c r="S143" s="2"/>
      <c r="T143" s="3" t="s">
        <v>82</v>
      </c>
      <c r="U143" s="2"/>
      <c r="V143" s="2"/>
      <c r="W143" s="2"/>
      <c r="X143" s="2"/>
      <c r="Y143" s="2"/>
      <c r="Z143" s="2"/>
      <c r="AA143" s="2"/>
      <c r="AB143" s="2" t="s">
        <v>1676</v>
      </c>
      <c r="AC143" s="2" t="s">
        <v>1677</v>
      </c>
      <c r="AD143" s="2"/>
      <c r="AE143" s="3" t="s">
        <v>53</v>
      </c>
    </row>
    <row r="144" customFormat="false" ht="15" hidden="false" customHeight="false" outlineLevel="0" collapsed="false">
      <c r="A144" s="2" t="s">
        <v>1678</v>
      </c>
      <c r="B144" s="2" t="s">
        <v>1667</v>
      </c>
      <c r="C144" s="2" t="s">
        <v>1679</v>
      </c>
      <c r="D144" s="2" t="s">
        <v>1680</v>
      </c>
      <c r="E144" s="2" t="s">
        <v>189</v>
      </c>
      <c r="F144" s="3" t="s">
        <v>101</v>
      </c>
      <c r="G144" s="2" t="s">
        <v>1681</v>
      </c>
      <c r="H144" s="2" t="s">
        <v>1682</v>
      </c>
      <c r="I144" s="2" t="s">
        <v>1683</v>
      </c>
      <c r="J144" s="2" t="s">
        <v>1684</v>
      </c>
      <c r="K144" s="2" t="s">
        <v>1685</v>
      </c>
      <c r="L144" s="2" t="s">
        <v>307</v>
      </c>
      <c r="M144" s="2"/>
      <c r="N144" s="2"/>
      <c r="O144" s="3" t="s">
        <v>910</v>
      </c>
      <c r="P144" s="2"/>
      <c r="Q144" s="2" t="s">
        <v>912</v>
      </c>
      <c r="R144" s="2" t="s">
        <v>285</v>
      </c>
      <c r="S144" s="2"/>
      <c r="T144" s="3" t="s">
        <v>412</v>
      </c>
      <c r="U144" s="2"/>
      <c r="V144" s="2"/>
      <c r="W144" s="2"/>
      <c r="X144" s="2"/>
      <c r="Y144" s="2"/>
      <c r="Z144" s="2"/>
      <c r="AA144" s="2"/>
      <c r="AB144" s="2" t="s">
        <v>1686</v>
      </c>
      <c r="AC144" s="2" t="s">
        <v>1687</v>
      </c>
      <c r="AD144" s="2"/>
      <c r="AE144" s="3" t="s">
        <v>53</v>
      </c>
    </row>
    <row r="145" customFormat="false" ht="15" hidden="false" customHeight="false" outlineLevel="0" collapsed="false">
      <c r="A145" s="2" t="s">
        <v>1688</v>
      </c>
      <c r="B145" s="2" t="s">
        <v>1667</v>
      </c>
      <c r="C145" s="2" t="s">
        <v>1689</v>
      </c>
      <c r="D145" s="2" t="s">
        <v>1690</v>
      </c>
      <c r="E145" s="2" t="s">
        <v>189</v>
      </c>
      <c r="F145" s="3" t="s">
        <v>36</v>
      </c>
      <c r="G145" s="2" t="s">
        <v>1691</v>
      </c>
      <c r="H145" s="2" t="s">
        <v>191</v>
      </c>
      <c r="I145" s="2" t="s">
        <v>1692</v>
      </c>
      <c r="J145" s="2" t="s">
        <v>1693</v>
      </c>
      <c r="K145" s="2" t="s">
        <v>1694</v>
      </c>
      <c r="L145" s="2" t="s">
        <v>195</v>
      </c>
      <c r="M145" s="2"/>
      <c r="N145" s="2"/>
      <c r="O145" s="3" t="s">
        <v>198</v>
      </c>
      <c r="P145" s="2"/>
      <c r="Q145" s="2" t="s">
        <v>732</v>
      </c>
      <c r="R145" s="2" t="s">
        <v>201</v>
      </c>
      <c r="S145" s="2"/>
      <c r="T145" s="3" t="s">
        <v>50</v>
      </c>
      <c r="U145" s="2"/>
      <c r="V145" s="2"/>
      <c r="W145" s="2"/>
      <c r="X145" s="2"/>
      <c r="Y145" s="2"/>
      <c r="Z145" s="2"/>
      <c r="AA145" s="2"/>
      <c r="AB145" s="2" t="s">
        <v>1695</v>
      </c>
      <c r="AC145" s="2" t="s">
        <v>1696</v>
      </c>
      <c r="AD145" s="2"/>
      <c r="AE145" s="3" t="s">
        <v>53</v>
      </c>
    </row>
    <row r="146" customFormat="false" ht="15" hidden="false" customHeight="false" outlineLevel="0" collapsed="false">
      <c r="A146" s="2" t="s">
        <v>1697</v>
      </c>
      <c r="B146" s="2" t="s">
        <v>1667</v>
      </c>
      <c r="C146" s="2" t="s">
        <v>1698</v>
      </c>
      <c r="D146" s="2" t="s">
        <v>301</v>
      </c>
      <c r="E146" s="2" t="s">
        <v>189</v>
      </c>
      <c r="F146" s="3" t="s">
        <v>101</v>
      </c>
      <c r="G146" s="2" t="s">
        <v>1699</v>
      </c>
      <c r="H146" s="2" t="s">
        <v>1700</v>
      </c>
      <c r="I146" s="2" t="s">
        <v>1701</v>
      </c>
      <c r="J146" s="2" t="s">
        <v>1702</v>
      </c>
      <c r="K146" s="2" t="s">
        <v>1703</v>
      </c>
      <c r="L146" s="2" t="s">
        <v>307</v>
      </c>
      <c r="M146" s="2"/>
      <c r="N146" s="2"/>
      <c r="O146" s="3" t="s">
        <v>1704</v>
      </c>
      <c r="P146" s="2"/>
      <c r="Q146" s="2" t="s">
        <v>311</v>
      </c>
      <c r="R146" s="2" t="s">
        <v>285</v>
      </c>
      <c r="S146" s="2"/>
      <c r="T146" s="3" t="s">
        <v>287</v>
      </c>
      <c r="U146" s="2"/>
      <c r="V146" s="2"/>
      <c r="W146" s="2"/>
      <c r="X146" s="2"/>
      <c r="Y146" s="2"/>
      <c r="Z146" s="2"/>
      <c r="AA146" s="2"/>
      <c r="AB146" s="2" t="s">
        <v>299</v>
      </c>
      <c r="AC146" s="2" t="s">
        <v>1705</v>
      </c>
      <c r="AD146" s="2"/>
      <c r="AE146" s="3" t="s">
        <v>53</v>
      </c>
    </row>
    <row r="147" customFormat="false" ht="15" hidden="false" customHeight="false" outlineLevel="0" collapsed="false">
      <c r="A147" s="2" t="s">
        <v>1706</v>
      </c>
      <c r="B147" s="2" t="s">
        <v>1667</v>
      </c>
      <c r="C147" s="2" t="s">
        <v>1707</v>
      </c>
      <c r="D147" s="2" t="s">
        <v>1708</v>
      </c>
      <c r="E147" s="2" t="s">
        <v>189</v>
      </c>
      <c r="F147" s="3" t="s">
        <v>36</v>
      </c>
      <c r="G147" s="2" t="s">
        <v>1709</v>
      </c>
      <c r="H147" s="2" t="s">
        <v>1710</v>
      </c>
      <c r="I147" s="2" t="s">
        <v>1711</v>
      </c>
      <c r="J147" s="2" t="s">
        <v>1712</v>
      </c>
      <c r="K147" s="2" t="s">
        <v>1713</v>
      </c>
      <c r="L147" s="2"/>
      <c r="M147" s="2"/>
      <c r="N147" s="2"/>
      <c r="O147" s="3" t="s">
        <v>282</v>
      </c>
      <c r="P147" s="2"/>
      <c r="Q147" s="2" t="s">
        <v>1478</v>
      </c>
      <c r="R147" s="2" t="s">
        <v>285</v>
      </c>
      <c r="S147" s="2"/>
      <c r="T147" s="3" t="s">
        <v>50</v>
      </c>
      <c r="U147" s="2"/>
      <c r="V147" s="2"/>
      <c r="W147" s="2"/>
      <c r="X147" s="2"/>
      <c r="Y147" s="2"/>
      <c r="Z147" s="2"/>
      <c r="AA147" s="2"/>
      <c r="AB147" s="2" t="s">
        <v>1714</v>
      </c>
      <c r="AC147" s="2" t="s">
        <v>1715</v>
      </c>
      <c r="AD147" s="2"/>
      <c r="AE147" s="3" t="s">
        <v>53</v>
      </c>
    </row>
    <row r="148" customFormat="false" ht="15" hidden="false" customHeight="false" outlineLevel="0" collapsed="false">
      <c r="A148" s="2" t="s">
        <v>1716</v>
      </c>
      <c r="B148" s="2" t="s">
        <v>1667</v>
      </c>
      <c r="C148" s="2" t="s">
        <v>1717</v>
      </c>
      <c r="D148" s="2" t="s">
        <v>1718</v>
      </c>
      <c r="E148" s="2" t="s">
        <v>665</v>
      </c>
      <c r="F148" s="3" t="s">
        <v>259</v>
      </c>
      <c r="G148" s="2" t="s">
        <v>1719</v>
      </c>
      <c r="H148" s="2" t="s">
        <v>1720</v>
      </c>
      <c r="I148" s="2" t="s">
        <v>1721</v>
      </c>
      <c r="J148" s="2" t="s">
        <v>1722</v>
      </c>
      <c r="K148" s="2" t="s">
        <v>1723</v>
      </c>
      <c r="L148" s="2"/>
      <c r="M148" s="2"/>
      <c r="N148" s="2"/>
      <c r="O148" s="3"/>
      <c r="P148" s="2"/>
      <c r="Q148" s="2" t="s">
        <v>1724</v>
      </c>
      <c r="R148" s="2" t="s">
        <v>285</v>
      </c>
      <c r="S148" s="2"/>
      <c r="T148" s="3" t="s">
        <v>82</v>
      </c>
      <c r="U148" s="2"/>
      <c r="V148" s="2"/>
      <c r="W148" s="2"/>
      <c r="X148" s="2"/>
      <c r="Y148" s="2"/>
      <c r="Z148" s="2"/>
      <c r="AA148" s="2"/>
      <c r="AB148" s="2"/>
      <c r="AC148" s="2" t="s">
        <v>1725</v>
      </c>
      <c r="AD148" s="2"/>
      <c r="AE148" s="3" t="s">
        <v>53</v>
      </c>
    </row>
    <row r="149" customFormat="false" ht="15" hidden="false" customHeight="false" outlineLevel="0" collapsed="false">
      <c r="A149" s="2" t="s">
        <v>1726</v>
      </c>
      <c r="B149" s="2" t="s">
        <v>1667</v>
      </c>
      <c r="C149" s="2" t="s">
        <v>1727</v>
      </c>
      <c r="D149" s="2" t="s">
        <v>1728</v>
      </c>
      <c r="E149" s="2" t="s">
        <v>70</v>
      </c>
      <c r="F149" s="3" t="s">
        <v>101</v>
      </c>
      <c r="G149" s="2" t="s">
        <v>1729</v>
      </c>
      <c r="H149" s="2" t="s">
        <v>1730</v>
      </c>
      <c r="I149" s="2" t="s">
        <v>1731</v>
      </c>
      <c r="J149" s="2" t="s">
        <v>1732</v>
      </c>
      <c r="K149" s="2" t="s">
        <v>1733</v>
      </c>
      <c r="L149" s="2"/>
      <c r="M149" s="2"/>
      <c r="N149" s="2"/>
      <c r="O149" s="3"/>
      <c r="P149" s="2"/>
      <c r="Q149" s="2" t="s">
        <v>1734</v>
      </c>
      <c r="R149" s="2" t="s">
        <v>285</v>
      </c>
      <c r="S149" s="2"/>
      <c r="T149" s="3" t="s">
        <v>82</v>
      </c>
      <c r="U149" s="2"/>
      <c r="V149" s="2"/>
      <c r="W149" s="2"/>
      <c r="X149" s="2"/>
      <c r="Y149" s="2"/>
      <c r="Z149" s="2"/>
      <c r="AA149" s="2"/>
      <c r="AB149" s="2" t="s">
        <v>1735</v>
      </c>
      <c r="AC149" s="2" t="s">
        <v>1736</v>
      </c>
      <c r="AD149" s="2"/>
      <c r="AE149" s="3" t="s">
        <v>53</v>
      </c>
    </row>
    <row r="150" customFormat="false" ht="15" hidden="false" customHeight="false" outlineLevel="0" collapsed="false">
      <c r="A150" s="2" t="s">
        <v>1737</v>
      </c>
      <c r="B150" s="2" t="s">
        <v>1667</v>
      </c>
      <c r="C150" s="2" t="s">
        <v>1738</v>
      </c>
      <c r="D150" s="2" t="s">
        <v>342</v>
      </c>
      <c r="E150" s="2" t="s">
        <v>258</v>
      </c>
      <c r="F150" s="3" t="s">
        <v>101</v>
      </c>
      <c r="G150" s="2" t="s">
        <v>1739</v>
      </c>
      <c r="H150" s="2" t="s">
        <v>1740</v>
      </c>
      <c r="I150" s="2" t="s">
        <v>1741</v>
      </c>
      <c r="J150" s="2" t="s">
        <v>1742</v>
      </c>
      <c r="K150" s="2" t="s">
        <v>1743</v>
      </c>
      <c r="L150" s="2"/>
      <c r="M150" s="2"/>
      <c r="N150" s="2"/>
      <c r="O150" s="3"/>
      <c r="P150" s="2" t="s">
        <v>1744</v>
      </c>
      <c r="Q150" s="2" t="s">
        <v>1745</v>
      </c>
      <c r="R150" s="2" t="s">
        <v>285</v>
      </c>
      <c r="S150" s="2"/>
      <c r="T150" s="3" t="s">
        <v>82</v>
      </c>
      <c r="U150" s="2"/>
      <c r="V150" s="2"/>
      <c r="W150" s="2"/>
      <c r="X150" s="2"/>
      <c r="Y150" s="2"/>
      <c r="Z150" s="2"/>
      <c r="AA150" s="2"/>
      <c r="AB150" s="2" t="s">
        <v>690</v>
      </c>
      <c r="AC150" s="2" t="s">
        <v>1746</v>
      </c>
      <c r="AD150" s="2" t="s">
        <v>1747</v>
      </c>
      <c r="AE150" s="3" t="s">
        <v>53</v>
      </c>
    </row>
    <row r="151" customFormat="false" ht="15" hidden="false" customHeight="false" outlineLevel="0" collapsed="false">
      <c r="A151" s="2" t="s">
        <v>1748</v>
      </c>
      <c r="B151" s="2" t="s">
        <v>1667</v>
      </c>
      <c r="C151" s="2" t="s">
        <v>1749</v>
      </c>
      <c r="D151" s="2" t="s">
        <v>257</v>
      </c>
      <c r="E151" s="2" t="s">
        <v>70</v>
      </c>
      <c r="F151" s="3" t="s">
        <v>101</v>
      </c>
      <c r="G151" s="2" t="s">
        <v>1750</v>
      </c>
      <c r="H151" s="2" t="s">
        <v>1751</v>
      </c>
      <c r="I151" s="2" t="s">
        <v>1752</v>
      </c>
      <c r="J151" s="2" t="s">
        <v>1753</v>
      </c>
      <c r="K151" s="2" t="s">
        <v>709</v>
      </c>
      <c r="L151" s="2"/>
      <c r="M151" s="2"/>
      <c r="N151" s="2"/>
      <c r="O151" s="3"/>
      <c r="P151" s="2" t="s">
        <v>1754</v>
      </c>
      <c r="Q151" s="2" t="s">
        <v>1755</v>
      </c>
      <c r="R151" s="2" t="s">
        <v>285</v>
      </c>
      <c r="S151" s="2"/>
      <c r="T151" s="3" t="s">
        <v>82</v>
      </c>
      <c r="U151" s="2"/>
      <c r="V151" s="2"/>
      <c r="W151" s="2"/>
      <c r="X151" s="2"/>
      <c r="Y151" s="2"/>
      <c r="Z151" s="2"/>
      <c r="AA151" s="2"/>
      <c r="AB151" s="2" t="s">
        <v>1726</v>
      </c>
      <c r="AC151" s="2" t="s">
        <v>1756</v>
      </c>
      <c r="AD151" s="2" t="s">
        <v>1757</v>
      </c>
      <c r="AE151" s="3" t="s">
        <v>53</v>
      </c>
    </row>
    <row r="152" customFormat="false" ht="15" hidden="false" customHeight="false" outlineLevel="0" collapsed="false">
      <c r="A152" s="2" t="s">
        <v>1758</v>
      </c>
      <c r="B152" s="2" t="s">
        <v>1667</v>
      </c>
      <c r="C152" s="2" t="s">
        <v>1759</v>
      </c>
      <c r="D152" s="2" t="s">
        <v>315</v>
      </c>
      <c r="E152" s="2" t="s">
        <v>316</v>
      </c>
      <c r="F152" s="3" t="s">
        <v>101</v>
      </c>
      <c r="G152" s="2" t="s">
        <v>1760</v>
      </c>
      <c r="H152" s="2" t="s">
        <v>1761</v>
      </c>
      <c r="I152" s="2" t="s">
        <v>1762</v>
      </c>
      <c r="J152" s="2" t="s">
        <v>1763</v>
      </c>
      <c r="K152" s="2" t="s">
        <v>1764</v>
      </c>
      <c r="L152" s="2"/>
      <c r="M152" s="2"/>
      <c r="N152" s="2"/>
      <c r="O152" s="3"/>
      <c r="P152" s="2"/>
      <c r="Q152" s="2" t="s">
        <v>1765</v>
      </c>
      <c r="R152" s="2" t="s">
        <v>285</v>
      </c>
      <c r="S152" s="2"/>
      <c r="T152" s="3" t="s">
        <v>326</v>
      </c>
      <c r="U152" s="2"/>
      <c r="V152" s="2"/>
      <c r="W152" s="2"/>
      <c r="X152" s="2"/>
      <c r="Y152" s="2"/>
      <c r="Z152" s="2"/>
      <c r="AA152" s="2"/>
      <c r="AB152" s="2" t="s">
        <v>1666</v>
      </c>
      <c r="AC152" s="2" t="s">
        <v>1766</v>
      </c>
      <c r="AD152" s="2" t="s">
        <v>1767</v>
      </c>
      <c r="AE152" s="3" t="s">
        <v>53</v>
      </c>
    </row>
    <row r="153" customFormat="false" ht="15" hidden="false" customHeight="false" outlineLevel="0" collapsed="false">
      <c r="A153" s="2" t="s">
        <v>1768</v>
      </c>
      <c r="B153" s="2" t="s">
        <v>1667</v>
      </c>
      <c r="C153" s="2" t="s">
        <v>1769</v>
      </c>
      <c r="D153" s="2" t="s">
        <v>273</v>
      </c>
      <c r="E153" s="2" t="s">
        <v>316</v>
      </c>
      <c r="F153" s="3" t="s">
        <v>101</v>
      </c>
      <c r="G153" s="2" t="s">
        <v>1770</v>
      </c>
      <c r="H153" s="2" t="s">
        <v>1771</v>
      </c>
      <c r="I153" s="2" t="s">
        <v>1772</v>
      </c>
      <c r="J153" s="2" t="s">
        <v>1773</v>
      </c>
      <c r="K153" s="2" t="s">
        <v>1774</v>
      </c>
      <c r="L153" s="2"/>
      <c r="M153" s="2"/>
      <c r="N153" s="2"/>
      <c r="O153" s="3"/>
      <c r="P153" s="2"/>
      <c r="Q153" s="2" t="s">
        <v>1775</v>
      </c>
      <c r="R153" s="2" t="s">
        <v>285</v>
      </c>
      <c r="S153" s="2"/>
      <c r="T153" s="3" t="s">
        <v>82</v>
      </c>
      <c r="U153" s="2"/>
      <c r="V153" s="2"/>
      <c r="W153" s="2"/>
      <c r="X153" s="2"/>
      <c r="Y153" s="2"/>
      <c r="Z153" s="2"/>
      <c r="AA153" s="2"/>
      <c r="AB153" s="2" t="s">
        <v>1776</v>
      </c>
      <c r="AC153" s="2" t="s">
        <v>1777</v>
      </c>
      <c r="AD153" s="2" t="s">
        <v>1757</v>
      </c>
      <c r="AE153" s="3" t="s">
        <v>53</v>
      </c>
    </row>
    <row r="154" customFormat="false" ht="15" hidden="false" customHeight="false" outlineLevel="0" collapsed="false">
      <c r="A154" s="2" t="s">
        <v>1778</v>
      </c>
      <c r="B154" s="2" t="s">
        <v>1779</v>
      </c>
      <c r="C154" s="2" t="s">
        <v>1780</v>
      </c>
      <c r="D154" s="2" t="s">
        <v>853</v>
      </c>
      <c r="E154" s="2" t="s">
        <v>189</v>
      </c>
      <c r="F154" s="3" t="s">
        <v>36</v>
      </c>
      <c r="G154" s="2" t="s">
        <v>1781</v>
      </c>
      <c r="H154" s="2" t="s">
        <v>1782</v>
      </c>
      <c r="I154" s="2" t="s">
        <v>1783</v>
      </c>
      <c r="J154" s="2" t="s">
        <v>1784</v>
      </c>
      <c r="K154" s="2" t="s">
        <v>1785</v>
      </c>
      <c r="L154" s="2"/>
      <c r="M154" s="2"/>
      <c r="N154" s="2"/>
      <c r="O154" s="3"/>
      <c r="P154" s="2" t="s">
        <v>870</v>
      </c>
      <c r="Q154" s="2"/>
      <c r="R154" s="2" t="s">
        <v>285</v>
      </c>
      <c r="S154" s="2"/>
      <c r="T154" s="3" t="s">
        <v>412</v>
      </c>
      <c r="U154" s="2"/>
      <c r="V154" s="2"/>
      <c r="W154" s="2"/>
      <c r="X154" s="2"/>
      <c r="Y154" s="2"/>
      <c r="Z154" s="2"/>
      <c r="AA154" s="2"/>
      <c r="AB154" s="2" t="s">
        <v>1786</v>
      </c>
      <c r="AC154" s="2"/>
      <c r="AD154" s="2"/>
      <c r="AE154" s="3" t="s">
        <v>53</v>
      </c>
    </row>
    <row r="155" customFormat="false" ht="15" hidden="false" customHeight="false" outlineLevel="0" collapsed="false">
      <c r="A155" s="2" t="s">
        <v>1787</v>
      </c>
      <c r="B155" s="2" t="s">
        <v>1779</v>
      </c>
      <c r="C155" s="2" t="s">
        <v>1788</v>
      </c>
      <c r="D155" s="2" t="s">
        <v>189</v>
      </c>
      <c r="E155" s="2" t="s">
        <v>189</v>
      </c>
      <c r="F155" s="3" t="s">
        <v>36</v>
      </c>
      <c r="G155" s="2" t="s">
        <v>1789</v>
      </c>
      <c r="H155" s="2" t="s">
        <v>1790</v>
      </c>
      <c r="I155" s="2" t="s">
        <v>1791</v>
      </c>
      <c r="J155" s="2" t="s">
        <v>1792</v>
      </c>
      <c r="K155" s="2" t="s">
        <v>1793</v>
      </c>
      <c r="L155" s="2"/>
      <c r="M155" s="2"/>
      <c r="N155" s="2"/>
      <c r="O155" s="3"/>
      <c r="P155" s="2"/>
      <c r="Q155" s="2" t="s">
        <v>598</v>
      </c>
      <c r="R155" s="2" t="s">
        <v>285</v>
      </c>
      <c r="S155" s="2"/>
      <c r="T155" s="3" t="s">
        <v>412</v>
      </c>
      <c r="U155" s="2"/>
      <c r="V155" s="2"/>
      <c r="W155" s="2"/>
      <c r="X155" s="2"/>
      <c r="Y155" s="2"/>
      <c r="Z155" s="2"/>
      <c r="AA155" s="2"/>
      <c r="AB155" s="2" t="s">
        <v>1794</v>
      </c>
      <c r="AC155" s="2"/>
      <c r="AD155" s="2"/>
      <c r="AE155" s="3" t="s">
        <v>53</v>
      </c>
    </row>
    <row r="156" customFormat="false" ht="15" hidden="false" customHeight="false" outlineLevel="0" collapsed="false">
      <c r="A156" s="2" t="s">
        <v>1795</v>
      </c>
      <c r="B156" s="2" t="s">
        <v>1779</v>
      </c>
      <c r="C156" s="2" t="s">
        <v>1796</v>
      </c>
      <c r="D156" s="2" t="s">
        <v>301</v>
      </c>
      <c r="E156" s="2" t="s">
        <v>258</v>
      </c>
      <c r="F156" s="3" t="s">
        <v>36</v>
      </c>
      <c r="G156" s="2" t="s">
        <v>1797</v>
      </c>
      <c r="H156" s="2" t="s">
        <v>1798</v>
      </c>
      <c r="I156" s="2" t="s">
        <v>1799</v>
      </c>
      <c r="J156" s="2" t="s">
        <v>1800</v>
      </c>
      <c r="K156" s="2" t="s">
        <v>1801</v>
      </c>
      <c r="L156" s="2" t="s">
        <v>307</v>
      </c>
      <c r="M156" s="2"/>
      <c r="N156" s="2"/>
      <c r="O156" s="3"/>
      <c r="P156" s="2"/>
      <c r="Q156" s="2" t="s">
        <v>311</v>
      </c>
      <c r="R156" s="2" t="s">
        <v>285</v>
      </c>
      <c r="S156" s="2"/>
      <c r="T156" s="3" t="s">
        <v>412</v>
      </c>
      <c r="U156" s="2"/>
      <c r="V156" s="2"/>
      <c r="W156" s="2"/>
      <c r="X156" s="2"/>
      <c r="Y156" s="2"/>
      <c r="Z156" s="2"/>
      <c r="AA156" s="2"/>
      <c r="AB156" s="2" t="s">
        <v>1802</v>
      </c>
      <c r="AC156" s="2"/>
      <c r="AD156" s="2"/>
      <c r="AE156" s="3" t="s">
        <v>53</v>
      </c>
    </row>
    <row r="157" customFormat="false" ht="15" hidden="false" customHeight="false" outlineLevel="0" collapsed="false">
      <c r="A157" s="2" t="s">
        <v>1803</v>
      </c>
      <c r="B157" s="2" t="s">
        <v>1779</v>
      </c>
      <c r="C157" s="2" t="s">
        <v>1804</v>
      </c>
      <c r="D157" s="2" t="s">
        <v>189</v>
      </c>
      <c r="E157" s="2" t="s">
        <v>189</v>
      </c>
      <c r="F157" s="3" t="s">
        <v>36</v>
      </c>
      <c r="G157" s="2" t="s">
        <v>1805</v>
      </c>
      <c r="H157" s="2" t="s">
        <v>1806</v>
      </c>
      <c r="I157" s="2" t="s">
        <v>1807</v>
      </c>
      <c r="J157" s="2" t="s">
        <v>1808</v>
      </c>
      <c r="K157" s="2" t="s">
        <v>1809</v>
      </c>
      <c r="L157" s="2"/>
      <c r="M157" s="2"/>
      <c r="N157" s="2"/>
      <c r="O157" s="3"/>
      <c r="P157" s="2"/>
      <c r="Q157" s="2" t="s">
        <v>598</v>
      </c>
      <c r="R157" s="2" t="s">
        <v>285</v>
      </c>
      <c r="S157" s="2"/>
      <c r="T157" s="3" t="s">
        <v>412</v>
      </c>
      <c r="U157" s="2"/>
      <c r="V157" s="2"/>
      <c r="W157" s="2"/>
      <c r="X157" s="2"/>
      <c r="Y157" s="2"/>
      <c r="Z157" s="2"/>
      <c r="AA157" s="2"/>
      <c r="AB157" s="2" t="s">
        <v>1787</v>
      </c>
      <c r="AC157" s="2"/>
      <c r="AD157" s="2"/>
      <c r="AE157" s="3" t="s">
        <v>53</v>
      </c>
    </row>
    <row r="158" customFormat="false" ht="15" hidden="false" customHeight="false" outlineLevel="0" collapsed="false">
      <c r="A158" s="2" t="s">
        <v>1810</v>
      </c>
      <c r="B158" s="2" t="s">
        <v>1779</v>
      </c>
      <c r="C158" s="2" t="s">
        <v>1811</v>
      </c>
      <c r="D158" s="2" t="s">
        <v>188</v>
      </c>
      <c r="E158" s="2" t="s">
        <v>189</v>
      </c>
      <c r="F158" s="3" t="s">
        <v>36</v>
      </c>
      <c r="G158" s="2" t="s">
        <v>1812</v>
      </c>
      <c r="H158" s="2" t="s">
        <v>1813</v>
      </c>
      <c r="I158" s="2" t="s">
        <v>1814</v>
      </c>
      <c r="J158" s="2" t="s">
        <v>1815</v>
      </c>
      <c r="K158" s="2" t="s">
        <v>1816</v>
      </c>
      <c r="L158" s="2"/>
      <c r="M158" s="2"/>
      <c r="N158" s="2"/>
      <c r="O158" s="3"/>
      <c r="P158" s="2" t="s">
        <v>870</v>
      </c>
      <c r="Q158" s="2" t="s">
        <v>1817</v>
      </c>
      <c r="R158" s="2" t="s">
        <v>285</v>
      </c>
      <c r="S158" s="2"/>
      <c r="T158" s="3" t="s">
        <v>412</v>
      </c>
      <c r="U158" s="2"/>
      <c r="V158" s="2"/>
      <c r="W158" s="2"/>
      <c r="X158" s="2"/>
      <c r="Y158" s="2"/>
      <c r="Z158" s="2"/>
      <c r="AA158" s="2"/>
      <c r="AB158" s="2" t="s">
        <v>1818</v>
      </c>
      <c r="AC158" s="2"/>
      <c r="AD158" s="2"/>
      <c r="AE158" s="3" t="s">
        <v>53</v>
      </c>
    </row>
    <row r="159" customFormat="false" ht="15" hidden="false" customHeight="false" outlineLevel="0" collapsed="false">
      <c r="A159" s="2" t="s">
        <v>1819</v>
      </c>
      <c r="B159" s="2" t="s">
        <v>1779</v>
      </c>
      <c r="C159" s="2" t="s">
        <v>1820</v>
      </c>
      <c r="D159" s="2" t="s">
        <v>188</v>
      </c>
      <c r="E159" s="2" t="s">
        <v>258</v>
      </c>
      <c r="F159" s="3" t="s">
        <v>101</v>
      </c>
      <c r="G159" s="2" t="s">
        <v>1821</v>
      </c>
      <c r="H159" s="2" t="s">
        <v>1822</v>
      </c>
      <c r="I159" s="2" t="s">
        <v>1823</v>
      </c>
      <c r="J159" s="2" t="s">
        <v>1824</v>
      </c>
      <c r="K159" s="2" t="s">
        <v>1825</v>
      </c>
      <c r="L159" s="2"/>
      <c r="M159" s="2"/>
      <c r="N159" s="2"/>
      <c r="O159" s="3"/>
      <c r="P159" s="2" t="s">
        <v>597</v>
      </c>
      <c r="Q159" s="2" t="s">
        <v>1826</v>
      </c>
      <c r="R159" s="2" t="s">
        <v>285</v>
      </c>
      <c r="S159" s="2"/>
      <c r="T159" s="3" t="s">
        <v>412</v>
      </c>
      <c r="U159" s="2"/>
      <c r="V159" s="2"/>
      <c r="W159" s="2"/>
      <c r="X159" s="2"/>
      <c r="Y159" s="2"/>
      <c r="Z159" s="2"/>
      <c r="AA159" s="2"/>
      <c r="AB159" s="2" t="s">
        <v>1787</v>
      </c>
      <c r="AC159" s="2"/>
      <c r="AD159" s="2" t="s">
        <v>1827</v>
      </c>
      <c r="AE159" s="3" t="s">
        <v>53</v>
      </c>
    </row>
    <row r="160" customFormat="false" ht="15" hidden="false" customHeight="false" outlineLevel="0" collapsed="false">
      <c r="A160" s="2" t="s">
        <v>1828</v>
      </c>
      <c r="B160" s="2" t="s">
        <v>1779</v>
      </c>
      <c r="C160" s="2" t="s">
        <v>1829</v>
      </c>
      <c r="D160" s="2" t="s">
        <v>991</v>
      </c>
      <c r="E160" s="2" t="s">
        <v>826</v>
      </c>
      <c r="F160" s="3" t="s">
        <v>36</v>
      </c>
      <c r="G160" s="2" t="s">
        <v>1830</v>
      </c>
      <c r="H160" s="2" t="s">
        <v>1831</v>
      </c>
      <c r="I160" s="2" t="s">
        <v>1832</v>
      </c>
      <c r="J160" s="2" t="s">
        <v>1833</v>
      </c>
      <c r="K160" s="2" t="s">
        <v>1834</v>
      </c>
      <c r="L160" s="2"/>
      <c r="M160" s="2"/>
      <c r="N160" s="2"/>
      <c r="O160" s="3"/>
      <c r="P160" s="2" t="s">
        <v>1835</v>
      </c>
      <c r="Q160" s="2" t="s">
        <v>998</v>
      </c>
      <c r="R160" s="2" t="s">
        <v>285</v>
      </c>
      <c r="S160" s="2"/>
      <c r="T160" s="3" t="s">
        <v>412</v>
      </c>
      <c r="U160" s="2"/>
      <c r="V160" s="2"/>
      <c r="W160" s="2"/>
      <c r="X160" s="2"/>
      <c r="Y160" s="2"/>
      <c r="Z160" s="2"/>
      <c r="AA160" s="2"/>
      <c r="AB160" s="2" t="s">
        <v>1836</v>
      </c>
      <c r="AC160" s="2"/>
      <c r="AD160" s="2" t="s">
        <v>1837</v>
      </c>
      <c r="AE160" s="3" t="s">
        <v>53</v>
      </c>
    </row>
    <row r="161" customFormat="false" ht="15" hidden="false" customHeight="false" outlineLevel="0" collapsed="false">
      <c r="A161" s="2" t="s">
        <v>1838</v>
      </c>
      <c r="B161" s="2" t="s">
        <v>1779</v>
      </c>
      <c r="C161" s="2" t="s">
        <v>1839</v>
      </c>
      <c r="D161" s="2" t="s">
        <v>747</v>
      </c>
      <c r="E161" s="2" t="s">
        <v>7</v>
      </c>
      <c r="F161" s="3" t="s">
        <v>259</v>
      </c>
      <c r="G161" s="2" t="s">
        <v>1840</v>
      </c>
      <c r="H161" s="2" t="s">
        <v>1841</v>
      </c>
      <c r="I161" s="2" t="s">
        <v>1842</v>
      </c>
      <c r="J161" s="2" t="s">
        <v>1843</v>
      </c>
      <c r="K161" s="2" t="s">
        <v>1844</v>
      </c>
      <c r="L161" s="2"/>
      <c r="M161" s="2"/>
      <c r="N161" s="2"/>
      <c r="O161" s="3"/>
      <c r="P161" s="2" t="s">
        <v>1845</v>
      </c>
      <c r="Q161" s="2" t="s">
        <v>1056</v>
      </c>
      <c r="R161" s="2" t="s">
        <v>285</v>
      </c>
      <c r="S161" s="2"/>
      <c r="T161" s="3" t="s">
        <v>412</v>
      </c>
      <c r="U161" s="2"/>
      <c r="V161" s="2"/>
      <c r="W161" s="2"/>
      <c r="X161" s="2"/>
      <c r="Y161" s="2"/>
      <c r="Z161" s="2"/>
      <c r="AA161" s="2"/>
      <c r="AB161" s="2" t="s">
        <v>1846</v>
      </c>
      <c r="AC161" s="2"/>
      <c r="AD161" s="2" t="s">
        <v>1847</v>
      </c>
      <c r="AE161" s="3" t="s">
        <v>53</v>
      </c>
    </row>
    <row r="162" customFormat="false" ht="15" hidden="false" customHeight="false" outlineLevel="0" collapsed="false">
      <c r="A162" s="2" t="s">
        <v>1802</v>
      </c>
      <c r="B162" s="2" t="s">
        <v>1779</v>
      </c>
      <c r="C162" s="2" t="s">
        <v>1848</v>
      </c>
      <c r="D162" s="2" t="s">
        <v>301</v>
      </c>
      <c r="E162" s="2" t="s">
        <v>189</v>
      </c>
      <c r="F162" s="3" t="s">
        <v>101</v>
      </c>
      <c r="G162" s="2" t="s">
        <v>1849</v>
      </c>
      <c r="H162" s="2" t="s">
        <v>1850</v>
      </c>
      <c r="I162" s="2" t="s">
        <v>1851</v>
      </c>
      <c r="J162" s="2" t="s">
        <v>1852</v>
      </c>
      <c r="K162" s="2" t="s">
        <v>1853</v>
      </c>
      <c r="L162" s="2"/>
      <c r="M162" s="2"/>
      <c r="N162" s="2"/>
      <c r="O162" s="3"/>
      <c r="P162" s="2" t="s">
        <v>1854</v>
      </c>
      <c r="Q162" s="2" t="s">
        <v>1855</v>
      </c>
      <c r="R162" s="2" t="s">
        <v>285</v>
      </c>
      <c r="S162" s="2"/>
      <c r="T162" s="3" t="s">
        <v>412</v>
      </c>
      <c r="U162" s="2"/>
      <c r="V162" s="2"/>
      <c r="W162" s="2"/>
      <c r="X162" s="2"/>
      <c r="Y162" s="2"/>
      <c r="Z162" s="2"/>
      <c r="AA162" s="2"/>
      <c r="AB162" s="2" t="s">
        <v>1856</v>
      </c>
      <c r="AC162" s="2"/>
      <c r="AD162" s="2" t="s">
        <v>1857</v>
      </c>
      <c r="AE162" s="3" t="s">
        <v>53</v>
      </c>
    </row>
    <row r="163" customFormat="false" ht="15" hidden="false" customHeight="false" outlineLevel="0" collapsed="false">
      <c r="A163" s="2" t="s">
        <v>1858</v>
      </c>
      <c r="B163" s="2" t="s">
        <v>1859</v>
      </c>
      <c r="C163" s="2" t="s">
        <v>1860</v>
      </c>
      <c r="D163" s="2" t="s">
        <v>1556</v>
      </c>
      <c r="E163" s="2" t="s">
        <v>258</v>
      </c>
      <c r="F163" s="3" t="s">
        <v>36</v>
      </c>
      <c r="G163" s="2" t="s">
        <v>1861</v>
      </c>
      <c r="H163" s="2" t="s">
        <v>1862</v>
      </c>
      <c r="I163" s="2" t="s">
        <v>1863</v>
      </c>
      <c r="J163" s="2" t="s">
        <v>1864</v>
      </c>
      <c r="K163" s="2" t="s">
        <v>1865</v>
      </c>
      <c r="L163" s="2"/>
      <c r="M163" s="2"/>
      <c r="N163" s="2"/>
      <c r="O163" s="3"/>
      <c r="P163" s="2" t="s">
        <v>267</v>
      </c>
      <c r="Q163" s="2"/>
      <c r="R163" s="2" t="s">
        <v>1122</v>
      </c>
      <c r="S163" s="2"/>
      <c r="T163" s="3" t="s">
        <v>675</v>
      </c>
      <c r="U163" s="2"/>
      <c r="V163" s="2"/>
      <c r="W163" s="2"/>
      <c r="X163" s="2"/>
      <c r="Y163" s="2"/>
      <c r="Z163" s="2"/>
      <c r="AA163" s="2"/>
      <c r="AB163" s="2" t="s">
        <v>1866</v>
      </c>
      <c r="AC163" s="2"/>
      <c r="AD163" s="2"/>
      <c r="AE163" s="3" t="s">
        <v>53</v>
      </c>
    </row>
    <row r="164" customFormat="false" ht="15" hidden="false" customHeight="false" outlineLevel="0" collapsed="false">
      <c r="A164" s="2" t="s">
        <v>1867</v>
      </c>
      <c r="B164" s="2" t="s">
        <v>1859</v>
      </c>
      <c r="C164" s="2" t="s">
        <v>1868</v>
      </c>
      <c r="D164" s="2" t="s">
        <v>1556</v>
      </c>
      <c r="E164" s="2" t="s">
        <v>258</v>
      </c>
      <c r="F164" s="3" t="s">
        <v>36</v>
      </c>
      <c r="G164" s="2" t="s">
        <v>1869</v>
      </c>
      <c r="H164" s="2" t="s">
        <v>1870</v>
      </c>
      <c r="I164" s="2" t="s">
        <v>1871</v>
      </c>
      <c r="J164" s="2" t="s">
        <v>1872</v>
      </c>
      <c r="K164" s="2" t="s">
        <v>1873</v>
      </c>
      <c r="L164" s="2"/>
      <c r="M164" s="2"/>
      <c r="N164" s="2"/>
      <c r="O164" s="3"/>
      <c r="P164" s="2" t="s">
        <v>1874</v>
      </c>
      <c r="Q164" s="2"/>
      <c r="R164" s="2" t="s">
        <v>1122</v>
      </c>
      <c r="S164" s="2"/>
      <c r="T164" s="3" t="s">
        <v>675</v>
      </c>
      <c r="U164" s="2"/>
      <c r="V164" s="2"/>
      <c r="W164" s="2"/>
      <c r="X164" s="2"/>
      <c r="Y164" s="2"/>
      <c r="Z164" s="2"/>
      <c r="AA164" s="2"/>
      <c r="AB164" s="2" t="s">
        <v>1875</v>
      </c>
      <c r="AC164" s="2"/>
      <c r="AD164" s="2"/>
      <c r="AE164" s="3" t="s">
        <v>53</v>
      </c>
    </row>
    <row r="165" customFormat="false" ht="15" hidden="false" customHeight="false" outlineLevel="0" collapsed="false">
      <c r="A165" s="2" t="s">
        <v>1876</v>
      </c>
      <c r="B165" s="2" t="s">
        <v>1859</v>
      </c>
      <c r="C165" s="2" t="s">
        <v>1877</v>
      </c>
      <c r="D165" s="2" t="s">
        <v>1556</v>
      </c>
      <c r="E165" s="2" t="s">
        <v>189</v>
      </c>
      <c r="F165" s="3" t="s">
        <v>36</v>
      </c>
      <c r="G165" s="2" t="s">
        <v>1878</v>
      </c>
      <c r="H165" s="2" t="s">
        <v>1879</v>
      </c>
      <c r="I165" s="2" t="s">
        <v>1880</v>
      </c>
      <c r="J165" s="2" t="s">
        <v>1881</v>
      </c>
      <c r="K165" s="2" t="s">
        <v>1882</v>
      </c>
      <c r="L165" s="2"/>
      <c r="M165" s="2"/>
      <c r="N165" s="2"/>
      <c r="O165" s="3"/>
      <c r="P165" s="2" t="s">
        <v>1883</v>
      </c>
      <c r="Q165" s="2"/>
      <c r="R165" s="2" t="s">
        <v>1122</v>
      </c>
      <c r="S165" s="2"/>
      <c r="T165" s="3" t="s">
        <v>675</v>
      </c>
      <c r="U165" s="2"/>
      <c r="V165" s="2"/>
      <c r="W165" s="2"/>
      <c r="X165" s="2"/>
      <c r="Y165" s="2"/>
      <c r="Z165" s="2"/>
      <c r="AA165" s="2"/>
      <c r="AB165" s="2" t="s">
        <v>1884</v>
      </c>
      <c r="AC165" s="2"/>
      <c r="AD165" s="2"/>
      <c r="AE165" s="3" t="s">
        <v>53</v>
      </c>
    </row>
    <row r="166" customFormat="false" ht="15" hidden="false" customHeight="false" outlineLevel="0" collapsed="false">
      <c r="A166" s="2" t="s">
        <v>1885</v>
      </c>
      <c r="B166" s="2" t="s">
        <v>1859</v>
      </c>
      <c r="C166" s="2" t="s">
        <v>1886</v>
      </c>
      <c r="D166" s="2" t="s">
        <v>1859</v>
      </c>
      <c r="E166" s="2" t="s">
        <v>274</v>
      </c>
      <c r="F166" s="3" t="s">
        <v>101</v>
      </c>
      <c r="G166" s="2" t="s">
        <v>1887</v>
      </c>
      <c r="H166" s="2" t="s">
        <v>1888</v>
      </c>
      <c r="I166" s="2" t="s">
        <v>1889</v>
      </c>
      <c r="J166" s="2" t="s">
        <v>1890</v>
      </c>
      <c r="K166" s="2" t="s">
        <v>1891</v>
      </c>
      <c r="L166" s="2"/>
      <c r="M166" s="2"/>
      <c r="N166" s="2"/>
      <c r="O166" s="3"/>
      <c r="P166" s="2" t="s">
        <v>1892</v>
      </c>
      <c r="Q166" s="2"/>
      <c r="R166" s="2" t="s">
        <v>1122</v>
      </c>
      <c r="S166" s="2"/>
      <c r="T166" s="3" t="s">
        <v>1893</v>
      </c>
      <c r="U166" s="2"/>
      <c r="V166" s="2"/>
      <c r="W166" s="2"/>
      <c r="X166" s="2"/>
      <c r="Y166" s="2"/>
      <c r="Z166" s="2"/>
      <c r="AA166" s="2"/>
      <c r="AB166" s="2" t="s">
        <v>1894</v>
      </c>
      <c r="AC166" s="2"/>
      <c r="AD166" s="2"/>
      <c r="AE166" s="3" t="s">
        <v>53</v>
      </c>
    </row>
    <row r="167" customFormat="false" ht="15" hidden="false" customHeight="false" outlineLevel="0" collapsed="false">
      <c r="A167" s="2" t="s">
        <v>1895</v>
      </c>
      <c r="B167" s="2" t="s">
        <v>1859</v>
      </c>
      <c r="C167" s="2" t="s">
        <v>1896</v>
      </c>
      <c r="D167" s="2" t="s">
        <v>70</v>
      </c>
      <c r="E167" s="2" t="s">
        <v>70</v>
      </c>
      <c r="F167" s="3" t="s">
        <v>36</v>
      </c>
      <c r="G167" s="2" t="s">
        <v>1897</v>
      </c>
      <c r="H167" s="2" t="s">
        <v>1898</v>
      </c>
      <c r="I167" s="2" t="s">
        <v>1899</v>
      </c>
      <c r="J167" s="2" t="s">
        <v>1900</v>
      </c>
      <c r="K167" s="2" t="s">
        <v>1901</v>
      </c>
      <c r="L167" s="2"/>
      <c r="M167" s="2"/>
      <c r="N167" s="2"/>
      <c r="O167" s="3"/>
      <c r="P167" s="2" t="s">
        <v>1902</v>
      </c>
      <c r="Q167" s="2"/>
      <c r="R167" s="2" t="s">
        <v>1122</v>
      </c>
      <c r="S167" s="2"/>
      <c r="T167" s="3" t="s">
        <v>675</v>
      </c>
      <c r="U167" s="2"/>
      <c r="V167" s="2"/>
      <c r="W167" s="2"/>
      <c r="X167" s="2"/>
      <c r="Y167" s="2"/>
      <c r="Z167" s="2"/>
      <c r="AA167" s="2"/>
      <c r="AB167" s="2" t="s">
        <v>1903</v>
      </c>
      <c r="AC167" s="2"/>
      <c r="AD167" s="2"/>
      <c r="AE167" s="3" t="s">
        <v>53</v>
      </c>
    </row>
    <row r="168" customFormat="false" ht="15" hidden="false" customHeight="false" outlineLevel="0" collapsed="false">
      <c r="A168" s="2" t="s">
        <v>1904</v>
      </c>
      <c r="B168" s="2" t="s">
        <v>1859</v>
      </c>
      <c r="C168" s="2" t="s">
        <v>1905</v>
      </c>
      <c r="D168" s="2" t="s">
        <v>189</v>
      </c>
      <c r="E168" s="2" t="s">
        <v>189</v>
      </c>
      <c r="F168" s="3" t="s">
        <v>101</v>
      </c>
      <c r="G168" s="2" t="s">
        <v>1906</v>
      </c>
      <c r="H168" s="2" t="s">
        <v>1907</v>
      </c>
      <c r="I168" s="2" t="s">
        <v>1908</v>
      </c>
      <c r="J168" s="2" t="s">
        <v>1909</v>
      </c>
      <c r="K168" s="2" t="s">
        <v>1910</v>
      </c>
      <c r="L168" s="2"/>
      <c r="M168" s="2"/>
      <c r="N168" s="2"/>
      <c r="O168" s="3"/>
      <c r="P168" s="2" t="s">
        <v>1911</v>
      </c>
      <c r="Q168" s="2"/>
      <c r="R168" s="2" t="s">
        <v>1122</v>
      </c>
      <c r="S168" s="2"/>
      <c r="T168" s="3" t="s">
        <v>50</v>
      </c>
      <c r="U168" s="2"/>
      <c r="V168" s="2"/>
      <c r="W168" s="2"/>
      <c r="X168" s="2"/>
      <c r="Y168" s="2"/>
      <c r="Z168" s="2"/>
      <c r="AA168" s="2"/>
      <c r="AB168" s="2" t="s">
        <v>1912</v>
      </c>
      <c r="AC168" s="2"/>
      <c r="AD168" s="2"/>
      <c r="AE168" s="3" t="s">
        <v>53</v>
      </c>
    </row>
    <row r="169" customFormat="false" ht="15" hidden="false" customHeight="false" outlineLevel="0" collapsed="false">
      <c r="A169" s="2" t="s">
        <v>1913</v>
      </c>
      <c r="B169" s="2" t="s">
        <v>1859</v>
      </c>
      <c r="C169" s="2" t="s">
        <v>1914</v>
      </c>
      <c r="D169" s="2" t="s">
        <v>1556</v>
      </c>
      <c r="E169" s="2" t="s">
        <v>189</v>
      </c>
      <c r="F169" s="3" t="s">
        <v>36</v>
      </c>
      <c r="G169" s="2" t="s">
        <v>1915</v>
      </c>
      <c r="H169" s="2" t="s">
        <v>1916</v>
      </c>
      <c r="I169" s="2" t="s">
        <v>1917</v>
      </c>
      <c r="J169" s="2" t="s">
        <v>1918</v>
      </c>
      <c r="K169" s="2" t="s">
        <v>1919</v>
      </c>
      <c r="L169" s="2"/>
      <c r="M169" s="2"/>
      <c r="N169" s="2"/>
      <c r="O169" s="3"/>
      <c r="P169" s="2" t="s">
        <v>1920</v>
      </c>
      <c r="Q169" s="2" t="s">
        <v>1921</v>
      </c>
      <c r="R169" s="2" t="s">
        <v>1122</v>
      </c>
      <c r="S169" s="2" t="s">
        <v>1922</v>
      </c>
      <c r="T169" s="3" t="s">
        <v>50</v>
      </c>
      <c r="U169" s="2"/>
      <c r="V169" s="2"/>
      <c r="W169" s="2"/>
      <c r="X169" s="2"/>
      <c r="Y169" s="2"/>
      <c r="Z169" s="2"/>
      <c r="AA169" s="2"/>
      <c r="AB169" s="2" t="s">
        <v>1923</v>
      </c>
      <c r="AC169" s="2"/>
      <c r="AD169" s="2" t="s">
        <v>1924</v>
      </c>
      <c r="AE169" s="3" t="s">
        <v>53</v>
      </c>
    </row>
    <row r="170" customFormat="false" ht="15" hidden="false" customHeight="false" outlineLevel="0" collapsed="false">
      <c r="A170" s="2" t="s">
        <v>1925</v>
      </c>
      <c r="B170" s="2" t="s">
        <v>1859</v>
      </c>
      <c r="C170" s="2" t="s">
        <v>1926</v>
      </c>
      <c r="D170" s="2" t="s">
        <v>1556</v>
      </c>
      <c r="E170" s="2" t="s">
        <v>258</v>
      </c>
      <c r="F170" s="3" t="s">
        <v>101</v>
      </c>
      <c r="G170" s="2" t="s">
        <v>1927</v>
      </c>
      <c r="H170" s="2" t="s">
        <v>1928</v>
      </c>
      <c r="I170" s="2" t="s">
        <v>1929</v>
      </c>
      <c r="J170" s="2" t="s">
        <v>1930</v>
      </c>
      <c r="K170" s="2" t="s">
        <v>1931</v>
      </c>
      <c r="L170" s="2"/>
      <c r="M170" s="2"/>
      <c r="N170" s="2"/>
      <c r="O170" s="3"/>
      <c r="P170" s="2" t="s">
        <v>1932</v>
      </c>
      <c r="Q170" s="2"/>
      <c r="R170" s="2" t="s">
        <v>1122</v>
      </c>
      <c r="S170" s="2" t="s">
        <v>1922</v>
      </c>
      <c r="T170" s="3" t="s">
        <v>675</v>
      </c>
      <c r="U170" s="2"/>
      <c r="V170" s="2"/>
      <c r="W170" s="2"/>
      <c r="X170" s="2"/>
      <c r="Y170" s="2"/>
      <c r="Z170" s="2"/>
      <c r="AA170" s="2"/>
      <c r="AB170" s="2" t="s">
        <v>1933</v>
      </c>
      <c r="AC170" s="2"/>
      <c r="AD170" s="2" t="s">
        <v>1934</v>
      </c>
      <c r="AE170" s="3" t="s">
        <v>53</v>
      </c>
    </row>
    <row r="171" customFormat="false" ht="15" hidden="false" customHeight="false" outlineLevel="0" collapsed="false">
      <c r="A171" s="2" t="s">
        <v>1935</v>
      </c>
      <c r="B171" s="2" t="s">
        <v>1859</v>
      </c>
      <c r="C171" s="2" t="s">
        <v>1936</v>
      </c>
      <c r="D171" s="2" t="s">
        <v>1556</v>
      </c>
      <c r="E171" s="2" t="s">
        <v>258</v>
      </c>
      <c r="F171" s="3" t="s">
        <v>101</v>
      </c>
      <c r="G171" s="2" t="s">
        <v>1937</v>
      </c>
      <c r="H171" s="2" t="s">
        <v>1938</v>
      </c>
      <c r="I171" s="2" t="s">
        <v>1939</v>
      </c>
      <c r="J171" s="2" t="s">
        <v>1940</v>
      </c>
      <c r="K171" s="2" t="s">
        <v>1941</v>
      </c>
      <c r="L171" s="2"/>
      <c r="M171" s="2"/>
      <c r="N171" s="2"/>
      <c r="O171" s="3"/>
      <c r="P171" s="2" t="s">
        <v>1942</v>
      </c>
      <c r="Q171" s="2"/>
      <c r="R171" s="2" t="s">
        <v>1122</v>
      </c>
      <c r="S171" s="2" t="s">
        <v>1922</v>
      </c>
      <c r="T171" s="3" t="s">
        <v>675</v>
      </c>
      <c r="U171" s="2"/>
      <c r="V171" s="2"/>
      <c r="W171" s="2"/>
      <c r="X171" s="2"/>
      <c r="Y171" s="2"/>
      <c r="Z171" s="2"/>
      <c r="AA171" s="2"/>
      <c r="AB171" s="2" t="s">
        <v>1943</v>
      </c>
      <c r="AC171" s="2"/>
      <c r="AD171" s="2" t="s">
        <v>1944</v>
      </c>
      <c r="AE171" s="3" t="s">
        <v>53</v>
      </c>
    </row>
    <row r="172" customFormat="false" ht="15" hidden="false" customHeight="false" outlineLevel="0" collapsed="false">
      <c r="A172" s="2" t="s">
        <v>1945</v>
      </c>
      <c r="B172" s="2" t="s">
        <v>1859</v>
      </c>
      <c r="C172" s="2" t="s">
        <v>1946</v>
      </c>
      <c r="D172" s="2" t="s">
        <v>1859</v>
      </c>
      <c r="E172" s="2" t="s">
        <v>189</v>
      </c>
      <c r="F172" s="3" t="s">
        <v>36</v>
      </c>
      <c r="G172" s="2" t="s">
        <v>1947</v>
      </c>
      <c r="H172" s="2" t="s">
        <v>1948</v>
      </c>
      <c r="I172" s="2" t="s">
        <v>1949</v>
      </c>
      <c r="J172" s="2" t="s">
        <v>1950</v>
      </c>
      <c r="K172" s="2" t="s">
        <v>1951</v>
      </c>
      <c r="L172" s="2"/>
      <c r="M172" s="2"/>
      <c r="N172" s="2"/>
      <c r="O172" s="3"/>
      <c r="P172" s="2" t="s">
        <v>1952</v>
      </c>
      <c r="Q172" s="2" t="s">
        <v>1953</v>
      </c>
      <c r="R172" s="2" t="s">
        <v>1122</v>
      </c>
      <c r="S172" s="2"/>
      <c r="T172" s="3" t="s">
        <v>1893</v>
      </c>
      <c r="U172" s="2"/>
      <c r="V172" s="2"/>
      <c r="W172" s="2"/>
      <c r="X172" s="2"/>
      <c r="Y172" s="2"/>
      <c r="Z172" s="2"/>
      <c r="AA172" s="2"/>
      <c r="AB172" s="2" t="s">
        <v>1954</v>
      </c>
      <c r="AC172" s="2"/>
      <c r="AD172" s="2" t="s">
        <v>1955</v>
      </c>
      <c r="AE172" s="3" t="s">
        <v>53</v>
      </c>
    </row>
    <row r="173" customFormat="false" ht="15" hidden="false" customHeight="false" outlineLevel="0" collapsed="false">
      <c r="A173" s="2" t="s">
        <v>1956</v>
      </c>
      <c r="B173" s="2" t="s">
        <v>1859</v>
      </c>
      <c r="C173" s="2" t="s">
        <v>1957</v>
      </c>
      <c r="D173" s="2" t="s">
        <v>1556</v>
      </c>
      <c r="E173" s="2" t="s">
        <v>70</v>
      </c>
      <c r="F173" s="3" t="s">
        <v>36</v>
      </c>
      <c r="G173" s="2" t="s">
        <v>1958</v>
      </c>
      <c r="H173" s="2" t="s">
        <v>1959</v>
      </c>
      <c r="I173" s="2" t="s">
        <v>1960</v>
      </c>
      <c r="J173" s="2" t="s">
        <v>1961</v>
      </c>
      <c r="K173" s="2" t="s">
        <v>1962</v>
      </c>
      <c r="L173" s="2"/>
      <c r="M173" s="2"/>
      <c r="N173" s="2"/>
      <c r="O173" s="3"/>
      <c r="P173" s="2" t="s">
        <v>1963</v>
      </c>
      <c r="Q173" s="2" t="s">
        <v>297</v>
      </c>
      <c r="R173" s="2" t="s">
        <v>1122</v>
      </c>
      <c r="S173" s="2" t="s">
        <v>1922</v>
      </c>
      <c r="T173" s="3" t="s">
        <v>675</v>
      </c>
      <c r="U173" s="2"/>
      <c r="V173" s="2"/>
      <c r="W173" s="2"/>
      <c r="X173" s="2"/>
      <c r="Y173" s="2"/>
      <c r="Z173" s="2"/>
      <c r="AA173" s="2"/>
      <c r="AB173" s="2" t="s">
        <v>1964</v>
      </c>
      <c r="AC173" s="2"/>
      <c r="AD173" s="2" t="s">
        <v>1965</v>
      </c>
      <c r="AE173" s="3" t="s">
        <v>53</v>
      </c>
    </row>
    <row r="174" customFormat="false" ht="15" hidden="false" customHeight="false" outlineLevel="0" collapsed="false">
      <c r="A174" s="2" t="s">
        <v>1966</v>
      </c>
      <c r="B174" s="2" t="s">
        <v>1967</v>
      </c>
      <c r="C174" s="2" t="s">
        <v>1968</v>
      </c>
      <c r="D174" s="2" t="s">
        <v>1969</v>
      </c>
      <c r="E174" s="2" t="s">
        <v>258</v>
      </c>
      <c r="F174" s="3" t="s">
        <v>101</v>
      </c>
      <c r="G174" s="2" t="s">
        <v>1970</v>
      </c>
      <c r="H174" s="2" t="s">
        <v>1971</v>
      </c>
      <c r="I174" s="2" t="s">
        <v>1972</v>
      </c>
      <c r="J174" s="2" t="s">
        <v>1973</v>
      </c>
      <c r="K174" s="2" t="s">
        <v>1974</v>
      </c>
      <c r="L174" s="2"/>
      <c r="M174" s="2"/>
      <c r="N174" s="2"/>
      <c r="O174" s="3"/>
      <c r="P174" s="2"/>
      <c r="Q174" s="2"/>
      <c r="R174" s="2" t="s">
        <v>285</v>
      </c>
      <c r="S174" s="2"/>
      <c r="T174" s="3" t="s">
        <v>287</v>
      </c>
      <c r="U174" s="2"/>
      <c r="V174" s="2"/>
      <c r="W174" s="2"/>
      <c r="X174" s="2"/>
      <c r="Y174" s="2"/>
      <c r="Z174" s="2"/>
      <c r="AA174" s="2"/>
      <c r="AB174" s="2" t="s">
        <v>1975</v>
      </c>
      <c r="AC174" s="2"/>
      <c r="AD174" s="2"/>
      <c r="AE174" s="3" t="s">
        <v>53</v>
      </c>
    </row>
    <row r="175" customFormat="false" ht="15" hidden="false" customHeight="false" outlineLevel="0" collapsed="false">
      <c r="A175" s="2" t="s">
        <v>1976</v>
      </c>
      <c r="B175" s="2" t="s">
        <v>1967</v>
      </c>
      <c r="C175" s="2" t="s">
        <v>1977</v>
      </c>
      <c r="D175" s="2" t="s">
        <v>1969</v>
      </c>
      <c r="E175" s="2" t="s">
        <v>258</v>
      </c>
      <c r="F175" s="3" t="s">
        <v>101</v>
      </c>
      <c r="G175" s="2" t="s">
        <v>1978</v>
      </c>
      <c r="H175" s="2" t="s">
        <v>1979</v>
      </c>
      <c r="I175" s="2" t="s">
        <v>1980</v>
      </c>
      <c r="J175" s="2" t="s">
        <v>1981</v>
      </c>
      <c r="K175" s="2" t="s">
        <v>1982</v>
      </c>
      <c r="L175" s="2"/>
      <c r="M175" s="2"/>
      <c r="N175" s="2"/>
      <c r="O175" s="3"/>
      <c r="P175" s="2"/>
      <c r="Q175" s="2"/>
      <c r="R175" s="2" t="s">
        <v>285</v>
      </c>
      <c r="S175" s="2"/>
      <c r="T175" s="3" t="s">
        <v>287</v>
      </c>
      <c r="U175" s="2"/>
      <c r="V175" s="2"/>
      <c r="W175" s="2"/>
      <c r="X175" s="2"/>
      <c r="Y175" s="2"/>
      <c r="Z175" s="2"/>
      <c r="AA175" s="2"/>
      <c r="AB175" s="2" t="s">
        <v>1966</v>
      </c>
      <c r="AC175" s="2"/>
      <c r="AD175" s="2"/>
      <c r="AE175" s="3" t="s">
        <v>53</v>
      </c>
    </row>
    <row r="176" customFormat="false" ht="15" hidden="false" customHeight="false" outlineLevel="0" collapsed="false">
      <c r="A176" s="2" t="s">
        <v>1983</v>
      </c>
      <c r="B176" s="2" t="s">
        <v>1967</v>
      </c>
      <c r="C176" s="2" t="s">
        <v>1984</v>
      </c>
      <c r="D176" s="2" t="s">
        <v>1273</v>
      </c>
      <c r="E176" s="2" t="s">
        <v>1273</v>
      </c>
      <c r="F176" s="3" t="s">
        <v>36</v>
      </c>
      <c r="G176" s="2" t="s">
        <v>1985</v>
      </c>
      <c r="H176" s="2" t="s">
        <v>1986</v>
      </c>
      <c r="I176" s="2" t="s">
        <v>1987</v>
      </c>
      <c r="J176" s="2" t="s">
        <v>1988</v>
      </c>
      <c r="K176" s="2" t="s">
        <v>1989</v>
      </c>
      <c r="L176" s="2"/>
      <c r="M176" s="2"/>
      <c r="N176" s="2"/>
      <c r="O176" s="3"/>
      <c r="P176" s="2" t="s">
        <v>1990</v>
      </c>
      <c r="Q176" s="2"/>
      <c r="R176" s="2" t="s">
        <v>285</v>
      </c>
      <c r="S176" s="2"/>
      <c r="T176" s="3" t="s">
        <v>287</v>
      </c>
      <c r="U176" s="2"/>
      <c r="V176" s="2"/>
      <c r="W176" s="2"/>
      <c r="X176" s="2"/>
      <c r="Y176" s="2"/>
      <c r="Z176" s="2"/>
      <c r="AA176" s="2"/>
      <c r="AB176" s="2" t="s">
        <v>1991</v>
      </c>
      <c r="AC176" s="2"/>
      <c r="AD176" s="2"/>
      <c r="AE176" s="3" t="s">
        <v>53</v>
      </c>
    </row>
    <row r="177" customFormat="false" ht="15" hidden="false" customHeight="false" outlineLevel="0" collapsed="false">
      <c r="A177" s="2" t="s">
        <v>1992</v>
      </c>
      <c r="B177" s="2" t="s">
        <v>1967</v>
      </c>
      <c r="C177" s="2" t="s">
        <v>1993</v>
      </c>
      <c r="D177" s="2" t="s">
        <v>258</v>
      </c>
      <c r="E177" s="2" t="s">
        <v>258</v>
      </c>
      <c r="F177" s="3" t="s">
        <v>101</v>
      </c>
      <c r="G177" s="2" t="s">
        <v>1994</v>
      </c>
      <c r="H177" s="2" t="s">
        <v>1995</v>
      </c>
      <c r="I177" s="2" t="s">
        <v>1996</v>
      </c>
      <c r="J177" s="2" t="s">
        <v>1997</v>
      </c>
      <c r="K177" s="2" t="s">
        <v>1998</v>
      </c>
      <c r="L177" s="2"/>
      <c r="M177" s="2"/>
      <c r="N177" s="2"/>
      <c r="O177" s="3"/>
      <c r="P177" s="2" t="s">
        <v>1999</v>
      </c>
      <c r="Q177" s="2"/>
      <c r="R177" s="2" t="s">
        <v>285</v>
      </c>
      <c r="S177" s="2"/>
      <c r="T177" s="3" t="s">
        <v>675</v>
      </c>
      <c r="U177" s="2"/>
      <c r="V177" s="2"/>
      <c r="W177" s="2"/>
      <c r="X177" s="2"/>
      <c r="Y177" s="2"/>
      <c r="Z177" s="2"/>
      <c r="AA177" s="2"/>
      <c r="AB177" s="2" t="s">
        <v>2000</v>
      </c>
      <c r="AC177" s="2"/>
      <c r="AD177" s="2"/>
      <c r="AE177" s="3" t="s">
        <v>53</v>
      </c>
    </row>
    <row r="178" customFormat="false" ht="15" hidden="false" customHeight="false" outlineLevel="0" collapsed="false">
      <c r="A178" s="2" t="s">
        <v>2001</v>
      </c>
      <c r="B178" s="2" t="s">
        <v>1967</v>
      </c>
      <c r="C178" s="2" t="s">
        <v>2002</v>
      </c>
      <c r="D178" s="2" t="s">
        <v>1969</v>
      </c>
      <c r="E178" s="2" t="s">
        <v>258</v>
      </c>
      <c r="F178" s="3" t="s">
        <v>101</v>
      </c>
      <c r="G178" s="2" t="s">
        <v>2003</v>
      </c>
      <c r="H178" s="2" t="s">
        <v>2004</v>
      </c>
      <c r="I178" s="2" t="s">
        <v>2005</v>
      </c>
      <c r="J178" s="2" t="s">
        <v>2006</v>
      </c>
      <c r="K178" s="2" t="s">
        <v>2007</v>
      </c>
      <c r="L178" s="2"/>
      <c r="M178" s="2"/>
      <c r="N178" s="2"/>
      <c r="O178" s="3"/>
      <c r="P178" s="2"/>
      <c r="Q178" s="2"/>
      <c r="R178" s="2" t="s">
        <v>285</v>
      </c>
      <c r="S178" s="2"/>
      <c r="T178" s="3" t="s">
        <v>287</v>
      </c>
      <c r="U178" s="2"/>
      <c r="V178" s="2"/>
      <c r="W178" s="2"/>
      <c r="X178" s="2"/>
      <c r="Y178" s="2"/>
      <c r="Z178" s="2"/>
      <c r="AA178" s="2"/>
      <c r="AB178" s="2" t="s">
        <v>1966</v>
      </c>
      <c r="AC178" s="2"/>
      <c r="AD178" s="2"/>
      <c r="AE178" s="3" t="s">
        <v>53</v>
      </c>
    </row>
    <row r="179" customFormat="false" ht="15" hidden="false" customHeight="false" outlineLevel="0" collapsed="false">
      <c r="A179" s="2" t="s">
        <v>2008</v>
      </c>
      <c r="B179" s="2" t="s">
        <v>1967</v>
      </c>
      <c r="C179" s="2" t="s">
        <v>2009</v>
      </c>
      <c r="D179" s="2" t="s">
        <v>1969</v>
      </c>
      <c r="E179" s="2" t="s">
        <v>258</v>
      </c>
      <c r="F179" s="3" t="s">
        <v>101</v>
      </c>
      <c r="G179" s="2" t="s">
        <v>2010</v>
      </c>
      <c r="H179" s="2" t="s">
        <v>2011</v>
      </c>
      <c r="I179" s="2" t="s">
        <v>2012</v>
      </c>
      <c r="J179" s="2" t="s">
        <v>2013</v>
      </c>
      <c r="K179" s="2" t="s">
        <v>2014</v>
      </c>
      <c r="L179" s="2"/>
      <c r="M179" s="2"/>
      <c r="N179" s="2"/>
      <c r="O179" s="3"/>
      <c r="P179" s="2" t="s">
        <v>2015</v>
      </c>
      <c r="Q179" s="2"/>
      <c r="R179" s="2" t="s">
        <v>285</v>
      </c>
      <c r="S179" s="2"/>
      <c r="T179" s="3" t="s">
        <v>287</v>
      </c>
      <c r="U179" s="2"/>
      <c r="V179" s="2"/>
      <c r="W179" s="2"/>
      <c r="X179" s="2"/>
      <c r="Y179" s="2"/>
      <c r="Z179" s="2"/>
      <c r="AA179" s="2"/>
      <c r="AB179" s="2" t="s">
        <v>2016</v>
      </c>
      <c r="AC179" s="2" t="s">
        <v>2017</v>
      </c>
      <c r="AD179" s="2" t="s">
        <v>2018</v>
      </c>
      <c r="AE179" s="3" t="s">
        <v>53</v>
      </c>
    </row>
    <row r="180" customFormat="false" ht="15" hidden="false" customHeight="false" outlineLevel="0" collapsed="false">
      <c r="A180" s="2" t="s">
        <v>2019</v>
      </c>
      <c r="B180" s="2" t="s">
        <v>1967</v>
      </c>
      <c r="C180" s="2" t="s">
        <v>2020</v>
      </c>
      <c r="D180" s="2" t="s">
        <v>274</v>
      </c>
      <c r="E180" s="2" t="s">
        <v>274</v>
      </c>
      <c r="F180" s="3" t="s">
        <v>259</v>
      </c>
      <c r="G180" s="2" t="s">
        <v>2021</v>
      </c>
      <c r="H180" s="2" t="s">
        <v>2022</v>
      </c>
      <c r="I180" s="2" t="s">
        <v>2023</v>
      </c>
      <c r="J180" s="2" t="s">
        <v>2024</v>
      </c>
      <c r="K180" s="2" t="s">
        <v>2025</v>
      </c>
      <c r="L180" s="2"/>
      <c r="M180" s="2"/>
      <c r="N180" s="2"/>
      <c r="O180" s="3"/>
      <c r="P180" s="2" t="s">
        <v>2026</v>
      </c>
      <c r="Q180" s="2"/>
      <c r="R180" s="2" t="s">
        <v>285</v>
      </c>
      <c r="S180" s="2"/>
      <c r="T180" s="3" t="s">
        <v>326</v>
      </c>
      <c r="U180" s="2"/>
      <c r="V180" s="2"/>
      <c r="W180" s="2"/>
      <c r="X180" s="2"/>
      <c r="Y180" s="2"/>
      <c r="Z180" s="2"/>
      <c r="AA180" s="2"/>
      <c r="AB180" s="2" t="s">
        <v>1885</v>
      </c>
      <c r="AC180" s="2" t="s">
        <v>2027</v>
      </c>
      <c r="AD180" s="2" t="s">
        <v>2018</v>
      </c>
      <c r="AE180" s="3" t="s">
        <v>53</v>
      </c>
    </row>
    <row r="181" customFormat="false" ht="15" hidden="false" customHeight="false" outlineLevel="0" collapsed="false">
      <c r="A181" s="2" t="s">
        <v>2028</v>
      </c>
      <c r="B181" s="2" t="s">
        <v>1967</v>
      </c>
      <c r="C181" s="2" t="s">
        <v>2029</v>
      </c>
      <c r="D181" s="2" t="s">
        <v>1969</v>
      </c>
      <c r="E181" s="2" t="s">
        <v>258</v>
      </c>
      <c r="F181" s="3" t="s">
        <v>101</v>
      </c>
      <c r="G181" s="2" t="s">
        <v>2030</v>
      </c>
      <c r="H181" s="2" t="s">
        <v>2031</v>
      </c>
      <c r="I181" s="2" t="s">
        <v>2032</v>
      </c>
      <c r="J181" s="2" t="s">
        <v>2033</v>
      </c>
      <c r="K181" s="2" t="s">
        <v>2034</v>
      </c>
      <c r="L181" s="2"/>
      <c r="M181" s="2"/>
      <c r="N181" s="2"/>
      <c r="O181" s="3"/>
      <c r="P181" s="2" t="s">
        <v>1990</v>
      </c>
      <c r="Q181" s="2" t="s">
        <v>1056</v>
      </c>
      <c r="R181" s="2" t="s">
        <v>285</v>
      </c>
      <c r="S181" s="2"/>
      <c r="T181" s="3" t="s">
        <v>287</v>
      </c>
      <c r="U181" s="2"/>
      <c r="V181" s="2"/>
      <c r="W181" s="2"/>
      <c r="X181" s="2"/>
      <c r="Y181" s="2"/>
      <c r="Z181" s="2"/>
      <c r="AA181" s="2"/>
      <c r="AB181" s="2" t="s">
        <v>2035</v>
      </c>
      <c r="AC181" s="2"/>
      <c r="AD181" s="2" t="s">
        <v>1058</v>
      </c>
      <c r="AE181" s="3" t="s">
        <v>53</v>
      </c>
    </row>
    <row r="182" customFormat="false" ht="15" hidden="false" customHeight="false" outlineLevel="0" collapsed="false">
      <c r="A182" s="2" t="s">
        <v>2036</v>
      </c>
      <c r="B182" s="2" t="s">
        <v>1967</v>
      </c>
      <c r="C182" s="2" t="s">
        <v>2037</v>
      </c>
      <c r="D182" s="2" t="s">
        <v>1859</v>
      </c>
      <c r="E182" s="2" t="s">
        <v>258</v>
      </c>
      <c r="F182" s="3" t="s">
        <v>101</v>
      </c>
      <c r="G182" s="2" t="s">
        <v>2038</v>
      </c>
      <c r="H182" s="2" t="s">
        <v>2039</v>
      </c>
      <c r="I182" s="2" t="s">
        <v>2040</v>
      </c>
      <c r="J182" s="2" t="s">
        <v>2041</v>
      </c>
      <c r="K182" s="2" t="s">
        <v>2042</v>
      </c>
      <c r="L182" s="2"/>
      <c r="M182" s="2"/>
      <c r="N182" s="2"/>
      <c r="O182" s="3"/>
      <c r="P182" s="2" t="s">
        <v>1990</v>
      </c>
      <c r="Q182" s="2"/>
      <c r="R182" s="2" t="s">
        <v>285</v>
      </c>
      <c r="S182" s="2"/>
      <c r="T182" s="3" t="s">
        <v>1893</v>
      </c>
      <c r="U182" s="2"/>
      <c r="V182" s="2"/>
      <c r="W182" s="2"/>
      <c r="X182" s="2"/>
      <c r="Y182" s="2"/>
      <c r="Z182" s="2"/>
      <c r="AA182" s="2"/>
      <c r="AB182" s="2" t="s">
        <v>2043</v>
      </c>
      <c r="AC182" s="2" t="s">
        <v>2044</v>
      </c>
      <c r="AD182" s="2" t="s">
        <v>2018</v>
      </c>
      <c r="AE182" s="3" t="s">
        <v>53</v>
      </c>
    </row>
    <row r="183" customFormat="false" ht="15" hidden="false" customHeight="false" outlineLevel="0" collapsed="false">
      <c r="A183" s="2" t="s">
        <v>2045</v>
      </c>
      <c r="B183" s="2" t="s">
        <v>2046</v>
      </c>
      <c r="C183" s="2" t="s">
        <v>2047</v>
      </c>
      <c r="D183" s="2" t="s">
        <v>35</v>
      </c>
      <c r="E183" s="2" t="s">
        <v>35</v>
      </c>
      <c r="F183" s="3" t="s">
        <v>36</v>
      </c>
      <c r="G183" s="2" t="s">
        <v>2048</v>
      </c>
      <c r="H183" s="2" t="s">
        <v>2049</v>
      </c>
      <c r="I183" s="2" t="s">
        <v>2050</v>
      </c>
      <c r="J183" s="2" t="s">
        <v>2051</v>
      </c>
      <c r="K183" s="2" t="s">
        <v>2052</v>
      </c>
      <c r="L183" s="2"/>
      <c r="M183" s="2"/>
      <c r="N183" s="2"/>
      <c r="O183" s="3"/>
      <c r="P183" s="2" t="s">
        <v>2053</v>
      </c>
      <c r="Q183" s="2" t="s">
        <v>2054</v>
      </c>
      <c r="R183" s="2" t="s">
        <v>2055</v>
      </c>
      <c r="S183" s="2" t="s">
        <v>2056</v>
      </c>
      <c r="T183" s="3" t="s">
        <v>675</v>
      </c>
      <c r="U183" s="2"/>
      <c r="V183" s="2"/>
      <c r="W183" s="2"/>
      <c r="X183" s="2"/>
      <c r="Y183" s="2"/>
      <c r="Z183" s="2"/>
      <c r="AA183" s="2"/>
      <c r="AB183" s="2" t="s">
        <v>2057</v>
      </c>
      <c r="AC183" s="2"/>
      <c r="AD183" s="2" t="s">
        <v>2058</v>
      </c>
      <c r="AE183" s="3" t="s">
        <v>53</v>
      </c>
    </row>
    <row r="184" customFormat="false" ht="15" hidden="false" customHeight="false" outlineLevel="0" collapsed="false">
      <c r="A184" s="2" t="s">
        <v>2059</v>
      </c>
      <c r="B184" s="2" t="s">
        <v>2046</v>
      </c>
      <c r="C184" s="2" t="s">
        <v>2060</v>
      </c>
      <c r="D184" s="2" t="s">
        <v>35</v>
      </c>
      <c r="E184" s="2" t="s">
        <v>35</v>
      </c>
      <c r="F184" s="3" t="s">
        <v>36</v>
      </c>
      <c r="G184" s="2" t="s">
        <v>2061</v>
      </c>
      <c r="H184" s="2" t="s">
        <v>2062</v>
      </c>
      <c r="I184" s="2" t="s">
        <v>2063</v>
      </c>
      <c r="J184" s="2" t="s">
        <v>2064</v>
      </c>
      <c r="K184" s="2" t="s">
        <v>2065</v>
      </c>
      <c r="L184" s="2"/>
      <c r="M184" s="2"/>
      <c r="N184" s="2"/>
      <c r="O184" s="3"/>
      <c r="P184" s="2" t="s">
        <v>2066</v>
      </c>
      <c r="Q184" s="2" t="s">
        <v>64</v>
      </c>
      <c r="R184" s="2" t="s">
        <v>2067</v>
      </c>
      <c r="S184" s="2" t="s">
        <v>2056</v>
      </c>
      <c r="T184" s="3" t="s">
        <v>675</v>
      </c>
      <c r="U184" s="2"/>
      <c r="V184" s="2"/>
      <c r="W184" s="2"/>
      <c r="X184" s="2"/>
      <c r="Y184" s="2"/>
      <c r="Z184" s="2"/>
      <c r="AA184" s="2"/>
      <c r="AB184" s="2" t="s">
        <v>2068</v>
      </c>
      <c r="AC184" s="2"/>
      <c r="AD184" s="2" t="s">
        <v>2069</v>
      </c>
      <c r="AE184" s="3" t="s">
        <v>53</v>
      </c>
    </row>
    <row r="185" customFormat="false" ht="15" hidden="false" customHeight="false" outlineLevel="0" collapsed="false">
      <c r="A185" s="2" t="s">
        <v>2070</v>
      </c>
      <c r="B185" s="2" t="s">
        <v>2046</v>
      </c>
      <c r="C185" s="2" t="s">
        <v>2071</v>
      </c>
      <c r="D185" s="2" t="s">
        <v>35</v>
      </c>
      <c r="E185" s="2" t="s">
        <v>35</v>
      </c>
      <c r="F185" s="3" t="s">
        <v>36</v>
      </c>
      <c r="G185" s="2" t="s">
        <v>2072</v>
      </c>
      <c r="H185" s="2" t="s">
        <v>2073</v>
      </c>
      <c r="I185" s="2" t="s">
        <v>2074</v>
      </c>
      <c r="J185" s="2" t="s">
        <v>2075</v>
      </c>
      <c r="K185" s="2" t="s">
        <v>2076</v>
      </c>
      <c r="L185" s="2"/>
      <c r="M185" s="2"/>
      <c r="N185" s="2"/>
      <c r="O185" s="3"/>
      <c r="P185" s="2" t="s">
        <v>2077</v>
      </c>
      <c r="Q185" s="2" t="s">
        <v>2078</v>
      </c>
      <c r="R185" s="2" t="s">
        <v>2079</v>
      </c>
      <c r="S185" s="2" t="s">
        <v>2080</v>
      </c>
      <c r="T185" s="3" t="s">
        <v>675</v>
      </c>
      <c r="U185" s="2"/>
      <c r="V185" s="2"/>
      <c r="W185" s="2"/>
      <c r="X185" s="2"/>
      <c r="Y185" s="2"/>
      <c r="Z185" s="2"/>
      <c r="AA185" s="2"/>
      <c r="AB185" s="2" t="s">
        <v>2081</v>
      </c>
      <c r="AC185" s="2"/>
      <c r="AD185" s="2" t="s">
        <v>2082</v>
      </c>
      <c r="AE185" s="3" t="s">
        <v>53</v>
      </c>
    </row>
    <row r="186" customFormat="false" ht="15" hidden="false" customHeight="false" outlineLevel="0" collapsed="false">
      <c r="A186" s="2" t="s">
        <v>2083</v>
      </c>
      <c r="B186" s="2" t="s">
        <v>2046</v>
      </c>
      <c r="C186" s="2" t="s">
        <v>2084</v>
      </c>
      <c r="D186" s="2" t="s">
        <v>189</v>
      </c>
      <c r="E186" s="2" t="s">
        <v>189</v>
      </c>
      <c r="F186" s="3" t="s">
        <v>36</v>
      </c>
      <c r="G186" s="2" t="s">
        <v>2085</v>
      </c>
      <c r="H186" s="2" t="s">
        <v>2086</v>
      </c>
      <c r="I186" s="2" t="s">
        <v>2087</v>
      </c>
      <c r="J186" s="2" t="s">
        <v>2088</v>
      </c>
      <c r="K186" s="2" t="s">
        <v>2089</v>
      </c>
      <c r="L186" s="2"/>
      <c r="M186" s="2"/>
      <c r="N186" s="2"/>
      <c r="O186" s="3"/>
      <c r="P186" s="2" t="s">
        <v>2090</v>
      </c>
      <c r="Q186" s="2" t="s">
        <v>2091</v>
      </c>
      <c r="R186" s="2" t="s">
        <v>2092</v>
      </c>
      <c r="S186" s="2" t="s">
        <v>2056</v>
      </c>
      <c r="T186" s="3" t="s">
        <v>50</v>
      </c>
      <c r="U186" s="2"/>
      <c r="V186" s="2"/>
      <c r="W186" s="2"/>
      <c r="X186" s="2"/>
      <c r="Y186" s="2"/>
      <c r="Z186" s="2"/>
      <c r="AA186" s="2"/>
      <c r="AB186" s="2" t="s">
        <v>2093</v>
      </c>
      <c r="AC186" s="2"/>
      <c r="AD186" s="2" t="s">
        <v>2094</v>
      </c>
      <c r="AE186" s="3" t="s">
        <v>53</v>
      </c>
    </row>
    <row r="187" customFormat="false" ht="15" hidden="false" customHeight="false" outlineLevel="0" collapsed="false">
      <c r="A187" s="2" t="s">
        <v>2095</v>
      </c>
      <c r="B187" s="2" t="s">
        <v>2046</v>
      </c>
      <c r="C187" s="2" t="s">
        <v>2096</v>
      </c>
      <c r="D187" s="2" t="s">
        <v>315</v>
      </c>
      <c r="E187" s="2" t="s">
        <v>189</v>
      </c>
      <c r="F187" s="3" t="s">
        <v>36</v>
      </c>
      <c r="G187" s="2" t="s">
        <v>2097</v>
      </c>
      <c r="H187" s="2" t="s">
        <v>2098</v>
      </c>
      <c r="I187" s="2" t="s">
        <v>2099</v>
      </c>
      <c r="J187" s="2" t="s">
        <v>2100</v>
      </c>
      <c r="K187" s="2" t="s">
        <v>2101</v>
      </c>
      <c r="L187" s="2"/>
      <c r="M187" s="2"/>
      <c r="N187" s="2"/>
      <c r="O187" s="3"/>
      <c r="P187" s="2" t="s">
        <v>2102</v>
      </c>
      <c r="Q187" s="2" t="s">
        <v>2103</v>
      </c>
      <c r="R187" s="2" t="s">
        <v>285</v>
      </c>
      <c r="S187" s="2"/>
      <c r="T187" s="3" t="s">
        <v>287</v>
      </c>
      <c r="U187" s="2"/>
      <c r="V187" s="2"/>
      <c r="W187" s="2"/>
      <c r="X187" s="2"/>
      <c r="Y187" s="2"/>
      <c r="Z187" s="2"/>
      <c r="AA187" s="2"/>
      <c r="AB187" s="2" t="s">
        <v>2104</v>
      </c>
      <c r="AC187" s="2" t="s">
        <v>2105</v>
      </c>
      <c r="AD187" s="2" t="s">
        <v>2106</v>
      </c>
      <c r="AE187" s="3" t="s">
        <v>53</v>
      </c>
    </row>
    <row r="188" customFormat="false" ht="15" hidden="false" customHeight="false" outlineLevel="0" collapsed="false">
      <c r="A188" s="2" t="s">
        <v>2107</v>
      </c>
      <c r="B188" s="2" t="s">
        <v>2046</v>
      </c>
      <c r="C188" s="2" t="s">
        <v>2108</v>
      </c>
      <c r="D188" s="2" t="s">
        <v>273</v>
      </c>
      <c r="E188" s="2" t="s">
        <v>70</v>
      </c>
      <c r="F188" s="3" t="s">
        <v>36</v>
      </c>
      <c r="G188" s="2" t="s">
        <v>2109</v>
      </c>
      <c r="H188" s="2" t="s">
        <v>2110</v>
      </c>
      <c r="I188" s="2" t="s">
        <v>2111</v>
      </c>
      <c r="J188" s="2" t="s">
        <v>2112</v>
      </c>
      <c r="K188" s="2" t="s">
        <v>2113</v>
      </c>
      <c r="L188" s="2"/>
      <c r="M188" s="2"/>
      <c r="N188" s="2"/>
      <c r="O188" s="3"/>
      <c r="P188" s="2" t="s">
        <v>2114</v>
      </c>
      <c r="Q188" s="2" t="s">
        <v>2115</v>
      </c>
      <c r="R188" s="2" t="s">
        <v>285</v>
      </c>
      <c r="S188" s="2" t="s">
        <v>1922</v>
      </c>
      <c r="T188" s="3" t="s">
        <v>675</v>
      </c>
      <c r="U188" s="2"/>
      <c r="V188" s="2"/>
      <c r="W188" s="2"/>
      <c r="X188" s="2"/>
      <c r="Y188" s="2"/>
      <c r="Z188" s="2"/>
      <c r="AA188" s="2"/>
      <c r="AB188" s="2" t="s">
        <v>2116</v>
      </c>
      <c r="AC188" s="2" t="s">
        <v>2117</v>
      </c>
      <c r="AD188" s="2" t="s">
        <v>2118</v>
      </c>
      <c r="AE188" s="3" t="s">
        <v>53</v>
      </c>
    </row>
    <row r="189" customFormat="false" ht="15" hidden="false" customHeight="false" outlineLevel="0" collapsed="false">
      <c r="A189" s="2" t="s">
        <v>2119</v>
      </c>
      <c r="B189" s="2" t="s">
        <v>2046</v>
      </c>
      <c r="C189" s="2" t="s">
        <v>2120</v>
      </c>
      <c r="D189" s="2" t="s">
        <v>874</v>
      </c>
      <c r="E189" s="2" t="s">
        <v>35</v>
      </c>
      <c r="F189" s="3" t="s">
        <v>36</v>
      </c>
      <c r="G189" s="2" t="s">
        <v>2121</v>
      </c>
      <c r="H189" s="2" t="s">
        <v>2122</v>
      </c>
      <c r="I189" s="2" t="s">
        <v>2123</v>
      </c>
      <c r="J189" s="2" t="s">
        <v>2124</v>
      </c>
      <c r="K189" s="2" t="s">
        <v>2125</v>
      </c>
      <c r="L189" s="2" t="s">
        <v>348</v>
      </c>
      <c r="M189" s="2"/>
      <c r="N189" s="2"/>
      <c r="O189" s="3"/>
      <c r="P189" s="2" t="s">
        <v>2126</v>
      </c>
      <c r="Q189" s="2" t="s">
        <v>351</v>
      </c>
      <c r="R189" s="2" t="s">
        <v>2055</v>
      </c>
      <c r="S189" s="2" t="s">
        <v>1067</v>
      </c>
      <c r="T189" s="3" t="s">
        <v>675</v>
      </c>
      <c r="U189" s="2"/>
      <c r="V189" s="2"/>
      <c r="W189" s="2"/>
      <c r="X189" s="2"/>
      <c r="Y189" s="2"/>
      <c r="Z189" s="2"/>
      <c r="AA189" s="2"/>
      <c r="AB189" s="2" t="s">
        <v>2127</v>
      </c>
      <c r="AC189" s="2"/>
      <c r="AD189" s="2" t="s">
        <v>1146</v>
      </c>
      <c r="AE189" s="3" t="s">
        <v>53</v>
      </c>
    </row>
    <row r="190" customFormat="false" ht="15" hidden="false" customHeight="false" outlineLevel="0" collapsed="false">
      <c r="A190" s="2" t="s">
        <v>2128</v>
      </c>
      <c r="B190" s="2" t="s">
        <v>2129</v>
      </c>
      <c r="C190" s="2" t="s">
        <v>2130</v>
      </c>
      <c r="D190" s="2" t="s">
        <v>69</v>
      </c>
      <c r="E190" s="2" t="s">
        <v>70</v>
      </c>
      <c r="F190" s="3" t="s">
        <v>36</v>
      </c>
      <c r="G190" s="2" t="s">
        <v>2131</v>
      </c>
      <c r="H190" s="2" t="s">
        <v>2132</v>
      </c>
      <c r="I190" s="2" t="s">
        <v>2133</v>
      </c>
      <c r="J190" s="2" t="s">
        <v>2134</v>
      </c>
      <c r="K190" s="2" t="s">
        <v>2135</v>
      </c>
      <c r="L190" s="2"/>
      <c r="M190" s="2"/>
      <c r="N190" s="2"/>
      <c r="O190" s="3"/>
      <c r="P190" s="2"/>
      <c r="Q190" s="2" t="s">
        <v>2136</v>
      </c>
      <c r="R190" s="2" t="s">
        <v>2137</v>
      </c>
      <c r="S190" s="2"/>
      <c r="T190" s="3" t="s">
        <v>82</v>
      </c>
      <c r="U190" s="2"/>
      <c r="V190" s="2"/>
      <c r="W190" s="2"/>
      <c r="X190" s="2"/>
      <c r="Y190" s="2"/>
      <c r="Z190" s="2"/>
      <c r="AA190" s="2"/>
      <c r="AB190" s="2" t="s">
        <v>2138</v>
      </c>
      <c r="AC190" s="2" t="s">
        <v>2139</v>
      </c>
      <c r="AD190" s="2" t="s">
        <v>2140</v>
      </c>
      <c r="AE190" s="3" t="s">
        <v>53</v>
      </c>
    </row>
    <row r="191" customFormat="false" ht="15" hidden="false" customHeight="false" outlineLevel="0" collapsed="false">
      <c r="A191" s="2" t="s">
        <v>2141</v>
      </c>
      <c r="B191" s="2" t="s">
        <v>2129</v>
      </c>
      <c r="C191" s="2" t="s">
        <v>2142</v>
      </c>
      <c r="D191" s="2" t="s">
        <v>315</v>
      </c>
      <c r="E191" s="2" t="s">
        <v>316</v>
      </c>
      <c r="F191" s="3" t="s">
        <v>101</v>
      </c>
      <c r="G191" s="2" t="s">
        <v>2143</v>
      </c>
      <c r="H191" s="2" t="s">
        <v>2144</v>
      </c>
      <c r="I191" s="2" t="s">
        <v>2145</v>
      </c>
      <c r="J191" s="2" t="s">
        <v>2146</v>
      </c>
      <c r="K191" s="2" t="s">
        <v>2147</v>
      </c>
      <c r="L191" s="2"/>
      <c r="M191" s="2"/>
      <c r="N191" s="2"/>
      <c r="O191" s="3"/>
      <c r="P191" s="2"/>
      <c r="Q191" s="2" t="s">
        <v>2148</v>
      </c>
      <c r="R191" s="2" t="s">
        <v>2137</v>
      </c>
      <c r="S191" s="2"/>
      <c r="T191" s="3" t="s">
        <v>326</v>
      </c>
      <c r="U191" s="2"/>
      <c r="V191" s="2"/>
      <c r="W191" s="2"/>
      <c r="X191" s="2"/>
      <c r="Y191" s="2"/>
      <c r="Z191" s="2"/>
      <c r="AA191" s="2"/>
      <c r="AB191" s="2" t="s">
        <v>2149</v>
      </c>
      <c r="AC191" s="2" t="s">
        <v>2150</v>
      </c>
      <c r="AD191" s="2" t="s">
        <v>2151</v>
      </c>
      <c r="AE191" s="3" t="s">
        <v>53</v>
      </c>
    </row>
    <row r="192" customFormat="false" ht="15" hidden="false" customHeight="false" outlineLevel="0" collapsed="false">
      <c r="A192" s="2" t="s">
        <v>2152</v>
      </c>
      <c r="B192" s="2" t="s">
        <v>2129</v>
      </c>
      <c r="C192" s="2" t="s">
        <v>2153</v>
      </c>
      <c r="D192" s="2" t="s">
        <v>69</v>
      </c>
      <c r="E192" s="2" t="s">
        <v>70</v>
      </c>
      <c r="F192" s="3" t="s">
        <v>36</v>
      </c>
      <c r="G192" s="2" t="s">
        <v>2154</v>
      </c>
      <c r="H192" s="2" t="s">
        <v>2155</v>
      </c>
      <c r="I192" s="2" t="s">
        <v>2156</v>
      </c>
      <c r="J192" s="2" t="s">
        <v>2157</v>
      </c>
      <c r="K192" s="2" t="s">
        <v>2158</v>
      </c>
      <c r="L192" s="2" t="s">
        <v>76</v>
      </c>
      <c r="M192" s="2"/>
      <c r="N192" s="2"/>
      <c r="O192" s="3" t="s">
        <v>93</v>
      </c>
      <c r="P192" s="2" t="s">
        <v>2159</v>
      </c>
      <c r="Q192" s="2" t="s">
        <v>2160</v>
      </c>
      <c r="R192" s="2" t="s">
        <v>2137</v>
      </c>
      <c r="S192" s="2"/>
      <c r="T192" s="3" t="s">
        <v>82</v>
      </c>
      <c r="U192" s="2"/>
      <c r="V192" s="2"/>
      <c r="W192" s="2"/>
      <c r="X192" s="2"/>
      <c r="Y192" s="2"/>
      <c r="Z192" s="2"/>
      <c r="AA192" s="2"/>
      <c r="AB192" s="2" t="s">
        <v>2161</v>
      </c>
      <c r="AC192" s="2" t="s">
        <v>2162</v>
      </c>
      <c r="AD192" s="2" t="s">
        <v>2163</v>
      </c>
      <c r="AE192" s="3" t="s">
        <v>53</v>
      </c>
    </row>
    <row r="193" customFormat="false" ht="15" hidden="false" customHeight="false" outlineLevel="0" collapsed="false">
      <c r="A193" s="2" t="s">
        <v>2164</v>
      </c>
      <c r="B193" s="2" t="s">
        <v>2129</v>
      </c>
      <c r="C193" s="2" t="s">
        <v>2165</v>
      </c>
      <c r="D193" s="2" t="s">
        <v>34</v>
      </c>
      <c r="E193" s="2" t="s">
        <v>70</v>
      </c>
      <c r="F193" s="3" t="s">
        <v>36</v>
      </c>
      <c r="G193" s="2" t="s">
        <v>2166</v>
      </c>
      <c r="H193" s="2" t="s">
        <v>2167</v>
      </c>
      <c r="I193" s="2" t="s">
        <v>2168</v>
      </c>
      <c r="J193" s="2" t="s">
        <v>2169</v>
      </c>
      <c r="K193" s="2" t="s">
        <v>2170</v>
      </c>
      <c r="L193" s="2" t="s">
        <v>42</v>
      </c>
      <c r="M193" s="2" t="s">
        <v>61</v>
      </c>
      <c r="N193" s="2"/>
      <c r="O193" s="3" t="s">
        <v>45</v>
      </c>
      <c r="P193" s="2" t="s">
        <v>2171</v>
      </c>
      <c r="Q193" s="2" t="s">
        <v>2172</v>
      </c>
      <c r="R193" s="2" t="s">
        <v>2137</v>
      </c>
      <c r="S193" s="2"/>
      <c r="T193" s="3" t="s">
        <v>50</v>
      </c>
      <c r="U193" s="2"/>
      <c r="V193" s="2"/>
      <c r="W193" s="2"/>
      <c r="X193" s="2"/>
      <c r="Y193" s="2"/>
      <c r="Z193" s="2"/>
      <c r="AA193" s="2"/>
      <c r="AB193" s="2" t="s">
        <v>2173</v>
      </c>
      <c r="AC193" s="2" t="s">
        <v>2174</v>
      </c>
      <c r="AD193" s="2" t="s">
        <v>2175</v>
      </c>
      <c r="AE193" s="3" t="s">
        <v>53</v>
      </c>
    </row>
    <row r="194" customFormat="false" ht="15" hidden="false" customHeight="false" outlineLevel="0" collapsed="false">
      <c r="A194" s="2" t="s">
        <v>2176</v>
      </c>
      <c r="B194" s="2" t="s">
        <v>2129</v>
      </c>
      <c r="C194" s="2" t="s">
        <v>2177</v>
      </c>
      <c r="D194" s="2" t="s">
        <v>149</v>
      </c>
      <c r="E194" s="2" t="s">
        <v>1273</v>
      </c>
      <c r="F194" s="3" t="s">
        <v>101</v>
      </c>
      <c r="G194" s="2" t="s">
        <v>2178</v>
      </c>
      <c r="H194" s="2" t="s">
        <v>2179</v>
      </c>
      <c r="I194" s="2" t="s">
        <v>2180</v>
      </c>
      <c r="J194" s="2" t="s">
        <v>2181</v>
      </c>
      <c r="K194" s="2" t="s">
        <v>2182</v>
      </c>
      <c r="L194" s="2" t="s">
        <v>155</v>
      </c>
      <c r="M194" s="2"/>
      <c r="N194" s="2"/>
      <c r="O194" s="3"/>
      <c r="P194" s="2" t="s">
        <v>811</v>
      </c>
      <c r="Q194" s="2" t="s">
        <v>2183</v>
      </c>
      <c r="R194" s="2" t="s">
        <v>2137</v>
      </c>
      <c r="S194" s="2"/>
      <c r="T194" s="3" t="s">
        <v>82</v>
      </c>
      <c r="U194" s="2"/>
      <c r="V194" s="2"/>
      <c r="W194" s="2"/>
      <c r="X194" s="2"/>
      <c r="Y194" s="2"/>
      <c r="Z194" s="2"/>
      <c r="AA194" s="2"/>
      <c r="AB194" s="2" t="s">
        <v>2184</v>
      </c>
      <c r="AC194" s="2" t="s">
        <v>2185</v>
      </c>
      <c r="AD194" s="2" t="s">
        <v>2186</v>
      </c>
      <c r="AE194" s="3" t="s">
        <v>53</v>
      </c>
    </row>
    <row r="195" customFormat="false" ht="15" hidden="false" customHeight="false" outlineLevel="0" collapsed="false">
      <c r="A195" s="2" t="s">
        <v>2187</v>
      </c>
      <c r="B195" s="2" t="s">
        <v>2129</v>
      </c>
      <c r="C195" s="2" t="s">
        <v>2188</v>
      </c>
      <c r="D195" s="2" t="s">
        <v>747</v>
      </c>
      <c r="E195" s="2" t="s">
        <v>7</v>
      </c>
      <c r="F195" s="3" t="s">
        <v>101</v>
      </c>
      <c r="G195" s="2" t="s">
        <v>2189</v>
      </c>
      <c r="H195" s="2" t="s">
        <v>2190</v>
      </c>
      <c r="I195" s="2" t="s">
        <v>2191</v>
      </c>
      <c r="J195" s="2" t="s">
        <v>2192</v>
      </c>
      <c r="K195" s="2" t="s">
        <v>2193</v>
      </c>
      <c r="L195" s="2" t="s">
        <v>336</v>
      </c>
      <c r="M195" s="2" t="s">
        <v>753</v>
      </c>
      <c r="N195" s="2"/>
      <c r="O195" s="3" t="s">
        <v>266</v>
      </c>
      <c r="P195" s="2" t="s">
        <v>754</v>
      </c>
      <c r="Q195" s="2" t="s">
        <v>2194</v>
      </c>
      <c r="R195" s="2" t="s">
        <v>2137</v>
      </c>
      <c r="S195" s="2"/>
      <c r="T195" s="3" t="s">
        <v>82</v>
      </c>
      <c r="U195" s="2"/>
      <c r="V195" s="2"/>
      <c r="W195" s="2"/>
      <c r="X195" s="2"/>
      <c r="Y195" s="2"/>
      <c r="Z195" s="2"/>
      <c r="AA195" s="2"/>
      <c r="AB195" s="2" t="s">
        <v>464</v>
      </c>
      <c r="AC195" s="2" t="s">
        <v>2195</v>
      </c>
      <c r="AD195" s="2" t="s">
        <v>2196</v>
      </c>
      <c r="AE195" s="3" t="s">
        <v>53</v>
      </c>
    </row>
    <row r="196" customFormat="false" ht="15" hidden="false" customHeight="false" outlineLevel="0" collapsed="false">
      <c r="A196" s="2" t="s">
        <v>2197</v>
      </c>
      <c r="B196" s="2" t="s">
        <v>2129</v>
      </c>
      <c r="C196" s="2" t="s">
        <v>2198</v>
      </c>
      <c r="D196" s="2" t="s">
        <v>273</v>
      </c>
      <c r="E196" s="2" t="s">
        <v>258</v>
      </c>
      <c r="F196" s="3" t="s">
        <v>36</v>
      </c>
      <c r="G196" s="2" t="s">
        <v>2199</v>
      </c>
      <c r="H196" s="2" t="s">
        <v>2200</v>
      </c>
      <c r="I196" s="2" t="s">
        <v>2201</v>
      </c>
      <c r="J196" s="2" t="s">
        <v>2202</v>
      </c>
      <c r="K196" s="2" t="s">
        <v>2203</v>
      </c>
      <c r="L196" s="2" t="s">
        <v>2204</v>
      </c>
      <c r="M196" s="2"/>
      <c r="N196" s="2"/>
      <c r="O196" s="3" t="s">
        <v>282</v>
      </c>
      <c r="P196" s="2" t="s">
        <v>2205</v>
      </c>
      <c r="Q196" s="2" t="s">
        <v>2206</v>
      </c>
      <c r="R196" s="2" t="s">
        <v>285</v>
      </c>
      <c r="S196" s="2" t="s">
        <v>1067</v>
      </c>
      <c r="T196" s="3" t="s">
        <v>82</v>
      </c>
      <c r="U196" s="2"/>
      <c r="V196" s="2"/>
      <c r="W196" s="2"/>
      <c r="X196" s="2"/>
      <c r="Y196" s="2"/>
      <c r="Z196" s="2"/>
      <c r="AA196" s="2"/>
      <c r="AB196" s="2" t="s">
        <v>2207</v>
      </c>
      <c r="AC196" s="2" t="s">
        <v>2208</v>
      </c>
      <c r="AD196" s="2" t="s">
        <v>2209</v>
      </c>
      <c r="AE196" s="3" t="s">
        <v>53</v>
      </c>
    </row>
    <row r="197" customFormat="false" ht="15" hidden="false" customHeight="false" outlineLevel="0" collapsed="false">
      <c r="A197" s="2" t="s">
        <v>2210</v>
      </c>
      <c r="B197" s="2" t="s">
        <v>861</v>
      </c>
      <c r="C197" s="2" t="s">
        <v>2211</v>
      </c>
      <c r="D197" s="2" t="s">
        <v>2212</v>
      </c>
      <c r="E197" s="2" t="s">
        <v>35</v>
      </c>
      <c r="F197" s="3" t="s">
        <v>86</v>
      </c>
      <c r="G197" s="2" t="s">
        <v>2213</v>
      </c>
      <c r="H197" s="2" t="s">
        <v>2214</v>
      </c>
      <c r="I197" s="2" t="s">
        <v>2215</v>
      </c>
      <c r="J197" s="2" t="s">
        <v>2216</v>
      </c>
      <c r="K197" s="2" t="s">
        <v>2217</v>
      </c>
      <c r="L197" s="2"/>
      <c r="M197" s="2"/>
      <c r="N197" s="2"/>
      <c r="O197" s="3"/>
      <c r="P197" s="2" t="s">
        <v>2218</v>
      </c>
      <c r="Q197" s="2" t="s">
        <v>2219</v>
      </c>
      <c r="R197" s="2" t="s">
        <v>2220</v>
      </c>
      <c r="S197" s="2" t="s">
        <v>861</v>
      </c>
      <c r="T197" s="3" t="s">
        <v>50</v>
      </c>
      <c r="U197" s="2"/>
      <c r="V197" s="4" t="n">
        <v>10</v>
      </c>
      <c r="W197" s="2" t="s">
        <v>2221</v>
      </c>
      <c r="X197" s="2" t="s">
        <v>2222</v>
      </c>
      <c r="Y197" s="2" t="s">
        <v>2223</v>
      </c>
      <c r="Z197" s="2" t="s">
        <v>2224</v>
      </c>
      <c r="AA197" s="2" t="s">
        <v>2225</v>
      </c>
      <c r="AB197" s="2" t="s">
        <v>2226</v>
      </c>
      <c r="AC197" s="2" t="s">
        <v>2227</v>
      </c>
      <c r="AD197" s="2" t="s">
        <v>2228</v>
      </c>
      <c r="AE197" s="3" t="s">
        <v>53</v>
      </c>
    </row>
    <row r="198" customFormat="false" ht="15" hidden="false" customHeight="false" outlineLevel="0" collapsed="false">
      <c r="A198" s="2" t="s">
        <v>2229</v>
      </c>
      <c r="B198" s="2" t="s">
        <v>861</v>
      </c>
      <c r="C198" s="2" t="s">
        <v>2230</v>
      </c>
      <c r="D198" s="2" t="s">
        <v>2212</v>
      </c>
      <c r="E198" s="2" t="s">
        <v>35</v>
      </c>
      <c r="F198" s="3" t="s">
        <v>86</v>
      </c>
      <c r="G198" s="2" t="s">
        <v>2231</v>
      </c>
      <c r="H198" s="2" t="s">
        <v>2232</v>
      </c>
      <c r="I198" s="2" t="s">
        <v>2233</v>
      </c>
      <c r="J198" s="2" t="s">
        <v>2234</v>
      </c>
      <c r="K198" s="2" t="s">
        <v>2235</v>
      </c>
      <c r="L198" s="2"/>
      <c r="M198" s="2"/>
      <c r="N198" s="2"/>
      <c r="O198" s="3"/>
      <c r="P198" s="2" t="s">
        <v>2236</v>
      </c>
      <c r="Q198" s="2" t="s">
        <v>2237</v>
      </c>
      <c r="R198" s="2" t="s">
        <v>2238</v>
      </c>
      <c r="S198" s="2" t="s">
        <v>861</v>
      </c>
      <c r="T198" s="3" t="s">
        <v>50</v>
      </c>
      <c r="U198" s="2"/>
      <c r="V198" s="4" t="n">
        <v>7.5</v>
      </c>
      <c r="W198" s="2" t="s">
        <v>2239</v>
      </c>
      <c r="X198" s="2" t="s">
        <v>2240</v>
      </c>
      <c r="Y198" s="2" t="s">
        <v>2241</v>
      </c>
      <c r="Z198" s="2" t="s">
        <v>2242</v>
      </c>
      <c r="AA198" s="2" t="s">
        <v>2243</v>
      </c>
      <c r="AB198" s="2" t="s">
        <v>2244</v>
      </c>
      <c r="AC198" s="2" t="s">
        <v>2245</v>
      </c>
      <c r="AD198" s="2" t="s">
        <v>2246</v>
      </c>
      <c r="AE198" s="3" t="s">
        <v>53</v>
      </c>
    </row>
    <row r="199" customFormat="false" ht="15" hidden="false" customHeight="false" outlineLevel="0" collapsed="false">
      <c r="A199" s="2" t="s">
        <v>2247</v>
      </c>
      <c r="B199" s="2" t="s">
        <v>861</v>
      </c>
      <c r="C199" s="2" t="s">
        <v>2248</v>
      </c>
      <c r="D199" s="2" t="s">
        <v>2212</v>
      </c>
      <c r="E199" s="2" t="s">
        <v>35</v>
      </c>
      <c r="F199" s="3" t="s">
        <v>86</v>
      </c>
      <c r="G199" s="2" t="s">
        <v>2249</v>
      </c>
      <c r="H199" s="2" t="s">
        <v>2250</v>
      </c>
      <c r="I199" s="2" t="s">
        <v>2251</v>
      </c>
      <c r="J199" s="2" t="s">
        <v>2252</v>
      </c>
      <c r="K199" s="2" t="s">
        <v>2253</v>
      </c>
      <c r="L199" s="2"/>
      <c r="M199" s="2"/>
      <c r="N199" s="2"/>
      <c r="O199" s="3"/>
      <c r="P199" s="2" t="s">
        <v>2254</v>
      </c>
      <c r="Q199" s="2" t="s">
        <v>1817</v>
      </c>
      <c r="R199" s="2" t="s">
        <v>1258</v>
      </c>
      <c r="S199" s="2" t="s">
        <v>861</v>
      </c>
      <c r="T199" s="3" t="s">
        <v>50</v>
      </c>
      <c r="U199" s="2"/>
      <c r="V199" s="4" t="n">
        <v>8.8</v>
      </c>
      <c r="W199" s="2" t="s">
        <v>2255</v>
      </c>
      <c r="X199" s="2" t="s">
        <v>2256</v>
      </c>
      <c r="Y199" s="2" t="s">
        <v>2257</v>
      </c>
      <c r="Z199" s="2" t="s">
        <v>2258</v>
      </c>
      <c r="AA199" s="2" t="s">
        <v>2259</v>
      </c>
      <c r="AB199" s="2" t="s">
        <v>2260</v>
      </c>
      <c r="AC199" s="2" t="s">
        <v>2261</v>
      </c>
      <c r="AD199" s="2" t="s">
        <v>2262</v>
      </c>
      <c r="AE199" s="3" t="s">
        <v>53</v>
      </c>
    </row>
    <row r="200" customFormat="false" ht="15" hidden="false" customHeight="false" outlineLevel="0" collapsed="false">
      <c r="A200" s="2" t="s">
        <v>2263</v>
      </c>
      <c r="B200" s="2" t="s">
        <v>861</v>
      </c>
      <c r="C200" s="2" t="s">
        <v>2264</v>
      </c>
      <c r="D200" s="2" t="s">
        <v>2212</v>
      </c>
      <c r="E200" s="2" t="s">
        <v>35</v>
      </c>
      <c r="F200" s="3" t="s">
        <v>36</v>
      </c>
      <c r="G200" s="2" t="s">
        <v>2265</v>
      </c>
      <c r="H200" s="2" t="s">
        <v>2266</v>
      </c>
      <c r="I200" s="2" t="s">
        <v>2267</v>
      </c>
      <c r="J200" s="2" t="s">
        <v>2268</v>
      </c>
      <c r="K200" s="2" t="s">
        <v>2269</v>
      </c>
      <c r="L200" s="2"/>
      <c r="M200" s="2"/>
      <c r="N200" s="2"/>
      <c r="O200" s="3"/>
      <c r="P200" s="2" t="s">
        <v>1257</v>
      </c>
      <c r="Q200" s="2" t="s">
        <v>2270</v>
      </c>
      <c r="R200" s="2" t="s">
        <v>1258</v>
      </c>
      <c r="S200" s="2" t="s">
        <v>861</v>
      </c>
      <c r="T200" s="3" t="s">
        <v>50</v>
      </c>
      <c r="U200" s="2"/>
      <c r="V200" s="4" t="n">
        <v>7.8</v>
      </c>
      <c r="W200" s="2" t="s">
        <v>2271</v>
      </c>
      <c r="X200" s="2" t="s">
        <v>2272</v>
      </c>
      <c r="Y200" s="2" t="s">
        <v>2273</v>
      </c>
      <c r="Z200" s="2" t="s">
        <v>2274</v>
      </c>
      <c r="AA200" s="2" t="s">
        <v>2259</v>
      </c>
      <c r="AB200" s="2" t="s">
        <v>1250</v>
      </c>
      <c r="AC200" s="2" t="s">
        <v>2275</v>
      </c>
      <c r="AD200" s="2" t="s">
        <v>2276</v>
      </c>
      <c r="AE200" s="3" t="s">
        <v>53</v>
      </c>
    </row>
    <row r="201" customFormat="false" ht="15" hidden="false" customHeight="false" outlineLevel="0" collapsed="false">
      <c r="A201" s="2" t="s">
        <v>2277</v>
      </c>
      <c r="B201" s="2" t="s">
        <v>861</v>
      </c>
      <c r="C201" s="2" t="s">
        <v>2278</v>
      </c>
      <c r="D201" s="2" t="s">
        <v>2212</v>
      </c>
      <c r="E201" s="2" t="s">
        <v>35</v>
      </c>
      <c r="F201" s="3" t="s">
        <v>36</v>
      </c>
      <c r="G201" s="2" t="s">
        <v>2279</v>
      </c>
      <c r="H201" s="2" t="s">
        <v>2280</v>
      </c>
      <c r="I201" s="2" t="s">
        <v>2281</v>
      </c>
      <c r="J201" s="2" t="s">
        <v>2282</v>
      </c>
      <c r="K201" s="2" t="s">
        <v>2283</v>
      </c>
      <c r="L201" s="2"/>
      <c r="M201" s="2"/>
      <c r="N201" s="2"/>
      <c r="O201" s="3"/>
      <c r="P201" s="2" t="s">
        <v>1319</v>
      </c>
      <c r="Q201" s="2" t="s">
        <v>2284</v>
      </c>
      <c r="R201" s="2" t="s">
        <v>1432</v>
      </c>
      <c r="S201" s="2" t="s">
        <v>861</v>
      </c>
      <c r="T201" s="3" t="s">
        <v>50</v>
      </c>
      <c r="U201" s="2"/>
      <c r="V201" s="4" t="n">
        <v>7.2</v>
      </c>
      <c r="W201" s="2" t="s">
        <v>2285</v>
      </c>
      <c r="X201" s="2" t="s">
        <v>2286</v>
      </c>
      <c r="Y201" s="2" t="s">
        <v>2287</v>
      </c>
      <c r="Z201" s="2" t="s">
        <v>2274</v>
      </c>
      <c r="AA201" s="2" t="s">
        <v>2288</v>
      </c>
      <c r="AB201" s="2" t="s">
        <v>2289</v>
      </c>
      <c r="AC201" s="2" t="s">
        <v>2290</v>
      </c>
      <c r="AD201" s="2" t="s">
        <v>2291</v>
      </c>
      <c r="AE201" s="3" t="s">
        <v>53</v>
      </c>
    </row>
    <row r="202" customFormat="false" ht="15" hidden="false" customHeight="false" outlineLevel="0" collapsed="false">
      <c r="A202" s="2" t="s">
        <v>2292</v>
      </c>
      <c r="B202" s="2" t="s">
        <v>861</v>
      </c>
      <c r="C202" s="2" t="s">
        <v>2293</v>
      </c>
      <c r="D202" s="2" t="s">
        <v>2212</v>
      </c>
      <c r="E202" s="2" t="s">
        <v>189</v>
      </c>
      <c r="F202" s="3" t="s">
        <v>36</v>
      </c>
      <c r="G202" s="2" t="s">
        <v>2294</v>
      </c>
      <c r="H202" s="2" t="s">
        <v>2295</v>
      </c>
      <c r="I202" s="2" t="s">
        <v>2296</v>
      </c>
      <c r="J202" s="2" t="s">
        <v>2297</v>
      </c>
      <c r="K202" s="2" t="s">
        <v>2298</v>
      </c>
      <c r="L202" s="2"/>
      <c r="M202" s="2"/>
      <c r="N202" s="2"/>
      <c r="O202" s="3"/>
      <c r="P202" s="2" t="s">
        <v>1308</v>
      </c>
      <c r="Q202" s="2" t="s">
        <v>732</v>
      </c>
      <c r="R202" s="2" t="s">
        <v>2299</v>
      </c>
      <c r="S202" s="2" t="s">
        <v>861</v>
      </c>
      <c r="T202" s="3" t="s">
        <v>50</v>
      </c>
      <c r="U202" s="2"/>
      <c r="V202" s="4" t="n">
        <v>7.5</v>
      </c>
      <c r="W202" s="2" t="s">
        <v>2300</v>
      </c>
      <c r="X202" s="2" t="s">
        <v>2301</v>
      </c>
      <c r="Y202" s="2" t="s">
        <v>2302</v>
      </c>
      <c r="Z202" s="2" t="s">
        <v>2224</v>
      </c>
      <c r="AA202" s="2" t="s">
        <v>2303</v>
      </c>
      <c r="AB202" s="2" t="s">
        <v>2304</v>
      </c>
      <c r="AC202" s="2" t="s">
        <v>2261</v>
      </c>
      <c r="AD202" s="2" t="s">
        <v>2305</v>
      </c>
      <c r="AE202" s="3" t="s">
        <v>53</v>
      </c>
    </row>
    <row r="203" customFormat="false" ht="15" hidden="false" customHeight="false" outlineLevel="0" collapsed="false">
      <c r="A203" s="2" t="s">
        <v>2306</v>
      </c>
      <c r="B203" s="2" t="s">
        <v>861</v>
      </c>
      <c r="C203" s="2" t="s">
        <v>2307</v>
      </c>
      <c r="D203" s="2" t="s">
        <v>2212</v>
      </c>
      <c r="E203" s="2" t="s">
        <v>35</v>
      </c>
      <c r="F203" s="3" t="s">
        <v>86</v>
      </c>
      <c r="G203" s="2" t="s">
        <v>2308</v>
      </c>
      <c r="H203" s="2" t="s">
        <v>2309</v>
      </c>
      <c r="I203" s="2" t="s">
        <v>2310</v>
      </c>
      <c r="J203" s="2" t="s">
        <v>2311</v>
      </c>
      <c r="K203" s="2" t="s">
        <v>2312</v>
      </c>
      <c r="L203" s="2"/>
      <c r="M203" s="2"/>
      <c r="N203" s="2"/>
      <c r="O203" s="3"/>
      <c r="P203" s="2" t="s">
        <v>2313</v>
      </c>
      <c r="Q203" s="2" t="s">
        <v>64</v>
      </c>
      <c r="R203" s="2" t="s">
        <v>2314</v>
      </c>
      <c r="S203" s="2" t="s">
        <v>2056</v>
      </c>
      <c r="T203" s="3" t="s">
        <v>50</v>
      </c>
      <c r="U203" s="2"/>
      <c r="V203" s="4" t="n">
        <v>8.8</v>
      </c>
      <c r="W203" s="2" t="s">
        <v>2255</v>
      </c>
      <c r="X203" s="2" t="s">
        <v>2315</v>
      </c>
      <c r="Y203" s="2" t="s">
        <v>2316</v>
      </c>
      <c r="Z203" s="2" t="s">
        <v>2224</v>
      </c>
      <c r="AA203" s="2" t="s">
        <v>2317</v>
      </c>
      <c r="AB203" s="2" t="s">
        <v>2318</v>
      </c>
      <c r="AC203" s="2" t="s">
        <v>2319</v>
      </c>
      <c r="AD203" s="2" t="s">
        <v>2320</v>
      </c>
      <c r="AE203" s="3" t="s">
        <v>53</v>
      </c>
    </row>
    <row r="204" customFormat="false" ht="15" hidden="false" customHeight="false" outlineLevel="0" collapsed="false">
      <c r="A204" s="2" t="s">
        <v>2321</v>
      </c>
      <c r="B204" s="2" t="s">
        <v>861</v>
      </c>
      <c r="C204" s="2" t="s">
        <v>2322</v>
      </c>
      <c r="D204" s="2" t="s">
        <v>2212</v>
      </c>
      <c r="E204" s="2" t="s">
        <v>826</v>
      </c>
      <c r="F204" s="3" t="s">
        <v>36</v>
      </c>
      <c r="G204" s="2" t="s">
        <v>2323</v>
      </c>
      <c r="H204" s="2" t="s">
        <v>2324</v>
      </c>
      <c r="I204" s="2" t="s">
        <v>2325</v>
      </c>
      <c r="J204" s="2" t="s">
        <v>2326</v>
      </c>
      <c r="K204" s="2" t="s">
        <v>2327</v>
      </c>
      <c r="L204" s="2"/>
      <c r="M204" s="2"/>
      <c r="N204" s="2"/>
      <c r="O204" s="3"/>
      <c r="P204" s="2" t="s">
        <v>2328</v>
      </c>
      <c r="Q204" s="2" t="s">
        <v>2329</v>
      </c>
      <c r="R204" s="2" t="s">
        <v>1342</v>
      </c>
      <c r="S204" s="2" t="s">
        <v>861</v>
      </c>
      <c r="T204" s="3" t="s">
        <v>50</v>
      </c>
      <c r="U204" s="2"/>
      <c r="V204" s="4" t="n">
        <v>5.3</v>
      </c>
      <c r="W204" s="2" t="s">
        <v>2330</v>
      </c>
      <c r="X204" s="2" t="s">
        <v>2331</v>
      </c>
      <c r="Y204" s="2" t="s">
        <v>2332</v>
      </c>
      <c r="Z204" s="2" t="s">
        <v>2274</v>
      </c>
      <c r="AA204" s="2" t="s">
        <v>2333</v>
      </c>
      <c r="AB204" s="2" t="s">
        <v>2334</v>
      </c>
      <c r="AC204" s="2" t="s">
        <v>2335</v>
      </c>
      <c r="AD204" s="2" t="s">
        <v>2336</v>
      </c>
      <c r="AE204" s="3" t="s">
        <v>53</v>
      </c>
    </row>
    <row r="205" customFormat="false" ht="15" hidden="false" customHeight="false" outlineLevel="0" collapsed="false">
      <c r="A205" s="2" t="s">
        <v>2337</v>
      </c>
      <c r="B205" s="2" t="s">
        <v>861</v>
      </c>
      <c r="C205" s="2" t="s">
        <v>2338</v>
      </c>
      <c r="D205" s="2" t="s">
        <v>2212</v>
      </c>
      <c r="E205" s="2" t="s">
        <v>35</v>
      </c>
      <c r="F205" s="3" t="s">
        <v>36</v>
      </c>
      <c r="G205" s="2" t="s">
        <v>2339</v>
      </c>
      <c r="H205" s="2" t="s">
        <v>2340</v>
      </c>
      <c r="I205" s="2" t="s">
        <v>2341</v>
      </c>
      <c r="J205" s="2" t="s">
        <v>2342</v>
      </c>
      <c r="K205" s="2" t="s">
        <v>2343</v>
      </c>
      <c r="L205" s="2"/>
      <c r="M205" s="2"/>
      <c r="N205" s="2"/>
      <c r="O205" s="3"/>
      <c r="P205" s="2" t="s">
        <v>2344</v>
      </c>
      <c r="Q205" s="2" t="s">
        <v>410</v>
      </c>
      <c r="R205" s="2" t="s">
        <v>1342</v>
      </c>
      <c r="S205" s="2" t="s">
        <v>861</v>
      </c>
      <c r="T205" s="3" t="s">
        <v>50</v>
      </c>
      <c r="U205" s="2"/>
      <c r="V205" s="4" t="n">
        <v>8.8</v>
      </c>
      <c r="W205" s="2" t="s">
        <v>2255</v>
      </c>
      <c r="X205" s="2" t="s">
        <v>2345</v>
      </c>
      <c r="Y205" s="2" t="s">
        <v>2346</v>
      </c>
      <c r="Z205" s="2" t="s">
        <v>2347</v>
      </c>
      <c r="AA205" s="2" t="s">
        <v>2348</v>
      </c>
      <c r="AB205" s="2" t="s">
        <v>2349</v>
      </c>
      <c r="AC205" s="2" t="s">
        <v>2350</v>
      </c>
      <c r="AD205" s="2" t="s">
        <v>2351</v>
      </c>
      <c r="AE205" s="3" t="s">
        <v>53</v>
      </c>
    </row>
    <row r="206" customFormat="false" ht="15" hidden="false" customHeight="false" outlineLevel="0" collapsed="false">
      <c r="A206" s="2" t="s">
        <v>2352</v>
      </c>
      <c r="B206" s="2" t="s">
        <v>861</v>
      </c>
      <c r="C206" s="2" t="s">
        <v>2353</v>
      </c>
      <c r="D206" s="2" t="s">
        <v>2212</v>
      </c>
      <c r="E206" s="2" t="s">
        <v>189</v>
      </c>
      <c r="F206" s="3" t="s">
        <v>101</v>
      </c>
      <c r="G206" s="2" t="s">
        <v>2354</v>
      </c>
      <c r="H206" s="2" t="s">
        <v>2355</v>
      </c>
      <c r="I206" s="2" t="s">
        <v>2356</v>
      </c>
      <c r="J206" s="2" t="s">
        <v>2357</v>
      </c>
      <c r="K206" s="2" t="s">
        <v>2358</v>
      </c>
      <c r="L206" s="2"/>
      <c r="M206" s="2"/>
      <c r="N206" s="2"/>
      <c r="O206" s="3"/>
      <c r="P206" s="2" t="s">
        <v>2359</v>
      </c>
      <c r="Q206" s="2" t="s">
        <v>2360</v>
      </c>
      <c r="R206" s="2" t="s">
        <v>2361</v>
      </c>
      <c r="S206" s="2" t="s">
        <v>1922</v>
      </c>
      <c r="T206" s="3" t="s">
        <v>50</v>
      </c>
      <c r="U206" s="2"/>
      <c r="V206" s="4" t="n">
        <v>6.5</v>
      </c>
      <c r="W206" s="2" t="s">
        <v>2362</v>
      </c>
      <c r="X206" s="2" t="s">
        <v>2363</v>
      </c>
      <c r="Y206" s="2" t="s">
        <v>2364</v>
      </c>
      <c r="Z206" s="2" t="s">
        <v>2365</v>
      </c>
      <c r="AA206" s="2" t="s">
        <v>2366</v>
      </c>
      <c r="AB206" s="2" t="s">
        <v>2367</v>
      </c>
      <c r="AC206" s="2" t="s">
        <v>2368</v>
      </c>
      <c r="AD206" s="2" t="s">
        <v>2369</v>
      </c>
      <c r="AE206" s="3" t="s">
        <v>53</v>
      </c>
    </row>
    <row r="207" customFormat="false" ht="15" hidden="false" customHeight="false" outlineLevel="0" collapsed="false">
      <c r="A207" s="2" t="s">
        <v>2370</v>
      </c>
      <c r="B207" s="2" t="s">
        <v>861</v>
      </c>
      <c r="C207" s="2" t="s">
        <v>2371</v>
      </c>
      <c r="D207" s="2" t="s">
        <v>2212</v>
      </c>
      <c r="E207" s="2" t="s">
        <v>189</v>
      </c>
      <c r="F207" s="3" t="s">
        <v>101</v>
      </c>
      <c r="G207" s="2" t="s">
        <v>2372</v>
      </c>
      <c r="H207" s="2" t="s">
        <v>2373</v>
      </c>
      <c r="I207" s="2" t="s">
        <v>2374</v>
      </c>
      <c r="J207" s="2" t="s">
        <v>2375</v>
      </c>
      <c r="K207" s="2" t="s">
        <v>2376</v>
      </c>
      <c r="L207" s="2"/>
      <c r="M207" s="2"/>
      <c r="N207" s="2"/>
      <c r="O207" s="3"/>
      <c r="P207" s="2" t="s">
        <v>2359</v>
      </c>
      <c r="Q207" s="2" t="s">
        <v>297</v>
      </c>
      <c r="R207" s="2" t="s">
        <v>2361</v>
      </c>
      <c r="S207" s="2" t="s">
        <v>1922</v>
      </c>
      <c r="T207" s="3" t="s">
        <v>50</v>
      </c>
      <c r="U207" s="2"/>
      <c r="V207" s="4" t="n">
        <v>4.3</v>
      </c>
      <c r="W207" s="2" t="s">
        <v>2377</v>
      </c>
      <c r="X207" s="2" t="s">
        <v>2378</v>
      </c>
      <c r="Y207" s="2" t="s">
        <v>2379</v>
      </c>
      <c r="Z207" s="2" t="s">
        <v>2380</v>
      </c>
      <c r="AA207" s="2" t="s">
        <v>2381</v>
      </c>
      <c r="AB207" s="2" t="s">
        <v>2382</v>
      </c>
      <c r="AC207" s="2" t="s">
        <v>2383</v>
      </c>
      <c r="AD207" s="2" t="s">
        <v>2384</v>
      </c>
      <c r="AE207" s="3" t="s">
        <v>53</v>
      </c>
    </row>
    <row r="208" customFormat="false" ht="15" hidden="false" customHeight="false" outlineLevel="0" collapsed="false">
      <c r="A208" s="2" t="s">
        <v>2385</v>
      </c>
      <c r="B208" s="2" t="s">
        <v>840</v>
      </c>
      <c r="C208" s="2" t="s">
        <v>2386</v>
      </c>
      <c r="D208" s="2" t="s">
        <v>2212</v>
      </c>
      <c r="E208" s="2" t="s">
        <v>35</v>
      </c>
      <c r="F208" s="3" t="s">
        <v>86</v>
      </c>
      <c r="G208" s="2" t="s">
        <v>2387</v>
      </c>
      <c r="H208" s="2" t="s">
        <v>2388</v>
      </c>
      <c r="I208" s="2" t="s">
        <v>2389</v>
      </c>
      <c r="J208" s="2" t="s">
        <v>2390</v>
      </c>
      <c r="K208" s="2" t="s">
        <v>2391</v>
      </c>
      <c r="L208" s="2"/>
      <c r="M208" s="2"/>
      <c r="N208" s="2"/>
      <c r="O208" s="3"/>
      <c r="P208" s="2" t="s">
        <v>2392</v>
      </c>
      <c r="Q208" s="2" t="s">
        <v>732</v>
      </c>
      <c r="R208" s="2" t="s">
        <v>1342</v>
      </c>
      <c r="S208" s="2" t="s">
        <v>861</v>
      </c>
      <c r="T208" s="3" t="s">
        <v>50</v>
      </c>
      <c r="U208" s="2"/>
      <c r="V208" s="4" t="n">
        <v>9.8</v>
      </c>
      <c r="W208" s="2" t="s">
        <v>2393</v>
      </c>
      <c r="X208" s="2" t="s">
        <v>2394</v>
      </c>
      <c r="Y208" s="2" t="s">
        <v>2395</v>
      </c>
      <c r="Z208" s="2" t="s">
        <v>2396</v>
      </c>
      <c r="AA208" s="2" t="s">
        <v>2397</v>
      </c>
      <c r="AB208" s="2" t="s">
        <v>2398</v>
      </c>
      <c r="AC208" s="2" t="s">
        <v>2399</v>
      </c>
      <c r="AD208" s="2" t="s">
        <v>2400</v>
      </c>
      <c r="AE208" s="3" t="s">
        <v>53</v>
      </c>
    </row>
    <row r="209" customFormat="false" ht="15" hidden="false" customHeight="false" outlineLevel="0" collapsed="false">
      <c r="A209" s="2" t="s">
        <v>2401</v>
      </c>
      <c r="B209" s="2" t="s">
        <v>840</v>
      </c>
      <c r="C209" s="2" t="s">
        <v>2402</v>
      </c>
      <c r="D209" s="2" t="s">
        <v>2212</v>
      </c>
      <c r="E209" s="2" t="s">
        <v>826</v>
      </c>
      <c r="F209" s="3" t="s">
        <v>86</v>
      </c>
      <c r="G209" s="2" t="s">
        <v>2403</v>
      </c>
      <c r="H209" s="2" t="s">
        <v>2404</v>
      </c>
      <c r="I209" s="2" t="s">
        <v>2405</v>
      </c>
      <c r="J209" s="2" t="s">
        <v>2406</v>
      </c>
      <c r="K209" s="2" t="s">
        <v>2407</v>
      </c>
      <c r="L209" s="2" t="s">
        <v>348</v>
      </c>
      <c r="M209" s="2"/>
      <c r="N209" s="2"/>
      <c r="O209" s="3"/>
      <c r="P209" s="2" t="s">
        <v>2408</v>
      </c>
      <c r="Q209" s="2" t="s">
        <v>2409</v>
      </c>
      <c r="R209" s="2" t="s">
        <v>285</v>
      </c>
      <c r="S209" s="2" t="s">
        <v>1067</v>
      </c>
      <c r="T209" s="3" t="s">
        <v>412</v>
      </c>
      <c r="U209" s="2"/>
      <c r="V209" s="4" t="n">
        <v>8.8</v>
      </c>
      <c r="W209" s="2" t="s">
        <v>2255</v>
      </c>
      <c r="X209" s="2" t="s">
        <v>2410</v>
      </c>
      <c r="Y209" s="2" t="s">
        <v>2411</v>
      </c>
      <c r="Z209" s="2" t="s">
        <v>2412</v>
      </c>
      <c r="AA209" s="2" t="s">
        <v>2413</v>
      </c>
      <c r="AB209" s="2" t="s">
        <v>2414</v>
      </c>
      <c r="AC209" s="2" t="s">
        <v>2415</v>
      </c>
      <c r="AD209" s="2" t="s">
        <v>2416</v>
      </c>
      <c r="AE209" s="3" t="s">
        <v>53</v>
      </c>
    </row>
    <row r="210" customFormat="false" ht="15" hidden="false" customHeight="false" outlineLevel="0" collapsed="false">
      <c r="A210" s="2" t="s">
        <v>2417</v>
      </c>
      <c r="B210" s="2" t="s">
        <v>840</v>
      </c>
      <c r="C210" s="2" t="s">
        <v>2418</v>
      </c>
      <c r="D210" s="2" t="s">
        <v>2212</v>
      </c>
      <c r="E210" s="2" t="s">
        <v>258</v>
      </c>
      <c r="F210" s="3" t="s">
        <v>86</v>
      </c>
      <c r="G210" s="2" t="s">
        <v>2419</v>
      </c>
      <c r="H210" s="2" t="s">
        <v>2420</v>
      </c>
      <c r="I210" s="2" t="s">
        <v>2421</v>
      </c>
      <c r="J210" s="2" t="s">
        <v>2422</v>
      </c>
      <c r="K210" s="2" t="s">
        <v>2423</v>
      </c>
      <c r="L210" s="2" t="s">
        <v>348</v>
      </c>
      <c r="M210" s="2"/>
      <c r="N210" s="2"/>
      <c r="O210" s="3"/>
      <c r="P210" s="2" t="s">
        <v>2424</v>
      </c>
      <c r="Q210" s="2" t="s">
        <v>2425</v>
      </c>
      <c r="R210" s="2" t="s">
        <v>285</v>
      </c>
      <c r="S210" s="2" t="s">
        <v>1067</v>
      </c>
      <c r="T210" s="3" t="s">
        <v>412</v>
      </c>
      <c r="U210" s="2"/>
      <c r="V210" s="4" t="n">
        <v>9.8</v>
      </c>
      <c r="W210" s="2" t="s">
        <v>2393</v>
      </c>
      <c r="X210" s="2" t="s">
        <v>2426</v>
      </c>
      <c r="Y210" s="2" t="s">
        <v>2427</v>
      </c>
      <c r="Z210" s="2" t="s">
        <v>2224</v>
      </c>
      <c r="AA210" s="2" t="s">
        <v>2428</v>
      </c>
      <c r="AB210" s="2" t="s">
        <v>2429</v>
      </c>
      <c r="AC210" s="2" t="s">
        <v>2430</v>
      </c>
      <c r="AD210" s="2" t="s">
        <v>2431</v>
      </c>
      <c r="AE210" s="3" t="s">
        <v>53</v>
      </c>
    </row>
    <row r="211" customFormat="false" ht="15" hidden="false" customHeight="false" outlineLevel="0" collapsed="false">
      <c r="A211" s="2" t="s">
        <v>2432</v>
      </c>
      <c r="B211" s="2" t="s">
        <v>840</v>
      </c>
      <c r="C211" s="2" t="s">
        <v>2433</v>
      </c>
      <c r="D211" s="2" t="s">
        <v>2212</v>
      </c>
      <c r="E211" s="2" t="s">
        <v>826</v>
      </c>
      <c r="F211" s="3" t="s">
        <v>86</v>
      </c>
      <c r="G211" s="2" t="s">
        <v>2434</v>
      </c>
      <c r="H211" s="2" t="s">
        <v>2435</v>
      </c>
      <c r="I211" s="2" t="s">
        <v>2436</v>
      </c>
      <c r="J211" s="2" t="s">
        <v>2437</v>
      </c>
      <c r="K211" s="2" t="s">
        <v>2438</v>
      </c>
      <c r="L211" s="2" t="s">
        <v>348</v>
      </c>
      <c r="M211" s="2"/>
      <c r="N211" s="2"/>
      <c r="O211" s="3"/>
      <c r="P211" s="2" t="s">
        <v>1066</v>
      </c>
      <c r="Q211" s="2" t="s">
        <v>2409</v>
      </c>
      <c r="R211" s="2" t="s">
        <v>285</v>
      </c>
      <c r="S211" s="2" t="s">
        <v>1067</v>
      </c>
      <c r="T211" s="3" t="s">
        <v>412</v>
      </c>
      <c r="U211" s="2"/>
      <c r="V211" s="4" t="n">
        <v>10</v>
      </c>
      <c r="W211" s="2" t="s">
        <v>2221</v>
      </c>
      <c r="X211" s="2" t="s">
        <v>2439</v>
      </c>
      <c r="Y211" s="2" t="s">
        <v>2440</v>
      </c>
      <c r="Z211" s="2" t="s">
        <v>2412</v>
      </c>
      <c r="AA211" s="2" t="s">
        <v>2441</v>
      </c>
      <c r="AB211" s="2" t="s">
        <v>2442</v>
      </c>
      <c r="AC211" s="2" t="s">
        <v>2415</v>
      </c>
      <c r="AD211" s="2" t="s">
        <v>2443</v>
      </c>
      <c r="AE211" s="3" t="s">
        <v>53</v>
      </c>
    </row>
    <row r="212" customFormat="false" ht="15" hidden="false" customHeight="false" outlineLevel="0" collapsed="false">
      <c r="A212" s="2" t="s">
        <v>2444</v>
      </c>
      <c r="B212" s="2" t="s">
        <v>840</v>
      </c>
      <c r="C212" s="2" t="s">
        <v>2445</v>
      </c>
      <c r="D212" s="2" t="s">
        <v>2212</v>
      </c>
      <c r="E212" s="2" t="s">
        <v>258</v>
      </c>
      <c r="F212" s="3" t="s">
        <v>86</v>
      </c>
      <c r="G212" s="2" t="s">
        <v>2446</v>
      </c>
      <c r="H212" s="2" t="s">
        <v>2447</v>
      </c>
      <c r="I212" s="2" t="s">
        <v>2448</v>
      </c>
      <c r="J212" s="2" t="s">
        <v>2449</v>
      </c>
      <c r="K212" s="2" t="s">
        <v>2450</v>
      </c>
      <c r="L212" s="2" t="s">
        <v>1602</v>
      </c>
      <c r="M212" s="2"/>
      <c r="N212" s="2"/>
      <c r="O212" s="3"/>
      <c r="P212" s="2" t="s">
        <v>2451</v>
      </c>
      <c r="Q212" s="2" t="s">
        <v>157</v>
      </c>
      <c r="R212" s="2" t="s">
        <v>158</v>
      </c>
      <c r="S212" s="2" t="s">
        <v>1067</v>
      </c>
      <c r="T212" s="3" t="s">
        <v>675</v>
      </c>
      <c r="U212" s="2"/>
      <c r="V212" s="4" t="n">
        <v>9.8</v>
      </c>
      <c r="W212" s="2" t="s">
        <v>2393</v>
      </c>
      <c r="X212" s="2" t="s">
        <v>2452</v>
      </c>
      <c r="Y212" s="2" t="s">
        <v>2453</v>
      </c>
      <c r="Z212" s="2" t="s">
        <v>2454</v>
      </c>
      <c r="AA212" s="2" t="s">
        <v>2455</v>
      </c>
      <c r="AB212" s="2" t="s">
        <v>2456</v>
      </c>
      <c r="AC212" s="2" t="s">
        <v>2457</v>
      </c>
      <c r="AD212" s="2" t="s">
        <v>2458</v>
      </c>
      <c r="AE212" s="3" t="s">
        <v>53</v>
      </c>
    </row>
    <row r="213" customFormat="false" ht="15" hidden="false" customHeight="false" outlineLevel="0" collapsed="false">
      <c r="A213" s="2" t="s">
        <v>2459</v>
      </c>
      <c r="B213" s="2" t="s">
        <v>840</v>
      </c>
      <c r="C213" s="2" t="s">
        <v>2460</v>
      </c>
      <c r="D213" s="2" t="s">
        <v>2212</v>
      </c>
      <c r="E213" s="2" t="s">
        <v>258</v>
      </c>
      <c r="F213" s="3" t="s">
        <v>86</v>
      </c>
      <c r="G213" s="2" t="s">
        <v>2461</v>
      </c>
      <c r="H213" s="2" t="s">
        <v>2462</v>
      </c>
      <c r="I213" s="2" t="s">
        <v>2463</v>
      </c>
      <c r="J213" s="2" t="s">
        <v>2464</v>
      </c>
      <c r="K213" s="2" t="s">
        <v>2465</v>
      </c>
      <c r="L213" s="2" t="s">
        <v>348</v>
      </c>
      <c r="M213" s="2"/>
      <c r="N213" s="2"/>
      <c r="O213" s="3"/>
      <c r="P213" s="2" t="s">
        <v>1166</v>
      </c>
      <c r="Q213" s="2" t="s">
        <v>2466</v>
      </c>
      <c r="R213" s="2" t="s">
        <v>285</v>
      </c>
      <c r="S213" s="2" t="s">
        <v>1067</v>
      </c>
      <c r="T213" s="3" t="s">
        <v>412</v>
      </c>
      <c r="U213" s="2"/>
      <c r="V213" s="4" t="n">
        <v>9.8</v>
      </c>
      <c r="W213" s="2" t="s">
        <v>2393</v>
      </c>
      <c r="X213" s="2" t="s">
        <v>2378</v>
      </c>
      <c r="Y213" s="2" t="s">
        <v>2467</v>
      </c>
      <c r="Z213" s="2" t="s">
        <v>2468</v>
      </c>
      <c r="AA213" s="2" t="s">
        <v>2469</v>
      </c>
      <c r="AB213" s="2" t="s">
        <v>2470</v>
      </c>
      <c r="AC213" s="2" t="s">
        <v>2261</v>
      </c>
      <c r="AD213" s="2" t="s">
        <v>2471</v>
      </c>
      <c r="AE213" s="3" t="s">
        <v>53</v>
      </c>
    </row>
    <row r="214" customFormat="false" ht="15" hidden="false" customHeight="false" outlineLevel="0" collapsed="false">
      <c r="A214" s="2" t="s">
        <v>2472</v>
      </c>
      <c r="B214" s="2" t="s">
        <v>840</v>
      </c>
      <c r="C214" s="2" t="s">
        <v>2473</v>
      </c>
      <c r="D214" s="2" t="s">
        <v>2212</v>
      </c>
      <c r="E214" s="2" t="s">
        <v>189</v>
      </c>
      <c r="F214" s="3" t="s">
        <v>36</v>
      </c>
      <c r="G214" s="2" t="s">
        <v>2474</v>
      </c>
      <c r="H214" s="2" t="s">
        <v>2475</v>
      </c>
      <c r="I214" s="2" t="s">
        <v>2476</v>
      </c>
      <c r="J214" s="2" t="s">
        <v>2477</v>
      </c>
      <c r="K214" s="2" t="s">
        <v>2478</v>
      </c>
      <c r="L214" s="2"/>
      <c r="M214" s="2"/>
      <c r="N214" s="2"/>
      <c r="O214" s="3"/>
      <c r="P214" s="2" t="s">
        <v>2479</v>
      </c>
      <c r="Q214" s="2" t="s">
        <v>732</v>
      </c>
      <c r="R214" s="2" t="s">
        <v>963</v>
      </c>
      <c r="S214" s="2" t="s">
        <v>286</v>
      </c>
      <c r="T214" s="3" t="s">
        <v>412</v>
      </c>
      <c r="U214" s="2"/>
      <c r="V214" s="4" t="n">
        <v>7.8</v>
      </c>
      <c r="W214" s="2" t="s">
        <v>2480</v>
      </c>
      <c r="X214" s="2" t="s">
        <v>2481</v>
      </c>
      <c r="Y214" s="2" t="s">
        <v>2482</v>
      </c>
      <c r="Z214" s="2" t="s">
        <v>2274</v>
      </c>
      <c r="AA214" s="2" t="s">
        <v>2483</v>
      </c>
      <c r="AB214" s="2" t="s">
        <v>2484</v>
      </c>
      <c r="AC214" s="2" t="s">
        <v>2485</v>
      </c>
      <c r="AD214" s="2" t="s">
        <v>2486</v>
      </c>
      <c r="AE214" s="3" t="s">
        <v>53</v>
      </c>
    </row>
    <row r="215" customFormat="false" ht="15" hidden="false" customHeight="false" outlineLevel="0" collapsed="false">
      <c r="A215" s="2" t="s">
        <v>2487</v>
      </c>
      <c r="B215" s="2" t="s">
        <v>840</v>
      </c>
      <c r="C215" s="2" t="s">
        <v>2488</v>
      </c>
      <c r="D215" s="2" t="s">
        <v>2212</v>
      </c>
      <c r="E215" s="2" t="s">
        <v>258</v>
      </c>
      <c r="F215" s="3" t="s">
        <v>86</v>
      </c>
      <c r="G215" s="2" t="s">
        <v>2489</v>
      </c>
      <c r="H215" s="2" t="s">
        <v>2490</v>
      </c>
      <c r="I215" s="2" t="s">
        <v>2491</v>
      </c>
      <c r="J215" s="2" t="s">
        <v>2492</v>
      </c>
      <c r="K215" s="2" t="s">
        <v>2493</v>
      </c>
      <c r="L215" s="2" t="s">
        <v>348</v>
      </c>
      <c r="M215" s="2"/>
      <c r="N215" s="2"/>
      <c r="O215" s="3"/>
      <c r="P215" s="2" t="s">
        <v>170</v>
      </c>
      <c r="Q215" s="2" t="s">
        <v>2494</v>
      </c>
      <c r="R215" s="2" t="s">
        <v>172</v>
      </c>
      <c r="S215" s="2" t="s">
        <v>1067</v>
      </c>
      <c r="T215" s="3" t="s">
        <v>287</v>
      </c>
      <c r="U215" s="2"/>
      <c r="V215" s="4" t="n">
        <v>9.8</v>
      </c>
      <c r="W215" s="2" t="s">
        <v>2393</v>
      </c>
      <c r="X215" s="2" t="s">
        <v>2495</v>
      </c>
      <c r="Y215" s="2" t="s">
        <v>2496</v>
      </c>
      <c r="Z215" s="2" t="s">
        <v>2224</v>
      </c>
      <c r="AA215" s="2" t="s">
        <v>2497</v>
      </c>
      <c r="AB215" s="2" t="s">
        <v>1070</v>
      </c>
      <c r="AC215" s="2" t="s">
        <v>2430</v>
      </c>
      <c r="AD215" s="2" t="s">
        <v>2498</v>
      </c>
      <c r="AE215" s="3" t="s">
        <v>53</v>
      </c>
    </row>
    <row r="216" customFormat="false" ht="15" hidden="false" customHeight="false" outlineLevel="0" collapsed="false">
      <c r="A216" s="2" t="s">
        <v>2499</v>
      </c>
      <c r="B216" s="2" t="s">
        <v>840</v>
      </c>
      <c r="C216" s="2" t="s">
        <v>2500</v>
      </c>
      <c r="D216" s="2" t="s">
        <v>2212</v>
      </c>
      <c r="E216" s="2" t="s">
        <v>35</v>
      </c>
      <c r="F216" s="3" t="s">
        <v>36</v>
      </c>
      <c r="G216" s="2" t="s">
        <v>2501</v>
      </c>
      <c r="H216" s="2" t="s">
        <v>2502</v>
      </c>
      <c r="I216" s="2" t="s">
        <v>2503</v>
      </c>
      <c r="J216" s="2" t="s">
        <v>2504</v>
      </c>
      <c r="K216" s="2" t="s">
        <v>2505</v>
      </c>
      <c r="L216" s="2"/>
      <c r="M216" s="2"/>
      <c r="N216" s="2"/>
      <c r="O216" s="3"/>
      <c r="P216" s="2" t="s">
        <v>1373</v>
      </c>
      <c r="Q216" s="2" t="s">
        <v>2506</v>
      </c>
      <c r="R216" s="2" t="s">
        <v>285</v>
      </c>
      <c r="S216" s="2" t="s">
        <v>861</v>
      </c>
      <c r="T216" s="3" t="s">
        <v>287</v>
      </c>
      <c r="U216" s="2"/>
      <c r="V216" s="4" t="n">
        <v>6.8</v>
      </c>
      <c r="W216" s="2" t="s">
        <v>2507</v>
      </c>
      <c r="X216" s="2" t="s">
        <v>2508</v>
      </c>
      <c r="Y216" s="2" t="s">
        <v>2509</v>
      </c>
      <c r="Z216" s="2" t="s">
        <v>2510</v>
      </c>
      <c r="AA216" s="2" t="s">
        <v>2511</v>
      </c>
      <c r="AB216" s="2" t="s">
        <v>2512</v>
      </c>
      <c r="AC216" s="2" t="s">
        <v>2513</v>
      </c>
      <c r="AD216" s="2" t="s">
        <v>2514</v>
      </c>
      <c r="AE216" s="3" t="s">
        <v>53</v>
      </c>
    </row>
    <row r="217" customFormat="false" ht="15" hidden="false" customHeight="false" outlineLevel="0" collapsed="false">
      <c r="A217" s="2" t="s">
        <v>2515</v>
      </c>
      <c r="B217" s="2" t="s">
        <v>840</v>
      </c>
      <c r="C217" s="2" t="s">
        <v>2516</v>
      </c>
      <c r="D217" s="2" t="s">
        <v>2212</v>
      </c>
      <c r="E217" s="2" t="s">
        <v>35</v>
      </c>
      <c r="F217" s="3" t="s">
        <v>86</v>
      </c>
      <c r="G217" s="2" t="s">
        <v>2517</v>
      </c>
      <c r="H217" s="2" t="s">
        <v>2518</v>
      </c>
      <c r="I217" s="2" t="s">
        <v>2519</v>
      </c>
      <c r="J217" s="2" t="s">
        <v>2520</v>
      </c>
      <c r="K217" s="2" t="s">
        <v>2521</v>
      </c>
      <c r="L217" s="2"/>
      <c r="M217" s="2"/>
      <c r="N217" s="2"/>
      <c r="O217" s="3"/>
      <c r="P217" s="2" t="s">
        <v>2522</v>
      </c>
      <c r="Q217" s="2" t="s">
        <v>2523</v>
      </c>
      <c r="R217" s="2" t="s">
        <v>285</v>
      </c>
      <c r="S217" s="2"/>
      <c r="T217" s="3" t="s">
        <v>287</v>
      </c>
      <c r="U217" s="2"/>
      <c r="V217" s="4" t="n">
        <v>9.3</v>
      </c>
      <c r="W217" s="2" t="s">
        <v>2524</v>
      </c>
      <c r="X217" s="2" t="s">
        <v>2525</v>
      </c>
      <c r="Y217" s="2" t="s">
        <v>2526</v>
      </c>
      <c r="Z217" s="2" t="s">
        <v>2527</v>
      </c>
      <c r="AA217" s="2" t="s">
        <v>2528</v>
      </c>
      <c r="AB217" s="2" t="s">
        <v>1070</v>
      </c>
      <c r="AC217" s="2" t="s">
        <v>2529</v>
      </c>
      <c r="AD217" s="2" t="s">
        <v>2530</v>
      </c>
      <c r="AE217" s="3" t="s">
        <v>53</v>
      </c>
    </row>
    <row r="218" customFormat="false" ht="15" hidden="false" customHeight="false" outlineLevel="0" collapsed="false">
      <c r="A218" s="2" t="s">
        <v>2531</v>
      </c>
      <c r="B218" s="2" t="s">
        <v>840</v>
      </c>
      <c r="C218" s="2" t="s">
        <v>2532</v>
      </c>
      <c r="D218" s="2" t="s">
        <v>2212</v>
      </c>
      <c r="E218" s="2" t="s">
        <v>258</v>
      </c>
      <c r="F218" s="3" t="s">
        <v>86</v>
      </c>
      <c r="G218" s="2" t="s">
        <v>2533</v>
      </c>
      <c r="H218" s="2" t="s">
        <v>2534</v>
      </c>
      <c r="I218" s="2" t="s">
        <v>2535</v>
      </c>
      <c r="J218" s="2" t="s">
        <v>2536</v>
      </c>
      <c r="K218" s="2" t="s">
        <v>2537</v>
      </c>
      <c r="L218" s="2" t="s">
        <v>348</v>
      </c>
      <c r="M218" s="2"/>
      <c r="N218" s="2"/>
      <c r="O218" s="3"/>
      <c r="P218" s="2" t="s">
        <v>79</v>
      </c>
      <c r="Q218" s="2" t="s">
        <v>2538</v>
      </c>
      <c r="R218" s="2" t="s">
        <v>2539</v>
      </c>
      <c r="S218" s="2" t="s">
        <v>1067</v>
      </c>
      <c r="T218" s="3" t="s">
        <v>287</v>
      </c>
      <c r="U218" s="2"/>
      <c r="V218" s="4" t="n">
        <v>9.8</v>
      </c>
      <c r="W218" s="2" t="s">
        <v>2393</v>
      </c>
      <c r="X218" s="2" t="s">
        <v>2540</v>
      </c>
      <c r="Y218" s="2" t="s">
        <v>2541</v>
      </c>
      <c r="Z218" s="2" t="s">
        <v>2468</v>
      </c>
      <c r="AA218" s="2" t="s">
        <v>2469</v>
      </c>
      <c r="AB218" s="2" t="s">
        <v>2542</v>
      </c>
      <c r="AC218" s="2" t="s">
        <v>2261</v>
      </c>
      <c r="AD218" s="2" t="s">
        <v>2543</v>
      </c>
      <c r="AE218" s="3" t="s">
        <v>53</v>
      </c>
    </row>
    <row r="219" customFormat="false" ht="15" hidden="false" customHeight="false" outlineLevel="0" collapsed="false">
      <c r="A219" s="2" t="s">
        <v>2544</v>
      </c>
      <c r="B219" s="2" t="s">
        <v>840</v>
      </c>
      <c r="C219" s="2" t="s">
        <v>2545</v>
      </c>
      <c r="D219" s="2" t="s">
        <v>2212</v>
      </c>
      <c r="E219" s="2" t="s">
        <v>258</v>
      </c>
      <c r="F219" s="3" t="s">
        <v>86</v>
      </c>
      <c r="G219" s="2" t="s">
        <v>2546</v>
      </c>
      <c r="H219" s="2" t="s">
        <v>2547</v>
      </c>
      <c r="I219" s="2" t="s">
        <v>2548</v>
      </c>
      <c r="J219" s="2" t="s">
        <v>2549</v>
      </c>
      <c r="K219" s="2" t="s">
        <v>2550</v>
      </c>
      <c r="L219" s="2" t="s">
        <v>348</v>
      </c>
      <c r="M219" s="2"/>
      <c r="N219" s="2"/>
      <c r="O219" s="3"/>
      <c r="P219" s="2" t="s">
        <v>79</v>
      </c>
      <c r="Q219" s="2" t="s">
        <v>1056</v>
      </c>
      <c r="R219" s="2" t="s">
        <v>285</v>
      </c>
      <c r="S219" s="2" t="s">
        <v>1067</v>
      </c>
      <c r="T219" s="3" t="s">
        <v>412</v>
      </c>
      <c r="U219" s="2"/>
      <c r="V219" s="4" t="n">
        <v>10</v>
      </c>
      <c r="W219" s="2" t="s">
        <v>2221</v>
      </c>
      <c r="X219" s="2" t="s">
        <v>2551</v>
      </c>
      <c r="Y219" s="2" t="s">
        <v>2552</v>
      </c>
      <c r="Z219" s="2" t="s">
        <v>2553</v>
      </c>
      <c r="AA219" s="2" t="s">
        <v>2554</v>
      </c>
      <c r="AB219" s="2" t="s">
        <v>2555</v>
      </c>
      <c r="AC219" s="2" t="s">
        <v>2556</v>
      </c>
      <c r="AD219" s="2" t="s">
        <v>2557</v>
      </c>
      <c r="AE219" s="3" t="s">
        <v>53</v>
      </c>
    </row>
    <row r="220" customFormat="false" ht="15" hidden="false" customHeight="false" outlineLevel="0" collapsed="false">
      <c r="A220" s="2" t="s">
        <v>2558</v>
      </c>
      <c r="B220" s="2" t="s">
        <v>840</v>
      </c>
      <c r="C220" s="2" t="s">
        <v>2559</v>
      </c>
      <c r="D220" s="2" t="s">
        <v>2212</v>
      </c>
      <c r="E220" s="2" t="s">
        <v>258</v>
      </c>
      <c r="F220" s="3" t="s">
        <v>36</v>
      </c>
      <c r="G220" s="2" t="s">
        <v>2560</v>
      </c>
      <c r="H220" s="2" t="s">
        <v>2561</v>
      </c>
      <c r="I220" s="2" t="s">
        <v>2562</v>
      </c>
      <c r="J220" s="2" t="s">
        <v>2563</v>
      </c>
      <c r="K220" s="2" t="s">
        <v>2564</v>
      </c>
      <c r="L220" s="2" t="s">
        <v>348</v>
      </c>
      <c r="M220" s="2"/>
      <c r="N220" s="2"/>
      <c r="O220" s="3"/>
      <c r="P220" s="2" t="s">
        <v>2565</v>
      </c>
      <c r="Q220" s="2" t="s">
        <v>2237</v>
      </c>
      <c r="R220" s="2" t="s">
        <v>285</v>
      </c>
      <c r="S220" s="2" t="s">
        <v>1067</v>
      </c>
      <c r="T220" s="3" t="s">
        <v>412</v>
      </c>
      <c r="U220" s="2"/>
      <c r="V220" s="4" t="n">
        <v>7.5</v>
      </c>
      <c r="W220" s="2" t="s">
        <v>2566</v>
      </c>
      <c r="X220" s="2" t="s">
        <v>2567</v>
      </c>
      <c r="Y220" s="2" t="s">
        <v>2568</v>
      </c>
      <c r="Z220" s="2" t="s">
        <v>2224</v>
      </c>
      <c r="AA220" s="2" t="s">
        <v>2569</v>
      </c>
      <c r="AB220" s="2" t="s">
        <v>2570</v>
      </c>
      <c r="AC220" s="2" t="s">
        <v>2571</v>
      </c>
      <c r="AD220" s="2" t="s">
        <v>2572</v>
      </c>
      <c r="AE220" s="3" t="s">
        <v>53</v>
      </c>
    </row>
    <row r="221" customFormat="false" ht="15" hidden="false" customHeight="false" outlineLevel="0" collapsed="false">
      <c r="A221" s="2" t="s">
        <v>2573</v>
      </c>
      <c r="B221" s="2" t="s">
        <v>840</v>
      </c>
      <c r="C221" s="2" t="s">
        <v>2574</v>
      </c>
      <c r="D221" s="2" t="s">
        <v>2212</v>
      </c>
      <c r="E221" s="2" t="s">
        <v>70</v>
      </c>
      <c r="F221" s="3" t="s">
        <v>36</v>
      </c>
      <c r="G221" s="2" t="s">
        <v>2575</v>
      </c>
      <c r="H221" s="2" t="s">
        <v>2576</v>
      </c>
      <c r="I221" s="2" t="s">
        <v>2577</v>
      </c>
      <c r="J221" s="2" t="s">
        <v>2578</v>
      </c>
      <c r="K221" s="2" t="s">
        <v>2579</v>
      </c>
      <c r="L221" s="2" t="s">
        <v>348</v>
      </c>
      <c r="M221" s="2"/>
      <c r="N221" s="2"/>
      <c r="O221" s="3"/>
      <c r="P221" s="2" t="s">
        <v>2580</v>
      </c>
      <c r="Q221" s="2" t="s">
        <v>2581</v>
      </c>
      <c r="R221" s="2" t="s">
        <v>285</v>
      </c>
      <c r="S221" s="2" t="s">
        <v>1067</v>
      </c>
      <c r="T221" s="3" t="s">
        <v>412</v>
      </c>
      <c r="U221" s="2"/>
      <c r="V221" s="4" t="n">
        <v>7.7</v>
      </c>
      <c r="W221" s="2" t="s">
        <v>2582</v>
      </c>
      <c r="X221" s="2" t="s">
        <v>2583</v>
      </c>
      <c r="Y221" s="2" t="s">
        <v>2584</v>
      </c>
      <c r="Z221" s="2" t="s">
        <v>2585</v>
      </c>
      <c r="AA221" s="2" t="s">
        <v>2586</v>
      </c>
      <c r="AB221" s="2" t="s">
        <v>2587</v>
      </c>
      <c r="AC221" s="2" t="s">
        <v>2261</v>
      </c>
      <c r="AD221" s="2" t="s">
        <v>2588</v>
      </c>
      <c r="AE221" s="3" t="s">
        <v>53</v>
      </c>
    </row>
    <row r="222" customFormat="false" ht="15" hidden="false" customHeight="false" outlineLevel="0" collapsed="false">
      <c r="A222" s="2" t="s">
        <v>2589</v>
      </c>
      <c r="B222" s="2" t="s">
        <v>840</v>
      </c>
      <c r="C222" s="2" t="s">
        <v>2590</v>
      </c>
      <c r="D222" s="2" t="s">
        <v>2212</v>
      </c>
      <c r="E222" s="2" t="s">
        <v>258</v>
      </c>
      <c r="F222" s="3" t="s">
        <v>86</v>
      </c>
      <c r="G222" s="2" t="s">
        <v>2591</v>
      </c>
      <c r="H222" s="2" t="s">
        <v>2592</v>
      </c>
      <c r="I222" s="2" t="s">
        <v>2593</v>
      </c>
      <c r="J222" s="2" t="s">
        <v>2594</v>
      </c>
      <c r="K222" s="2" t="s">
        <v>2595</v>
      </c>
      <c r="L222" s="2" t="s">
        <v>2596</v>
      </c>
      <c r="M222" s="2"/>
      <c r="N222" s="2"/>
      <c r="O222" s="3"/>
      <c r="P222" s="2" t="s">
        <v>2597</v>
      </c>
      <c r="Q222" s="2" t="s">
        <v>2598</v>
      </c>
      <c r="R222" s="2" t="s">
        <v>285</v>
      </c>
      <c r="S222" s="2" t="s">
        <v>1067</v>
      </c>
      <c r="T222" s="3" t="s">
        <v>412</v>
      </c>
      <c r="U222" s="2"/>
      <c r="V222" s="4" t="n">
        <v>10</v>
      </c>
      <c r="W222" s="2" t="s">
        <v>2221</v>
      </c>
      <c r="X222" s="2" t="s">
        <v>2599</v>
      </c>
      <c r="Y222" s="2" t="s">
        <v>2600</v>
      </c>
      <c r="Z222" s="2" t="s">
        <v>2601</v>
      </c>
      <c r="AA222" s="2" t="s">
        <v>2602</v>
      </c>
      <c r="AB222" s="2" t="s">
        <v>1048</v>
      </c>
      <c r="AC222" s="2" t="s">
        <v>2603</v>
      </c>
      <c r="AD222" s="2" t="s">
        <v>2604</v>
      </c>
      <c r="AE222" s="3" t="s">
        <v>53</v>
      </c>
    </row>
    <row r="223" customFormat="false" ht="15" hidden="false" customHeight="false" outlineLevel="0" collapsed="false">
      <c r="A223" s="2" t="s">
        <v>2605</v>
      </c>
      <c r="B223" s="2" t="s">
        <v>840</v>
      </c>
      <c r="C223" s="2" t="s">
        <v>2606</v>
      </c>
      <c r="D223" s="2" t="s">
        <v>2212</v>
      </c>
      <c r="E223" s="2" t="s">
        <v>7</v>
      </c>
      <c r="F223" s="3" t="s">
        <v>86</v>
      </c>
      <c r="G223" s="2" t="s">
        <v>2607</v>
      </c>
      <c r="H223" s="2" t="s">
        <v>2608</v>
      </c>
      <c r="I223" s="2" t="s">
        <v>2609</v>
      </c>
      <c r="J223" s="2" t="s">
        <v>2610</v>
      </c>
      <c r="K223" s="2" t="s">
        <v>2611</v>
      </c>
      <c r="L223" s="2" t="s">
        <v>1602</v>
      </c>
      <c r="M223" s="2"/>
      <c r="N223" s="2"/>
      <c r="O223" s="3"/>
      <c r="P223" s="2" t="s">
        <v>2612</v>
      </c>
      <c r="Q223" s="2" t="s">
        <v>157</v>
      </c>
      <c r="R223" s="2" t="s">
        <v>158</v>
      </c>
      <c r="S223" s="2" t="s">
        <v>1067</v>
      </c>
      <c r="T223" s="3" t="s">
        <v>675</v>
      </c>
      <c r="U223" s="2"/>
      <c r="V223" s="4" t="n">
        <v>9.8</v>
      </c>
      <c r="W223" s="2" t="s">
        <v>2613</v>
      </c>
      <c r="X223" s="2" t="s">
        <v>2614</v>
      </c>
      <c r="Y223" s="2" t="s">
        <v>2615</v>
      </c>
      <c r="Z223" s="2" t="s">
        <v>2616</v>
      </c>
      <c r="AA223" s="2" t="s">
        <v>2617</v>
      </c>
      <c r="AB223" s="2" t="s">
        <v>1080</v>
      </c>
      <c r="AC223" s="2" t="s">
        <v>2618</v>
      </c>
      <c r="AD223" s="2" t="s">
        <v>2619</v>
      </c>
      <c r="AE223" s="3" t="s">
        <v>53</v>
      </c>
    </row>
    <row r="224" customFormat="false" ht="15" hidden="false" customHeight="false" outlineLevel="0" collapsed="false">
      <c r="A224" s="2" t="s">
        <v>2620</v>
      </c>
      <c r="B224" s="2" t="s">
        <v>840</v>
      </c>
      <c r="C224" s="2" t="s">
        <v>2621</v>
      </c>
      <c r="D224" s="2" t="s">
        <v>2212</v>
      </c>
      <c r="E224" s="2" t="s">
        <v>258</v>
      </c>
      <c r="F224" s="3" t="s">
        <v>86</v>
      </c>
      <c r="G224" s="2" t="s">
        <v>2622</v>
      </c>
      <c r="H224" s="2" t="s">
        <v>2623</v>
      </c>
      <c r="I224" s="2" t="s">
        <v>2624</v>
      </c>
      <c r="J224" s="2" t="s">
        <v>2625</v>
      </c>
      <c r="K224" s="2" t="s">
        <v>2626</v>
      </c>
      <c r="L224" s="2" t="s">
        <v>2596</v>
      </c>
      <c r="M224" s="2"/>
      <c r="N224" s="2"/>
      <c r="O224" s="3"/>
      <c r="P224" s="2" t="s">
        <v>79</v>
      </c>
      <c r="Q224" s="2" t="s">
        <v>410</v>
      </c>
      <c r="R224" s="2" t="s">
        <v>285</v>
      </c>
      <c r="S224" s="2" t="s">
        <v>1067</v>
      </c>
      <c r="T224" s="3" t="s">
        <v>412</v>
      </c>
      <c r="U224" s="2"/>
      <c r="V224" s="4" t="n">
        <v>9.8</v>
      </c>
      <c r="W224" s="2" t="s">
        <v>2613</v>
      </c>
      <c r="X224" s="2" t="s">
        <v>2627</v>
      </c>
      <c r="Y224" s="2" t="s">
        <v>2628</v>
      </c>
      <c r="Z224" s="2" t="s">
        <v>2629</v>
      </c>
      <c r="AA224" s="2" t="s">
        <v>2497</v>
      </c>
      <c r="AB224" s="2" t="s">
        <v>1037</v>
      </c>
      <c r="AC224" s="2" t="s">
        <v>2630</v>
      </c>
      <c r="AD224" s="2" t="s">
        <v>2631</v>
      </c>
      <c r="AE224" s="3" t="s">
        <v>53</v>
      </c>
    </row>
    <row r="225" customFormat="false" ht="15" hidden="false" customHeight="false" outlineLevel="0" collapsed="false">
      <c r="A225" s="2" t="s">
        <v>2632</v>
      </c>
      <c r="B225" s="2" t="s">
        <v>840</v>
      </c>
      <c r="C225" s="2" t="s">
        <v>2633</v>
      </c>
      <c r="D225" s="2" t="s">
        <v>2212</v>
      </c>
      <c r="E225" s="2" t="s">
        <v>189</v>
      </c>
      <c r="F225" s="3" t="s">
        <v>36</v>
      </c>
      <c r="G225" s="2" t="s">
        <v>2634</v>
      </c>
      <c r="H225" s="2" t="s">
        <v>2635</v>
      </c>
      <c r="I225" s="2" t="s">
        <v>2636</v>
      </c>
      <c r="J225" s="2" t="s">
        <v>2637</v>
      </c>
      <c r="K225" s="2" t="s">
        <v>2638</v>
      </c>
      <c r="L225" s="2" t="s">
        <v>348</v>
      </c>
      <c r="M225" s="2"/>
      <c r="N225" s="2"/>
      <c r="O225" s="3"/>
      <c r="P225" s="2" t="s">
        <v>2639</v>
      </c>
      <c r="Q225" s="2" t="s">
        <v>2640</v>
      </c>
      <c r="R225" s="2" t="s">
        <v>285</v>
      </c>
      <c r="S225" s="2" t="s">
        <v>1067</v>
      </c>
      <c r="T225" s="3" t="s">
        <v>412</v>
      </c>
      <c r="U225" s="2"/>
      <c r="V225" s="4" t="n">
        <v>7.5</v>
      </c>
      <c r="W225" s="2" t="s">
        <v>2300</v>
      </c>
      <c r="X225" s="2" t="s">
        <v>2641</v>
      </c>
      <c r="Y225" s="2" t="s">
        <v>2642</v>
      </c>
      <c r="Z225" s="2" t="s">
        <v>2643</v>
      </c>
      <c r="AA225" s="2" t="s">
        <v>2644</v>
      </c>
      <c r="AB225" s="2" t="s">
        <v>978</v>
      </c>
      <c r="AC225" s="2" t="s">
        <v>2645</v>
      </c>
      <c r="AD225" s="2" t="s">
        <v>2646</v>
      </c>
      <c r="AE225" s="3" t="s">
        <v>53</v>
      </c>
    </row>
    <row r="226" customFormat="false" ht="15" hidden="false" customHeight="false" outlineLevel="0" collapsed="false">
      <c r="A226" s="2" t="s">
        <v>2647</v>
      </c>
      <c r="B226" s="2" t="s">
        <v>840</v>
      </c>
      <c r="C226" s="2" t="s">
        <v>2648</v>
      </c>
      <c r="D226" s="2" t="s">
        <v>2212</v>
      </c>
      <c r="E226" s="2" t="s">
        <v>70</v>
      </c>
      <c r="F226" s="3" t="s">
        <v>86</v>
      </c>
      <c r="G226" s="2" t="s">
        <v>2649</v>
      </c>
      <c r="H226" s="2" t="s">
        <v>2650</v>
      </c>
      <c r="I226" s="2" t="s">
        <v>2651</v>
      </c>
      <c r="J226" s="2" t="s">
        <v>2652</v>
      </c>
      <c r="K226" s="2" t="s">
        <v>2653</v>
      </c>
      <c r="L226" s="2" t="s">
        <v>348</v>
      </c>
      <c r="M226" s="2"/>
      <c r="N226" s="2"/>
      <c r="O226" s="3"/>
      <c r="P226" s="2" t="s">
        <v>94</v>
      </c>
      <c r="Q226" s="2" t="s">
        <v>2425</v>
      </c>
      <c r="R226" s="2" t="s">
        <v>285</v>
      </c>
      <c r="S226" s="2" t="s">
        <v>1067</v>
      </c>
      <c r="T226" s="3" t="s">
        <v>412</v>
      </c>
      <c r="U226" s="2"/>
      <c r="V226" s="4" t="n">
        <v>10</v>
      </c>
      <c r="W226" s="2" t="s">
        <v>2654</v>
      </c>
      <c r="X226" s="2" t="s">
        <v>2655</v>
      </c>
      <c r="Y226" s="2" t="s">
        <v>2656</v>
      </c>
      <c r="Z226" s="2" t="s">
        <v>2274</v>
      </c>
      <c r="AA226" s="2" t="s">
        <v>2657</v>
      </c>
      <c r="AB226" s="2" t="s">
        <v>978</v>
      </c>
      <c r="AC226" s="2" t="s">
        <v>2658</v>
      </c>
      <c r="AD226" s="2" t="s">
        <v>2659</v>
      </c>
      <c r="AE226" s="3" t="s">
        <v>53</v>
      </c>
    </row>
    <row r="227" customFormat="false" ht="15" hidden="false" customHeight="false" outlineLevel="0" collapsed="false">
      <c r="A227" s="2" t="s">
        <v>2660</v>
      </c>
      <c r="B227" s="2" t="s">
        <v>840</v>
      </c>
      <c r="C227" s="2" t="s">
        <v>2661</v>
      </c>
      <c r="D227" s="2" t="s">
        <v>2212</v>
      </c>
      <c r="E227" s="2" t="s">
        <v>258</v>
      </c>
      <c r="F227" s="3" t="s">
        <v>36</v>
      </c>
      <c r="G227" s="2" t="s">
        <v>2662</v>
      </c>
      <c r="H227" s="2" t="s">
        <v>2663</v>
      </c>
      <c r="I227" s="2" t="s">
        <v>2664</v>
      </c>
      <c r="J227" s="2" t="s">
        <v>2665</v>
      </c>
      <c r="K227" s="2" t="s">
        <v>2666</v>
      </c>
      <c r="L227" s="2" t="s">
        <v>348</v>
      </c>
      <c r="M227" s="2"/>
      <c r="N227" s="2"/>
      <c r="O227" s="3"/>
      <c r="P227" s="2" t="s">
        <v>79</v>
      </c>
      <c r="Q227" s="2" t="s">
        <v>2667</v>
      </c>
      <c r="R227" s="2" t="s">
        <v>285</v>
      </c>
      <c r="S227" s="2" t="s">
        <v>286</v>
      </c>
      <c r="T227" s="3" t="s">
        <v>412</v>
      </c>
      <c r="U227" s="2"/>
      <c r="V227" s="4" t="n">
        <v>8.1</v>
      </c>
      <c r="W227" s="2" t="s">
        <v>2668</v>
      </c>
      <c r="X227" s="2" t="s">
        <v>2669</v>
      </c>
      <c r="Y227" s="2" t="s">
        <v>2670</v>
      </c>
      <c r="Z227" s="2" t="s">
        <v>2274</v>
      </c>
      <c r="AA227" s="2" t="s">
        <v>2671</v>
      </c>
      <c r="AB227" s="2" t="s">
        <v>1014</v>
      </c>
      <c r="AC227" s="2" t="s">
        <v>2672</v>
      </c>
      <c r="AD227" s="2" t="s">
        <v>2673</v>
      </c>
      <c r="AE227" s="3" t="s">
        <v>53</v>
      </c>
    </row>
    <row r="228" customFormat="false" ht="15" hidden="false" customHeight="false" outlineLevel="0" collapsed="false">
      <c r="A228" s="2" t="s">
        <v>2674</v>
      </c>
      <c r="B228" s="2" t="s">
        <v>840</v>
      </c>
      <c r="C228" s="2" t="s">
        <v>2675</v>
      </c>
      <c r="D228" s="2" t="s">
        <v>2212</v>
      </c>
      <c r="E228" s="2" t="s">
        <v>189</v>
      </c>
      <c r="F228" s="3" t="s">
        <v>36</v>
      </c>
      <c r="G228" s="2" t="s">
        <v>2676</v>
      </c>
      <c r="H228" s="2" t="s">
        <v>2677</v>
      </c>
      <c r="I228" s="2" t="s">
        <v>2678</v>
      </c>
      <c r="J228" s="2" t="s">
        <v>2679</v>
      </c>
      <c r="K228" s="2" t="s">
        <v>2680</v>
      </c>
      <c r="L228" s="2" t="s">
        <v>2681</v>
      </c>
      <c r="M228" s="2"/>
      <c r="N228" s="2"/>
      <c r="O228" s="3"/>
      <c r="P228" s="2" t="s">
        <v>2682</v>
      </c>
      <c r="Q228" s="2" t="s">
        <v>2683</v>
      </c>
      <c r="R228" s="2" t="s">
        <v>285</v>
      </c>
      <c r="S228" s="2" t="s">
        <v>286</v>
      </c>
      <c r="T228" s="3" t="s">
        <v>287</v>
      </c>
      <c r="U228" s="2"/>
      <c r="V228" s="4" t="n">
        <v>7.5</v>
      </c>
      <c r="W228" s="2" t="s">
        <v>2300</v>
      </c>
      <c r="X228" s="2" t="s">
        <v>2684</v>
      </c>
      <c r="Y228" s="2" t="s">
        <v>2685</v>
      </c>
      <c r="Z228" s="2" t="s">
        <v>2686</v>
      </c>
      <c r="AA228" s="2" t="s">
        <v>2687</v>
      </c>
      <c r="AB228" s="2" t="s">
        <v>2688</v>
      </c>
      <c r="AC228" s="2" t="s">
        <v>2689</v>
      </c>
      <c r="AD228" s="2" t="s">
        <v>2690</v>
      </c>
      <c r="AE228" s="3" t="s">
        <v>53</v>
      </c>
    </row>
    <row r="229" customFormat="false" ht="15" hidden="false" customHeight="false" outlineLevel="0" collapsed="false">
      <c r="A229" s="2" t="s">
        <v>2691</v>
      </c>
      <c r="B229" s="2" t="s">
        <v>840</v>
      </c>
      <c r="C229" s="2" t="s">
        <v>2692</v>
      </c>
      <c r="D229" s="2" t="s">
        <v>2212</v>
      </c>
      <c r="E229" s="2" t="s">
        <v>70</v>
      </c>
      <c r="F229" s="3" t="s">
        <v>86</v>
      </c>
      <c r="G229" s="2" t="s">
        <v>2693</v>
      </c>
      <c r="H229" s="2" t="s">
        <v>2694</v>
      </c>
      <c r="I229" s="2" t="s">
        <v>2695</v>
      </c>
      <c r="J229" s="2" t="s">
        <v>2696</v>
      </c>
      <c r="K229" s="2" t="s">
        <v>2697</v>
      </c>
      <c r="L229" s="2" t="s">
        <v>2698</v>
      </c>
      <c r="M229" s="2"/>
      <c r="N229" s="2"/>
      <c r="O229" s="3"/>
      <c r="P229" s="2" t="s">
        <v>2699</v>
      </c>
      <c r="Q229" s="2" t="s">
        <v>95</v>
      </c>
      <c r="R229" s="2" t="s">
        <v>96</v>
      </c>
      <c r="S229" s="2" t="s">
        <v>1067</v>
      </c>
      <c r="T229" s="3" t="s">
        <v>82</v>
      </c>
      <c r="U229" s="2"/>
      <c r="V229" s="4" t="n">
        <v>9.8</v>
      </c>
      <c r="W229" s="2" t="s">
        <v>2393</v>
      </c>
      <c r="X229" s="2" t="s">
        <v>2700</v>
      </c>
      <c r="Y229" s="2" t="s">
        <v>2701</v>
      </c>
      <c r="Z229" s="2" t="s">
        <v>2702</v>
      </c>
      <c r="AA229" s="2" t="s">
        <v>2703</v>
      </c>
      <c r="AB229" s="2" t="s">
        <v>2704</v>
      </c>
      <c r="AC229" s="2" t="s">
        <v>2705</v>
      </c>
      <c r="AD229" s="2" t="s">
        <v>2706</v>
      </c>
      <c r="AE229" s="3" t="s">
        <v>53</v>
      </c>
    </row>
    <row r="230" customFormat="false" ht="15" hidden="false" customHeight="false" outlineLevel="0" collapsed="false">
      <c r="A230" s="2" t="s">
        <v>2707</v>
      </c>
      <c r="B230" s="2" t="s">
        <v>840</v>
      </c>
      <c r="C230" s="2" t="s">
        <v>2708</v>
      </c>
      <c r="D230" s="2" t="s">
        <v>2212</v>
      </c>
      <c r="E230" s="2" t="s">
        <v>258</v>
      </c>
      <c r="F230" s="3" t="s">
        <v>86</v>
      </c>
      <c r="G230" s="2" t="s">
        <v>2709</v>
      </c>
      <c r="H230" s="2" t="s">
        <v>2710</v>
      </c>
      <c r="I230" s="2" t="s">
        <v>2711</v>
      </c>
      <c r="J230" s="2" t="s">
        <v>2712</v>
      </c>
      <c r="K230" s="2" t="s">
        <v>2713</v>
      </c>
      <c r="L230" s="2" t="s">
        <v>348</v>
      </c>
      <c r="M230" s="2"/>
      <c r="N230" s="2"/>
      <c r="O230" s="3"/>
      <c r="P230" s="2" t="s">
        <v>2714</v>
      </c>
      <c r="Q230" s="2" t="s">
        <v>1056</v>
      </c>
      <c r="R230" s="2" t="s">
        <v>285</v>
      </c>
      <c r="S230" s="2" t="s">
        <v>1067</v>
      </c>
      <c r="T230" s="3" t="s">
        <v>675</v>
      </c>
      <c r="U230" s="2"/>
      <c r="V230" s="4" t="n">
        <v>9.8</v>
      </c>
      <c r="W230" s="2" t="s">
        <v>2393</v>
      </c>
      <c r="X230" s="2" t="s">
        <v>2715</v>
      </c>
      <c r="Y230" s="2" t="s">
        <v>2716</v>
      </c>
      <c r="Z230" s="2" t="s">
        <v>2717</v>
      </c>
      <c r="AA230" s="2" t="s">
        <v>2718</v>
      </c>
      <c r="AB230" s="2" t="s">
        <v>2719</v>
      </c>
      <c r="AC230" s="2" t="s">
        <v>2261</v>
      </c>
      <c r="AD230" s="2" t="s">
        <v>2720</v>
      </c>
      <c r="AE230" s="3" t="s">
        <v>53</v>
      </c>
    </row>
    <row r="231" customFormat="false" ht="15" hidden="false" customHeight="false" outlineLevel="0" collapsed="false">
      <c r="A231" s="2" t="s">
        <v>2721</v>
      </c>
      <c r="B231" s="2" t="s">
        <v>840</v>
      </c>
      <c r="C231" s="2" t="s">
        <v>2722</v>
      </c>
      <c r="D231" s="2" t="s">
        <v>2212</v>
      </c>
      <c r="E231" s="2" t="s">
        <v>258</v>
      </c>
      <c r="F231" s="3" t="s">
        <v>86</v>
      </c>
      <c r="G231" s="2" t="s">
        <v>2723</v>
      </c>
      <c r="H231" s="2" t="s">
        <v>2724</v>
      </c>
      <c r="I231" s="2" t="s">
        <v>2725</v>
      </c>
      <c r="J231" s="2" t="s">
        <v>2726</v>
      </c>
      <c r="K231" s="2" t="s">
        <v>2727</v>
      </c>
      <c r="L231" s="2" t="s">
        <v>348</v>
      </c>
      <c r="M231" s="2"/>
      <c r="N231" s="2"/>
      <c r="O231" s="3"/>
      <c r="P231" s="2" t="s">
        <v>79</v>
      </c>
      <c r="Q231" s="2" t="s">
        <v>2728</v>
      </c>
      <c r="R231" s="2" t="s">
        <v>96</v>
      </c>
      <c r="S231" s="2" t="s">
        <v>1067</v>
      </c>
      <c r="T231" s="3" t="s">
        <v>412</v>
      </c>
      <c r="U231" s="2"/>
      <c r="V231" s="4" t="n">
        <v>10</v>
      </c>
      <c r="W231" s="2" t="s">
        <v>2221</v>
      </c>
      <c r="X231" s="2" t="s">
        <v>2729</v>
      </c>
      <c r="Y231" s="2" t="s">
        <v>2730</v>
      </c>
      <c r="Z231" s="2" t="s">
        <v>2731</v>
      </c>
      <c r="AA231" s="2" t="s">
        <v>2732</v>
      </c>
      <c r="AB231" s="2" t="s">
        <v>2733</v>
      </c>
      <c r="AC231" s="2" t="s">
        <v>2734</v>
      </c>
      <c r="AD231" s="2" t="s">
        <v>2735</v>
      </c>
      <c r="AE231" s="3" t="s">
        <v>53</v>
      </c>
    </row>
    <row r="232" customFormat="false" ht="15" hidden="false" customHeight="false" outlineLevel="0" collapsed="false">
      <c r="A232" s="2" t="s">
        <v>2736</v>
      </c>
      <c r="B232" s="2" t="s">
        <v>840</v>
      </c>
      <c r="C232" s="2" t="s">
        <v>2737</v>
      </c>
      <c r="D232" s="2" t="s">
        <v>2212</v>
      </c>
      <c r="E232" s="2" t="s">
        <v>258</v>
      </c>
      <c r="F232" s="3" t="s">
        <v>86</v>
      </c>
      <c r="G232" s="2" t="s">
        <v>2738</v>
      </c>
      <c r="H232" s="2" t="s">
        <v>2739</v>
      </c>
      <c r="I232" s="2" t="s">
        <v>2740</v>
      </c>
      <c r="J232" s="2" t="s">
        <v>2741</v>
      </c>
      <c r="K232" s="2" t="s">
        <v>2742</v>
      </c>
      <c r="L232" s="2" t="s">
        <v>348</v>
      </c>
      <c r="M232" s="2"/>
      <c r="N232" s="2"/>
      <c r="O232" s="3"/>
      <c r="P232" s="2" t="s">
        <v>1166</v>
      </c>
      <c r="Q232" s="2" t="s">
        <v>2743</v>
      </c>
      <c r="R232" s="2" t="s">
        <v>285</v>
      </c>
      <c r="S232" s="2" t="s">
        <v>1067</v>
      </c>
      <c r="T232" s="3" t="s">
        <v>412</v>
      </c>
      <c r="U232" s="2"/>
      <c r="V232" s="4" t="n">
        <v>9.2</v>
      </c>
      <c r="W232" s="2" t="s">
        <v>2744</v>
      </c>
      <c r="X232" s="2" t="s">
        <v>2745</v>
      </c>
      <c r="Y232" s="2" t="s">
        <v>2746</v>
      </c>
      <c r="Z232" s="2" t="s">
        <v>2747</v>
      </c>
      <c r="AA232" s="2" t="s">
        <v>2748</v>
      </c>
      <c r="AB232" s="2" t="s">
        <v>2749</v>
      </c>
      <c r="AC232" s="2" t="s">
        <v>2750</v>
      </c>
      <c r="AD232" s="2" t="s">
        <v>2751</v>
      </c>
      <c r="AE232" s="3" t="s">
        <v>53</v>
      </c>
    </row>
    <row r="233" customFormat="false" ht="15" hidden="false" customHeight="false" outlineLevel="0" collapsed="false">
      <c r="A233" s="2" t="s">
        <v>2752</v>
      </c>
      <c r="B233" s="2" t="s">
        <v>1091</v>
      </c>
      <c r="C233" s="2" t="s">
        <v>2753</v>
      </c>
      <c r="D233" s="2" t="s">
        <v>2212</v>
      </c>
      <c r="E233" s="2" t="s">
        <v>189</v>
      </c>
      <c r="F233" s="3" t="s">
        <v>86</v>
      </c>
      <c r="G233" s="2" t="s">
        <v>2754</v>
      </c>
      <c r="H233" s="2" t="s">
        <v>2755</v>
      </c>
      <c r="I233" s="2" t="s">
        <v>2756</v>
      </c>
      <c r="J233" s="2" t="s">
        <v>2757</v>
      </c>
      <c r="K233" s="2" t="s">
        <v>2758</v>
      </c>
      <c r="L233" s="2" t="s">
        <v>2759</v>
      </c>
      <c r="M233" s="2"/>
      <c r="N233" s="2"/>
      <c r="O233" s="3"/>
      <c r="P233" s="2" t="s">
        <v>2760</v>
      </c>
      <c r="Q233" s="2" t="s">
        <v>2538</v>
      </c>
      <c r="R233" s="2" t="s">
        <v>2539</v>
      </c>
      <c r="S233" s="2" t="s">
        <v>1067</v>
      </c>
      <c r="T233" s="3" t="s">
        <v>412</v>
      </c>
      <c r="U233" s="2"/>
      <c r="V233" s="4" t="n">
        <v>9.1</v>
      </c>
      <c r="W233" s="2" t="s">
        <v>2761</v>
      </c>
      <c r="X233" s="2" t="s">
        <v>2762</v>
      </c>
      <c r="Y233" s="2" t="s">
        <v>2763</v>
      </c>
      <c r="Z233" s="2" t="s">
        <v>2224</v>
      </c>
      <c r="AA233" s="2" t="s">
        <v>2764</v>
      </c>
      <c r="AB233" s="2" t="s">
        <v>1135</v>
      </c>
      <c r="AC233" s="2" t="s">
        <v>2765</v>
      </c>
      <c r="AD233" s="2" t="s">
        <v>2766</v>
      </c>
      <c r="AE233" s="3" t="s">
        <v>53</v>
      </c>
    </row>
    <row r="234" customFormat="false" ht="15" hidden="false" customHeight="false" outlineLevel="0" collapsed="false">
      <c r="A234" s="2" t="s">
        <v>2767</v>
      </c>
      <c r="B234" s="2" t="s">
        <v>1091</v>
      </c>
      <c r="C234" s="2" t="s">
        <v>2768</v>
      </c>
      <c r="D234" s="2" t="s">
        <v>2212</v>
      </c>
      <c r="E234" s="2" t="s">
        <v>258</v>
      </c>
      <c r="F234" s="3" t="s">
        <v>86</v>
      </c>
      <c r="G234" s="2" t="s">
        <v>2769</v>
      </c>
      <c r="H234" s="2" t="s">
        <v>2770</v>
      </c>
      <c r="I234" s="2" t="s">
        <v>2771</v>
      </c>
      <c r="J234" s="2" t="s">
        <v>2772</v>
      </c>
      <c r="K234" s="2" t="s">
        <v>2773</v>
      </c>
      <c r="L234" s="2" t="s">
        <v>2596</v>
      </c>
      <c r="M234" s="2"/>
      <c r="N234" s="2"/>
      <c r="O234" s="3"/>
      <c r="P234" s="2" t="s">
        <v>1166</v>
      </c>
      <c r="Q234" s="2" t="s">
        <v>2774</v>
      </c>
      <c r="R234" s="2" t="s">
        <v>285</v>
      </c>
      <c r="S234" s="2" t="s">
        <v>1067</v>
      </c>
      <c r="T234" s="3" t="s">
        <v>412</v>
      </c>
      <c r="U234" s="2"/>
      <c r="V234" s="4" t="n">
        <v>9.8</v>
      </c>
      <c r="W234" s="2" t="s">
        <v>2393</v>
      </c>
      <c r="X234" s="2" t="s">
        <v>2775</v>
      </c>
      <c r="Y234" s="2" t="s">
        <v>2776</v>
      </c>
      <c r="Z234" s="2" t="s">
        <v>2777</v>
      </c>
      <c r="AA234" s="2" t="s">
        <v>2764</v>
      </c>
      <c r="AB234" s="2" t="s">
        <v>2778</v>
      </c>
      <c r="AC234" s="2" t="s">
        <v>2779</v>
      </c>
      <c r="AD234" s="2" t="s">
        <v>2780</v>
      </c>
      <c r="AE234" s="3" t="s">
        <v>53</v>
      </c>
    </row>
    <row r="235" customFormat="false" ht="15" hidden="false" customHeight="false" outlineLevel="0" collapsed="false">
      <c r="A235" s="2" t="s">
        <v>2781</v>
      </c>
      <c r="B235" s="2" t="s">
        <v>1091</v>
      </c>
      <c r="C235" s="2" t="s">
        <v>2782</v>
      </c>
      <c r="D235" s="2" t="s">
        <v>2212</v>
      </c>
      <c r="E235" s="2" t="s">
        <v>258</v>
      </c>
      <c r="F235" s="3" t="s">
        <v>86</v>
      </c>
      <c r="G235" s="2" t="s">
        <v>2783</v>
      </c>
      <c r="H235" s="2" t="s">
        <v>2784</v>
      </c>
      <c r="I235" s="2" t="s">
        <v>2785</v>
      </c>
      <c r="J235" s="2" t="s">
        <v>2786</v>
      </c>
      <c r="K235" s="2" t="s">
        <v>2787</v>
      </c>
      <c r="L235" s="2" t="s">
        <v>2596</v>
      </c>
      <c r="M235" s="2"/>
      <c r="N235" s="2"/>
      <c r="O235" s="3"/>
      <c r="P235" s="2" t="s">
        <v>2788</v>
      </c>
      <c r="Q235" s="2" t="s">
        <v>2774</v>
      </c>
      <c r="R235" s="2" t="s">
        <v>285</v>
      </c>
      <c r="S235" s="2" t="s">
        <v>1067</v>
      </c>
      <c r="T235" s="3" t="s">
        <v>412</v>
      </c>
      <c r="U235" s="2"/>
      <c r="V235" s="4" t="n">
        <v>9.6</v>
      </c>
      <c r="W235" s="2" t="s">
        <v>2393</v>
      </c>
      <c r="X235" s="2" t="s">
        <v>2789</v>
      </c>
      <c r="Y235" s="2" t="s">
        <v>2790</v>
      </c>
      <c r="Z235" s="2" t="s">
        <v>2791</v>
      </c>
      <c r="AA235" s="2" t="s">
        <v>2792</v>
      </c>
      <c r="AB235" s="2" t="s">
        <v>2793</v>
      </c>
      <c r="AC235" s="2" t="s">
        <v>2794</v>
      </c>
      <c r="AD235" s="2" t="s">
        <v>2795</v>
      </c>
      <c r="AE235" s="3" t="s">
        <v>53</v>
      </c>
    </row>
    <row r="236" customFormat="false" ht="15" hidden="false" customHeight="false" outlineLevel="0" collapsed="false">
      <c r="A236" s="2" t="s">
        <v>2796</v>
      </c>
      <c r="B236" s="2" t="s">
        <v>1091</v>
      </c>
      <c r="C236" s="2" t="s">
        <v>2797</v>
      </c>
      <c r="D236" s="2" t="s">
        <v>2212</v>
      </c>
      <c r="E236" s="2" t="s">
        <v>258</v>
      </c>
      <c r="F236" s="3" t="s">
        <v>86</v>
      </c>
      <c r="G236" s="2" t="s">
        <v>2798</v>
      </c>
      <c r="H236" s="2" t="s">
        <v>2799</v>
      </c>
      <c r="I236" s="2" t="s">
        <v>2800</v>
      </c>
      <c r="J236" s="2" t="s">
        <v>2801</v>
      </c>
      <c r="K236" s="2" t="s">
        <v>2802</v>
      </c>
      <c r="L236" s="2" t="s">
        <v>2596</v>
      </c>
      <c r="M236" s="2"/>
      <c r="N236" s="2"/>
      <c r="O236" s="3"/>
      <c r="P236" s="2" t="s">
        <v>2205</v>
      </c>
      <c r="Q236" s="2" t="s">
        <v>1056</v>
      </c>
      <c r="R236" s="2" t="s">
        <v>285</v>
      </c>
      <c r="S236" s="2" t="s">
        <v>1067</v>
      </c>
      <c r="T236" s="3" t="s">
        <v>412</v>
      </c>
      <c r="U236" s="2"/>
      <c r="V236" s="4" t="n">
        <v>9.8</v>
      </c>
      <c r="W236" s="2" t="s">
        <v>2393</v>
      </c>
      <c r="X236" s="2" t="s">
        <v>2803</v>
      </c>
      <c r="Y236" s="2" t="s">
        <v>2804</v>
      </c>
      <c r="Z236" s="2" t="s">
        <v>2805</v>
      </c>
      <c r="AA236" s="2" t="s">
        <v>2792</v>
      </c>
      <c r="AB236" s="2" t="s">
        <v>2806</v>
      </c>
      <c r="AC236" s="2" t="s">
        <v>2807</v>
      </c>
      <c r="AD236" s="2" t="s">
        <v>2808</v>
      </c>
      <c r="AE236" s="3" t="s">
        <v>53</v>
      </c>
    </row>
    <row r="237" customFormat="false" ht="15" hidden="false" customHeight="false" outlineLevel="0" collapsed="false">
      <c r="A237" s="2" t="s">
        <v>2809</v>
      </c>
      <c r="B237" s="2" t="s">
        <v>1091</v>
      </c>
      <c r="C237" s="2" t="s">
        <v>2810</v>
      </c>
      <c r="D237" s="2" t="s">
        <v>2212</v>
      </c>
      <c r="E237" s="2" t="s">
        <v>258</v>
      </c>
      <c r="F237" s="3" t="s">
        <v>86</v>
      </c>
      <c r="G237" s="2" t="s">
        <v>2811</v>
      </c>
      <c r="H237" s="2" t="s">
        <v>2812</v>
      </c>
      <c r="I237" s="2" t="s">
        <v>2813</v>
      </c>
      <c r="J237" s="2" t="s">
        <v>2814</v>
      </c>
      <c r="K237" s="2" t="s">
        <v>2815</v>
      </c>
      <c r="L237" s="2" t="s">
        <v>348</v>
      </c>
      <c r="M237" s="2"/>
      <c r="N237" s="2"/>
      <c r="O237" s="3"/>
      <c r="P237" s="2" t="s">
        <v>2816</v>
      </c>
      <c r="Q237" s="2" t="s">
        <v>2284</v>
      </c>
      <c r="R237" s="2" t="s">
        <v>2539</v>
      </c>
      <c r="S237" s="2" t="s">
        <v>1067</v>
      </c>
      <c r="T237" s="3" t="s">
        <v>412</v>
      </c>
      <c r="U237" s="2"/>
      <c r="V237" s="4" t="n">
        <v>9.4</v>
      </c>
      <c r="W237" s="2" t="s">
        <v>2393</v>
      </c>
      <c r="X237" s="2" t="s">
        <v>2817</v>
      </c>
      <c r="Y237" s="2" t="s">
        <v>2818</v>
      </c>
      <c r="Z237" s="2" t="s">
        <v>2819</v>
      </c>
      <c r="AA237" s="2" t="s">
        <v>2792</v>
      </c>
      <c r="AB237" s="2" t="s">
        <v>1102</v>
      </c>
      <c r="AC237" s="2" t="s">
        <v>2820</v>
      </c>
      <c r="AD237" s="2" t="s">
        <v>2821</v>
      </c>
      <c r="AE237" s="3" t="s">
        <v>53</v>
      </c>
    </row>
    <row r="238" customFormat="false" ht="15" hidden="false" customHeight="false" outlineLevel="0" collapsed="false">
      <c r="A238" s="2" t="s">
        <v>2822</v>
      </c>
      <c r="B238" s="2" t="s">
        <v>1091</v>
      </c>
      <c r="C238" s="2" t="s">
        <v>2823</v>
      </c>
      <c r="D238" s="2" t="s">
        <v>2212</v>
      </c>
      <c r="E238" s="2" t="s">
        <v>258</v>
      </c>
      <c r="F238" s="3" t="s">
        <v>86</v>
      </c>
      <c r="G238" s="2" t="s">
        <v>2824</v>
      </c>
      <c r="H238" s="2" t="s">
        <v>2825</v>
      </c>
      <c r="I238" s="2" t="s">
        <v>2826</v>
      </c>
      <c r="J238" s="2" t="s">
        <v>2827</v>
      </c>
      <c r="K238" s="2" t="s">
        <v>2828</v>
      </c>
      <c r="L238" s="2" t="s">
        <v>2596</v>
      </c>
      <c r="M238" s="2"/>
      <c r="N238" s="2"/>
      <c r="O238" s="3"/>
      <c r="P238" s="2" t="s">
        <v>2829</v>
      </c>
      <c r="Q238" s="2" t="s">
        <v>2774</v>
      </c>
      <c r="R238" s="2" t="s">
        <v>285</v>
      </c>
      <c r="S238" s="2"/>
      <c r="T238" s="3" t="s">
        <v>50</v>
      </c>
      <c r="U238" s="2"/>
      <c r="V238" s="4" t="n">
        <v>9.4</v>
      </c>
      <c r="W238" s="2" t="s">
        <v>2393</v>
      </c>
      <c r="X238" s="2" t="s">
        <v>2830</v>
      </c>
      <c r="Y238" s="2" t="s">
        <v>2831</v>
      </c>
      <c r="Z238" s="2" t="s">
        <v>2832</v>
      </c>
      <c r="AA238" s="2" t="s">
        <v>2833</v>
      </c>
      <c r="AB238" s="2" t="s">
        <v>2834</v>
      </c>
      <c r="AC238" s="2" t="s">
        <v>2261</v>
      </c>
      <c r="AD238" s="2" t="s">
        <v>2835</v>
      </c>
      <c r="AE238" s="3" t="s">
        <v>53</v>
      </c>
    </row>
    <row r="239" customFormat="false" ht="15" hidden="false" customHeight="false" outlineLevel="0" collapsed="false">
      <c r="A239" s="2" t="s">
        <v>2836</v>
      </c>
      <c r="B239" s="2" t="s">
        <v>1091</v>
      </c>
      <c r="C239" s="2" t="s">
        <v>2837</v>
      </c>
      <c r="D239" s="2" t="s">
        <v>2212</v>
      </c>
      <c r="E239" s="2" t="s">
        <v>258</v>
      </c>
      <c r="F239" s="3" t="s">
        <v>86</v>
      </c>
      <c r="G239" s="2" t="s">
        <v>2838</v>
      </c>
      <c r="H239" s="2" t="s">
        <v>2839</v>
      </c>
      <c r="I239" s="2" t="s">
        <v>2840</v>
      </c>
      <c r="J239" s="2" t="s">
        <v>2841</v>
      </c>
      <c r="K239" s="2" t="s">
        <v>2842</v>
      </c>
      <c r="L239" s="2" t="s">
        <v>348</v>
      </c>
      <c r="M239" s="2"/>
      <c r="N239" s="2"/>
      <c r="O239" s="3"/>
      <c r="P239" s="2" t="s">
        <v>170</v>
      </c>
      <c r="Q239" s="2" t="s">
        <v>2538</v>
      </c>
      <c r="R239" s="2" t="s">
        <v>2539</v>
      </c>
      <c r="S239" s="2"/>
      <c r="T239" s="3" t="s">
        <v>412</v>
      </c>
      <c r="U239" s="2"/>
      <c r="V239" s="4" t="n">
        <v>9.8</v>
      </c>
      <c r="W239" s="2" t="s">
        <v>2393</v>
      </c>
      <c r="X239" s="2" t="s">
        <v>2843</v>
      </c>
      <c r="Y239" s="2" t="s">
        <v>2844</v>
      </c>
      <c r="Z239" s="2" t="s">
        <v>2845</v>
      </c>
      <c r="AA239" s="2" t="s">
        <v>2846</v>
      </c>
      <c r="AB239" s="2" t="s">
        <v>1102</v>
      </c>
      <c r="AC239" s="2" t="s">
        <v>2261</v>
      </c>
      <c r="AD239" s="2" t="s">
        <v>2847</v>
      </c>
      <c r="AE239" s="3" t="s">
        <v>53</v>
      </c>
    </row>
    <row r="240" customFormat="false" ht="15" hidden="false" customHeight="false" outlineLevel="0" collapsed="false">
      <c r="A240" s="2" t="s">
        <v>2848</v>
      </c>
      <c r="B240" s="2" t="s">
        <v>1091</v>
      </c>
      <c r="C240" s="2" t="s">
        <v>2849</v>
      </c>
      <c r="D240" s="2" t="s">
        <v>2212</v>
      </c>
      <c r="E240" s="2" t="s">
        <v>258</v>
      </c>
      <c r="F240" s="3" t="s">
        <v>86</v>
      </c>
      <c r="G240" s="2" t="s">
        <v>2850</v>
      </c>
      <c r="H240" s="2" t="s">
        <v>2851</v>
      </c>
      <c r="I240" s="2" t="s">
        <v>2852</v>
      </c>
      <c r="J240" s="2" t="s">
        <v>2853</v>
      </c>
      <c r="K240" s="2" t="s">
        <v>2854</v>
      </c>
      <c r="L240" s="2" t="s">
        <v>348</v>
      </c>
      <c r="M240" s="2"/>
      <c r="N240" s="2"/>
      <c r="O240" s="3"/>
      <c r="P240" s="2" t="s">
        <v>1166</v>
      </c>
      <c r="Q240" s="2" t="s">
        <v>2538</v>
      </c>
      <c r="R240" s="2" t="s">
        <v>2539</v>
      </c>
      <c r="S240" s="2" t="s">
        <v>1067</v>
      </c>
      <c r="T240" s="3" t="s">
        <v>412</v>
      </c>
      <c r="U240" s="2"/>
      <c r="V240" s="4" t="n">
        <v>9.8</v>
      </c>
      <c r="W240" s="2" t="s">
        <v>2393</v>
      </c>
      <c r="X240" s="2" t="s">
        <v>2855</v>
      </c>
      <c r="Y240" s="2" t="s">
        <v>2856</v>
      </c>
      <c r="Z240" s="2" t="s">
        <v>2224</v>
      </c>
      <c r="AA240" s="2" t="s">
        <v>2857</v>
      </c>
      <c r="AB240" s="2" t="s">
        <v>1135</v>
      </c>
      <c r="AC240" s="2" t="s">
        <v>2430</v>
      </c>
      <c r="AD240" s="2" t="s">
        <v>2858</v>
      </c>
      <c r="AE240" s="3" t="s">
        <v>53</v>
      </c>
    </row>
    <row r="241" customFormat="false" ht="15" hidden="false" customHeight="false" outlineLevel="0" collapsed="false">
      <c r="A241" s="2" t="s">
        <v>2859</v>
      </c>
      <c r="B241" s="2" t="s">
        <v>1091</v>
      </c>
      <c r="C241" s="2" t="s">
        <v>2860</v>
      </c>
      <c r="D241" s="2" t="s">
        <v>2212</v>
      </c>
      <c r="E241" s="2" t="s">
        <v>189</v>
      </c>
      <c r="F241" s="3" t="s">
        <v>86</v>
      </c>
      <c r="G241" s="2" t="s">
        <v>2861</v>
      </c>
      <c r="H241" s="2" t="s">
        <v>2862</v>
      </c>
      <c r="I241" s="2" t="s">
        <v>2863</v>
      </c>
      <c r="J241" s="2" t="s">
        <v>2864</v>
      </c>
      <c r="K241" s="2" t="s">
        <v>2865</v>
      </c>
      <c r="L241" s="2" t="s">
        <v>2596</v>
      </c>
      <c r="M241" s="2"/>
      <c r="N241" s="2"/>
      <c r="O241" s="3"/>
      <c r="P241" s="2" t="s">
        <v>2866</v>
      </c>
      <c r="Q241" s="2" t="s">
        <v>2409</v>
      </c>
      <c r="R241" s="2" t="s">
        <v>285</v>
      </c>
      <c r="S241" s="2" t="s">
        <v>1067</v>
      </c>
      <c r="T241" s="3" t="s">
        <v>50</v>
      </c>
      <c r="U241" s="2"/>
      <c r="V241" s="4" t="n">
        <v>9.4</v>
      </c>
      <c r="W241" s="2" t="s">
        <v>2867</v>
      </c>
      <c r="X241" s="2" t="s">
        <v>2868</v>
      </c>
      <c r="Y241" s="2" t="s">
        <v>2869</v>
      </c>
      <c r="Z241" s="2" t="s">
        <v>2870</v>
      </c>
      <c r="AA241" s="2" t="s">
        <v>2871</v>
      </c>
      <c r="AB241" s="2" t="s">
        <v>2872</v>
      </c>
      <c r="AC241" s="2" t="s">
        <v>2873</v>
      </c>
      <c r="AD241" s="2" t="s">
        <v>2874</v>
      </c>
      <c r="AE241" s="3" t="s">
        <v>53</v>
      </c>
    </row>
    <row r="242" customFormat="false" ht="15" hidden="false" customHeight="false" outlineLevel="0" collapsed="false">
      <c r="A242" s="2" t="s">
        <v>2875</v>
      </c>
      <c r="B242" s="2" t="s">
        <v>1091</v>
      </c>
      <c r="C242" s="2" t="s">
        <v>2876</v>
      </c>
      <c r="D242" s="2" t="s">
        <v>2212</v>
      </c>
      <c r="E242" s="2" t="s">
        <v>189</v>
      </c>
      <c r="F242" s="3" t="s">
        <v>86</v>
      </c>
      <c r="G242" s="2" t="s">
        <v>2877</v>
      </c>
      <c r="H242" s="2" t="s">
        <v>2878</v>
      </c>
      <c r="I242" s="2" t="s">
        <v>2879</v>
      </c>
      <c r="J242" s="2" t="s">
        <v>2880</v>
      </c>
      <c r="K242" s="2" t="s">
        <v>2881</v>
      </c>
      <c r="L242" s="2" t="s">
        <v>2596</v>
      </c>
      <c r="M242" s="2"/>
      <c r="N242" s="2"/>
      <c r="O242" s="3"/>
      <c r="P242" s="2" t="s">
        <v>2882</v>
      </c>
      <c r="Q242" s="2" t="s">
        <v>2683</v>
      </c>
      <c r="R242" s="2" t="s">
        <v>285</v>
      </c>
      <c r="S242" s="2" t="s">
        <v>1067</v>
      </c>
      <c r="T242" s="3" t="s">
        <v>50</v>
      </c>
      <c r="U242" s="2"/>
      <c r="V242" s="4" t="n">
        <v>9.3</v>
      </c>
      <c r="W242" s="2" t="s">
        <v>2883</v>
      </c>
      <c r="X242" s="2" t="s">
        <v>2884</v>
      </c>
      <c r="Y242" s="2" t="s">
        <v>2885</v>
      </c>
      <c r="Z242" s="2" t="s">
        <v>2886</v>
      </c>
      <c r="AA242" s="2" t="s">
        <v>2887</v>
      </c>
      <c r="AB242" s="2" t="s">
        <v>2888</v>
      </c>
      <c r="AC242" s="2" t="s">
        <v>2889</v>
      </c>
      <c r="AD242" s="2" t="s">
        <v>2890</v>
      </c>
      <c r="AE242" s="3" t="s">
        <v>53</v>
      </c>
    </row>
    <row r="243" customFormat="false" ht="15" hidden="false" customHeight="false" outlineLevel="0" collapsed="false">
      <c r="A243" s="2" t="s">
        <v>2891</v>
      </c>
      <c r="B243" s="2" t="s">
        <v>1091</v>
      </c>
      <c r="C243" s="2" t="s">
        <v>2892</v>
      </c>
      <c r="D243" s="2" t="s">
        <v>2212</v>
      </c>
      <c r="E243" s="2" t="s">
        <v>258</v>
      </c>
      <c r="F243" s="3" t="s">
        <v>86</v>
      </c>
      <c r="G243" s="2" t="s">
        <v>2893</v>
      </c>
      <c r="H243" s="2" t="s">
        <v>2894</v>
      </c>
      <c r="I243" s="2" t="s">
        <v>2895</v>
      </c>
      <c r="J243" s="2" t="s">
        <v>2896</v>
      </c>
      <c r="K243" s="2" t="s">
        <v>2897</v>
      </c>
      <c r="L243" s="2" t="s">
        <v>348</v>
      </c>
      <c r="M243" s="2"/>
      <c r="N243" s="2"/>
      <c r="O243" s="3"/>
      <c r="P243" s="2" t="s">
        <v>1166</v>
      </c>
      <c r="Q243" s="2" t="s">
        <v>2409</v>
      </c>
      <c r="R243" s="2" t="s">
        <v>285</v>
      </c>
      <c r="S243" s="2"/>
      <c r="T243" s="3" t="s">
        <v>412</v>
      </c>
      <c r="U243" s="2"/>
      <c r="V243" s="4" t="n">
        <v>9.2</v>
      </c>
      <c r="W243" s="2" t="s">
        <v>2898</v>
      </c>
      <c r="X243" s="2" t="s">
        <v>2899</v>
      </c>
      <c r="Y243" s="2" t="s">
        <v>2900</v>
      </c>
      <c r="Z243" s="2" t="s">
        <v>2901</v>
      </c>
      <c r="AA243" s="2" t="s">
        <v>2902</v>
      </c>
      <c r="AB243" s="2" t="s">
        <v>2903</v>
      </c>
      <c r="AC243" s="2" t="s">
        <v>2904</v>
      </c>
      <c r="AD243" s="2" t="s">
        <v>2905</v>
      </c>
      <c r="AE243" s="3" t="s">
        <v>53</v>
      </c>
    </row>
    <row r="244" customFormat="false" ht="15" hidden="false" customHeight="false" outlineLevel="0" collapsed="false">
      <c r="A244" s="2" t="s">
        <v>2906</v>
      </c>
      <c r="B244" s="2" t="s">
        <v>1091</v>
      </c>
      <c r="C244" s="2" t="s">
        <v>2907</v>
      </c>
      <c r="D244" s="2" t="s">
        <v>2212</v>
      </c>
      <c r="E244" s="2" t="s">
        <v>258</v>
      </c>
      <c r="F244" s="3" t="s">
        <v>86</v>
      </c>
      <c r="G244" s="2" t="s">
        <v>2908</v>
      </c>
      <c r="H244" s="2" t="s">
        <v>2909</v>
      </c>
      <c r="I244" s="2" t="s">
        <v>2910</v>
      </c>
      <c r="J244" s="2" t="s">
        <v>2911</v>
      </c>
      <c r="K244" s="2" t="s">
        <v>2912</v>
      </c>
      <c r="L244" s="2" t="s">
        <v>348</v>
      </c>
      <c r="M244" s="2"/>
      <c r="N244" s="2"/>
      <c r="O244" s="3"/>
      <c r="P244" s="2" t="s">
        <v>170</v>
      </c>
      <c r="Q244" s="2" t="s">
        <v>2409</v>
      </c>
      <c r="R244" s="2" t="s">
        <v>285</v>
      </c>
      <c r="S244" s="2"/>
      <c r="T244" s="3" t="s">
        <v>412</v>
      </c>
      <c r="U244" s="2"/>
      <c r="V244" s="4" t="n">
        <v>9.2</v>
      </c>
      <c r="W244" s="2" t="s">
        <v>2898</v>
      </c>
      <c r="X244" s="2" t="s">
        <v>2913</v>
      </c>
      <c r="Y244" s="2" t="s">
        <v>2914</v>
      </c>
      <c r="Z244" s="2" t="s">
        <v>2915</v>
      </c>
      <c r="AA244" s="2" t="s">
        <v>2916</v>
      </c>
      <c r="AB244" s="2" t="s">
        <v>2917</v>
      </c>
      <c r="AC244" s="2" t="s">
        <v>2261</v>
      </c>
      <c r="AD244" s="2" t="s">
        <v>2918</v>
      </c>
      <c r="AE244" s="3" t="s">
        <v>53</v>
      </c>
    </row>
    <row r="245" customFormat="false" ht="15" hidden="false" customHeight="false" outlineLevel="0" collapsed="false">
      <c r="A245" s="2" t="s">
        <v>2919</v>
      </c>
      <c r="B245" s="2" t="s">
        <v>1091</v>
      </c>
      <c r="C245" s="2" t="s">
        <v>2920</v>
      </c>
      <c r="D245" s="2" t="s">
        <v>2212</v>
      </c>
      <c r="E245" s="2" t="s">
        <v>258</v>
      </c>
      <c r="F245" s="3" t="s">
        <v>86</v>
      </c>
      <c r="G245" s="2" t="s">
        <v>2921</v>
      </c>
      <c r="H245" s="2" t="s">
        <v>2922</v>
      </c>
      <c r="I245" s="2" t="s">
        <v>2923</v>
      </c>
      <c r="J245" s="2" t="s">
        <v>2924</v>
      </c>
      <c r="K245" s="2" t="s">
        <v>2925</v>
      </c>
      <c r="L245" s="2" t="s">
        <v>2698</v>
      </c>
      <c r="M245" s="2"/>
      <c r="N245" s="2"/>
      <c r="O245" s="3"/>
      <c r="P245" s="2" t="s">
        <v>1166</v>
      </c>
      <c r="Q245" s="2" t="s">
        <v>2926</v>
      </c>
      <c r="R245" s="2" t="s">
        <v>96</v>
      </c>
      <c r="S245" s="2"/>
      <c r="T245" s="3" t="s">
        <v>412</v>
      </c>
      <c r="U245" s="2"/>
      <c r="V245" s="4" t="n">
        <v>9.5</v>
      </c>
      <c r="W245" s="2" t="s">
        <v>2927</v>
      </c>
      <c r="X245" s="2" t="s">
        <v>2928</v>
      </c>
      <c r="Y245" s="2" t="s">
        <v>2929</v>
      </c>
      <c r="Z245" s="2" t="s">
        <v>2930</v>
      </c>
      <c r="AA245" s="2" t="s">
        <v>2931</v>
      </c>
      <c r="AB245" s="2" t="s">
        <v>2932</v>
      </c>
      <c r="AC245" s="2" t="s">
        <v>2933</v>
      </c>
      <c r="AD245" s="2" t="s">
        <v>2934</v>
      </c>
      <c r="AE245" s="3" t="s">
        <v>53</v>
      </c>
    </row>
    <row r="246" customFormat="false" ht="15" hidden="false" customHeight="false" outlineLevel="0" collapsed="false">
      <c r="A246" s="2" t="s">
        <v>2935</v>
      </c>
      <c r="B246" s="2" t="s">
        <v>1091</v>
      </c>
      <c r="C246" s="2" t="s">
        <v>2936</v>
      </c>
      <c r="D246" s="2" t="s">
        <v>2212</v>
      </c>
      <c r="E246" s="2" t="s">
        <v>258</v>
      </c>
      <c r="F246" s="3" t="s">
        <v>86</v>
      </c>
      <c r="G246" s="2" t="s">
        <v>2937</v>
      </c>
      <c r="H246" s="2" t="s">
        <v>2938</v>
      </c>
      <c r="I246" s="2" t="s">
        <v>2939</v>
      </c>
      <c r="J246" s="2" t="s">
        <v>2940</v>
      </c>
      <c r="K246" s="2" t="s">
        <v>2941</v>
      </c>
      <c r="L246" s="2" t="s">
        <v>2698</v>
      </c>
      <c r="M246" s="2"/>
      <c r="N246" s="2"/>
      <c r="O246" s="3"/>
      <c r="P246" s="2" t="s">
        <v>2942</v>
      </c>
      <c r="Q246" s="2" t="s">
        <v>2943</v>
      </c>
      <c r="R246" s="2" t="s">
        <v>96</v>
      </c>
      <c r="S246" s="2" t="s">
        <v>1067</v>
      </c>
      <c r="T246" s="3" t="s">
        <v>412</v>
      </c>
      <c r="U246" s="2"/>
      <c r="V246" s="4" t="n">
        <v>9.1</v>
      </c>
      <c r="W246" s="2" t="s">
        <v>2944</v>
      </c>
      <c r="X246" s="2" t="s">
        <v>2945</v>
      </c>
      <c r="Y246" s="2" t="s">
        <v>2946</v>
      </c>
      <c r="Z246" s="2" t="s">
        <v>2947</v>
      </c>
      <c r="AA246" s="2" t="s">
        <v>2764</v>
      </c>
      <c r="AB246" s="2" t="s">
        <v>1135</v>
      </c>
      <c r="AC246" s="2" t="s">
        <v>2948</v>
      </c>
      <c r="AD246" s="2" t="s">
        <v>2949</v>
      </c>
      <c r="AE246" s="3" t="s">
        <v>53</v>
      </c>
    </row>
    <row r="247" customFormat="false" ht="15" hidden="false" customHeight="false" outlineLevel="0" collapsed="false">
      <c r="A247" s="2" t="s">
        <v>2950</v>
      </c>
      <c r="B247" s="2" t="s">
        <v>1091</v>
      </c>
      <c r="C247" s="2" t="s">
        <v>2951</v>
      </c>
      <c r="D247" s="2" t="s">
        <v>2212</v>
      </c>
      <c r="E247" s="2" t="s">
        <v>258</v>
      </c>
      <c r="F247" s="3" t="s">
        <v>86</v>
      </c>
      <c r="G247" s="2" t="s">
        <v>2952</v>
      </c>
      <c r="H247" s="2" t="s">
        <v>2953</v>
      </c>
      <c r="I247" s="2" t="s">
        <v>2954</v>
      </c>
      <c r="J247" s="2" t="s">
        <v>2955</v>
      </c>
      <c r="K247" s="2" t="s">
        <v>2956</v>
      </c>
      <c r="L247" s="2" t="s">
        <v>348</v>
      </c>
      <c r="M247" s="2"/>
      <c r="N247" s="2"/>
      <c r="O247" s="3"/>
      <c r="P247" s="2" t="s">
        <v>1166</v>
      </c>
      <c r="Q247" s="2" t="s">
        <v>2581</v>
      </c>
      <c r="R247" s="2" t="s">
        <v>285</v>
      </c>
      <c r="S247" s="2" t="s">
        <v>1067</v>
      </c>
      <c r="T247" s="3" t="s">
        <v>412</v>
      </c>
      <c r="U247" s="2"/>
      <c r="V247" s="4" t="n">
        <v>9</v>
      </c>
      <c r="W247" s="2" t="s">
        <v>2957</v>
      </c>
      <c r="X247" s="2" t="s">
        <v>2958</v>
      </c>
      <c r="Y247" s="2" t="s">
        <v>2959</v>
      </c>
      <c r="Z247" s="2" t="s">
        <v>2960</v>
      </c>
      <c r="AA247" s="2" t="s">
        <v>2792</v>
      </c>
      <c r="AB247" s="2" t="s">
        <v>2961</v>
      </c>
      <c r="AC247" s="2" t="s">
        <v>2962</v>
      </c>
      <c r="AD247" s="2" t="s">
        <v>2963</v>
      </c>
      <c r="AE247" s="3" t="s">
        <v>53</v>
      </c>
    </row>
    <row r="248" customFormat="false" ht="15" hidden="false" customHeight="false" outlineLevel="0" collapsed="false">
      <c r="A248" s="2" t="s">
        <v>2964</v>
      </c>
      <c r="B248" s="2" t="s">
        <v>1091</v>
      </c>
      <c r="C248" s="2" t="s">
        <v>2965</v>
      </c>
      <c r="D248" s="2" t="s">
        <v>2212</v>
      </c>
      <c r="E248" s="2" t="s">
        <v>258</v>
      </c>
      <c r="F248" s="3" t="s">
        <v>86</v>
      </c>
      <c r="G248" s="2" t="s">
        <v>2966</v>
      </c>
      <c r="H248" s="2" t="s">
        <v>2967</v>
      </c>
      <c r="I248" s="2" t="s">
        <v>2968</v>
      </c>
      <c r="J248" s="2" t="s">
        <v>2969</v>
      </c>
      <c r="K248" s="2" t="s">
        <v>2970</v>
      </c>
      <c r="L248" s="2" t="s">
        <v>348</v>
      </c>
      <c r="M248" s="2"/>
      <c r="N248" s="2"/>
      <c r="O248" s="3"/>
      <c r="P248" s="2" t="s">
        <v>1166</v>
      </c>
      <c r="Q248" s="2" t="s">
        <v>2581</v>
      </c>
      <c r="R248" s="2" t="s">
        <v>285</v>
      </c>
      <c r="S248" s="2" t="s">
        <v>1067</v>
      </c>
      <c r="T248" s="3" t="s">
        <v>412</v>
      </c>
      <c r="U248" s="2"/>
      <c r="V248" s="4" t="n">
        <v>9</v>
      </c>
      <c r="W248" s="2" t="s">
        <v>2957</v>
      </c>
      <c r="X248" s="2" t="s">
        <v>2971</v>
      </c>
      <c r="Y248" s="2" t="s">
        <v>2972</v>
      </c>
      <c r="Z248" s="2" t="s">
        <v>2973</v>
      </c>
      <c r="AA248" s="2" t="s">
        <v>2792</v>
      </c>
      <c r="AB248" s="2" t="s">
        <v>2974</v>
      </c>
      <c r="AC248" s="2" t="s">
        <v>2975</v>
      </c>
      <c r="AD248" s="2" t="s">
        <v>2976</v>
      </c>
      <c r="AE248" s="3" t="s">
        <v>53</v>
      </c>
    </row>
    <row r="249" customFormat="false" ht="15" hidden="false" customHeight="false" outlineLevel="0" collapsed="false">
      <c r="A249" s="2" t="s">
        <v>2977</v>
      </c>
      <c r="B249" s="2" t="s">
        <v>1091</v>
      </c>
      <c r="C249" s="2" t="s">
        <v>2978</v>
      </c>
      <c r="D249" s="2" t="s">
        <v>2212</v>
      </c>
      <c r="E249" s="2" t="s">
        <v>258</v>
      </c>
      <c r="F249" s="3" t="s">
        <v>86</v>
      </c>
      <c r="G249" s="2" t="s">
        <v>2979</v>
      </c>
      <c r="H249" s="2" t="s">
        <v>2980</v>
      </c>
      <c r="I249" s="2" t="s">
        <v>2981</v>
      </c>
      <c r="J249" s="2" t="s">
        <v>2982</v>
      </c>
      <c r="K249" s="2" t="s">
        <v>2983</v>
      </c>
      <c r="L249" s="2" t="s">
        <v>2698</v>
      </c>
      <c r="M249" s="2"/>
      <c r="N249" s="2"/>
      <c r="O249" s="3"/>
      <c r="P249" s="2" t="s">
        <v>79</v>
      </c>
      <c r="Q249" s="2" t="s">
        <v>2984</v>
      </c>
      <c r="R249" s="2" t="s">
        <v>285</v>
      </c>
      <c r="S249" s="2" t="s">
        <v>1067</v>
      </c>
      <c r="T249" s="3" t="s">
        <v>412</v>
      </c>
      <c r="U249" s="2"/>
      <c r="V249" s="4" t="n">
        <v>7.2</v>
      </c>
      <c r="W249" s="2" t="s">
        <v>2285</v>
      </c>
      <c r="X249" s="2" t="s">
        <v>2985</v>
      </c>
      <c r="Y249" s="2" t="s">
        <v>2986</v>
      </c>
      <c r="Z249" s="2" t="s">
        <v>2987</v>
      </c>
      <c r="AA249" s="2" t="s">
        <v>2887</v>
      </c>
      <c r="AB249" s="2" t="s">
        <v>2988</v>
      </c>
      <c r="AC249" s="2" t="s">
        <v>2989</v>
      </c>
      <c r="AD249" s="2" t="s">
        <v>2990</v>
      </c>
      <c r="AE249" s="3" t="s">
        <v>53</v>
      </c>
    </row>
    <row r="250" customFormat="false" ht="15" hidden="false" customHeight="false" outlineLevel="0" collapsed="false">
      <c r="A250" s="2" t="s">
        <v>2991</v>
      </c>
      <c r="B250" s="2" t="s">
        <v>1091</v>
      </c>
      <c r="C250" s="2" t="s">
        <v>2992</v>
      </c>
      <c r="D250" s="2" t="s">
        <v>2212</v>
      </c>
      <c r="E250" s="2" t="s">
        <v>258</v>
      </c>
      <c r="F250" s="3" t="s">
        <v>86</v>
      </c>
      <c r="G250" s="2" t="s">
        <v>2993</v>
      </c>
      <c r="H250" s="2" t="s">
        <v>2994</v>
      </c>
      <c r="I250" s="2" t="s">
        <v>2995</v>
      </c>
      <c r="J250" s="2" t="s">
        <v>2996</v>
      </c>
      <c r="K250" s="2" t="s">
        <v>2997</v>
      </c>
      <c r="L250" s="2" t="s">
        <v>2698</v>
      </c>
      <c r="M250" s="2"/>
      <c r="N250" s="2"/>
      <c r="O250" s="3"/>
      <c r="P250" s="2" t="s">
        <v>79</v>
      </c>
      <c r="Q250" s="2" t="s">
        <v>2998</v>
      </c>
      <c r="R250" s="2" t="s">
        <v>285</v>
      </c>
      <c r="S250" s="2" t="s">
        <v>1067</v>
      </c>
      <c r="T250" s="3" t="s">
        <v>412</v>
      </c>
      <c r="U250" s="2"/>
      <c r="V250" s="4" t="n">
        <v>9.8</v>
      </c>
      <c r="W250" s="2" t="s">
        <v>2393</v>
      </c>
      <c r="X250" s="2" t="s">
        <v>2999</v>
      </c>
      <c r="Y250" s="2" t="s">
        <v>3000</v>
      </c>
      <c r="Z250" s="2" t="s">
        <v>3001</v>
      </c>
      <c r="AA250" s="2" t="s">
        <v>3002</v>
      </c>
      <c r="AB250" s="2" t="s">
        <v>3003</v>
      </c>
      <c r="AC250" s="2" t="s">
        <v>3004</v>
      </c>
      <c r="AD250" s="2" t="s">
        <v>3005</v>
      </c>
      <c r="AE250" s="3" t="s">
        <v>53</v>
      </c>
    </row>
    <row r="251" customFormat="false" ht="15" hidden="false" customHeight="false" outlineLevel="0" collapsed="false">
      <c r="A251" s="2" t="s">
        <v>3006</v>
      </c>
      <c r="B251" s="2" t="s">
        <v>1091</v>
      </c>
      <c r="C251" s="2" t="s">
        <v>3007</v>
      </c>
      <c r="D251" s="2" t="s">
        <v>2212</v>
      </c>
      <c r="E251" s="2" t="s">
        <v>258</v>
      </c>
      <c r="F251" s="3" t="s">
        <v>86</v>
      </c>
      <c r="G251" s="2" t="s">
        <v>3008</v>
      </c>
      <c r="H251" s="2" t="s">
        <v>3009</v>
      </c>
      <c r="I251" s="2" t="s">
        <v>3010</v>
      </c>
      <c r="J251" s="2" t="s">
        <v>3011</v>
      </c>
      <c r="K251" s="2" t="s">
        <v>3012</v>
      </c>
      <c r="L251" s="2" t="s">
        <v>2698</v>
      </c>
      <c r="M251" s="2"/>
      <c r="N251" s="2"/>
      <c r="O251" s="3"/>
      <c r="P251" s="2" t="s">
        <v>79</v>
      </c>
      <c r="Q251" s="2" t="s">
        <v>95</v>
      </c>
      <c r="R251" s="2" t="s">
        <v>96</v>
      </c>
      <c r="S251" s="2"/>
      <c r="T251" s="3" t="s">
        <v>412</v>
      </c>
      <c r="U251" s="2"/>
      <c r="V251" s="4" t="n">
        <v>10</v>
      </c>
      <c r="W251" s="2" t="s">
        <v>2221</v>
      </c>
      <c r="X251" s="2" t="s">
        <v>3013</v>
      </c>
      <c r="Y251" s="2" t="s">
        <v>3014</v>
      </c>
      <c r="Z251" s="2" t="s">
        <v>3015</v>
      </c>
      <c r="AA251" s="2" t="s">
        <v>3016</v>
      </c>
      <c r="AB251" s="2" t="s">
        <v>3017</v>
      </c>
      <c r="AC251" s="2" t="s">
        <v>3018</v>
      </c>
      <c r="AD251" s="2" t="s">
        <v>3019</v>
      </c>
      <c r="AE251" s="3" t="s">
        <v>53</v>
      </c>
    </row>
    <row r="252" customFormat="false" ht="15" hidden="false" customHeight="false" outlineLevel="0" collapsed="false">
      <c r="A252" s="2" t="s">
        <v>3020</v>
      </c>
      <c r="B252" s="2" t="s">
        <v>1091</v>
      </c>
      <c r="C252" s="2" t="s">
        <v>3021</v>
      </c>
      <c r="D252" s="2" t="s">
        <v>2212</v>
      </c>
      <c r="E252" s="2" t="s">
        <v>258</v>
      </c>
      <c r="F252" s="3" t="s">
        <v>86</v>
      </c>
      <c r="G252" s="2" t="s">
        <v>3022</v>
      </c>
      <c r="H252" s="2" t="s">
        <v>3023</v>
      </c>
      <c r="I252" s="2" t="s">
        <v>3024</v>
      </c>
      <c r="J252" s="2" t="s">
        <v>3025</v>
      </c>
      <c r="K252" s="2" t="s">
        <v>3026</v>
      </c>
      <c r="L252" s="2" t="s">
        <v>2698</v>
      </c>
      <c r="M252" s="2"/>
      <c r="N252" s="2"/>
      <c r="O252" s="3"/>
      <c r="P252" s="2" t="s">
        <v>1166</v>
      </c>
      <c r="Q252" s="2" t="s">
        <v>3027</v>
      </c>
      <c r="R252" s="2" t="s">
        <v>96</v>
      </c>
      <c r="S252" s="2" t="s">
        <v>1067</v>
      </c>
      <c r="T252" s="3" t="s">
        <v>412</v>
      </c>
      <c r="U252" s="2"/>
      <c r="V252" s="4" t="n">
        <v>10</v>
      </c>
      <c r="W252" s="2" t="s">
        <v>2221</v>
      </c>
      <c r="X252" s="2" t="s">
        <v>3028</v>
      </c>
      <c r="Y252" s="2" t="s">
        <v>3029</v>
      </c>
      <c r="Z252" s="2" t="s">
        <v>3030</v>
      </c>
      <c r="AA252" s="2" t="s">
        <v>2887</v>
      </c>
      <c r="AB252" s="2" t="s">
        <v>1135</v>
      </c>
      <c r="AC252" s="2" t="s">
        <v>3031</v>
      </c>
      <c r="AD252" s="2" t="s">
        <v>3032</v>
      </c>
      <c r="AE252" s="3" t="s">
        <v>53</v>
      </c>
    </row>
    <row r="253" customFormat="false" ht="15" hidden="false" customHeight="false" outlineLevel="0" collapsed="false">
      <c r="A253" s="2" t="s">
        <v>3033</v>
      </c>
      <c r="B253" s="2" t="s">
        <v>1091</v>
      </c>
      <c r="C253" s="2" t="s">
        <v>3034</v>
      </c>
      <c r="D253" s="2" t="s">
        <v>2212</v>
      </c>
      <c r="E253" s="2" t="s">
        <v>258</v>
      </c>
      <c r="F253" s="3" t="s">
        <v>86</v>
      </c>
      <c r="G253" s="2" t="s">
        <v>3035</v>
      </c>
      <c r="H253" s="2" t="s">
        <v>3036</v>
      </c>
      <c r="I253" s="2" t="s">
        <v>3037</v>
      </c>
      <c r="J253" s="2" t="s">
        <v>3038</v>
      </c>
      <c r="K253" s="2" t="s">
        <v>3039</v>
      </c>
      <c r="L253" s="2" t="s">
        <v>2596</v>
      </c>
      <c r="M253" s="2"/>
      <c r="N253" s="2"/>
      <c r="O253" s="3"/>
      <c r="P253" s="2" t="s">
        <v>1166</v>
      </c>
      <c r="Q253" s="2" t="s">
        <v>1056</v>
      </c>
      <c r="R253" s="2" t="s">
        <v>285</v>
      </c>
      <c r="S253" s="2" t="s">
        <v>1067</v>
      </c>
      <c r="T253" s="3" t="s">
        <v>412</v>
      </c>
      <c r="U253" s="2"/>
      <c r="V253" s="4" t="n">
        <v>9.3</v>
      </c>
      <c r="W253" s="2" t="s">
        <v>3040</v>
      </c>
      <c r="X253" s="2" t="s">
        <v>3041</v>
      </c>
      <c r="Y253" s="2" t="s">
        <v>3042</v>
      </c>
      <c r="Z253" s="2" t="s">
        <v>3043</v>
      </c>
      <c r="AA253" s="2" t="s">
        <v>2887</v>
      </c>
      <c r="AB253" s="2" t="s">
        <v>3044</v>
      </c>
      <c r="AC253" s="2" t="s">
        <v>3045</v>
      </c>
      <c r="AD253" s="2" t="s">
        <v>3046</v>
      </c>
      <c r="AE253" s="3" t="s">
        <v>53</v>
      </c>
    </row>
    <row r="254" customFormat="false" ht="15" hidden="false" customHeight="false" outlineLevel="0" collapsed="false">
      <c r="A254" s="2" t="s">
        <v>3047</v>
      </c>
      <c r="B254" s="2" t="s">
        <v>1091</v>
      </c>
      <c r="C254" s="2" t="s">
        <v>3048</v>
      </c>
      <c r="D254" s="2" t="s">
        <v>2212</v>
      </c>
      <c r="E254" s="2" t="s">
        <v>258</v>
      </c>
      <c r="F254" s="3" t="s">
        <v>86</v>
      </c>
      <c r="G254" s="2" t="s">
        <v>3049</v>
      </c>
      <c r="H254" s="2" t="s">
        <v>3050</v>
      </c>
      <c r="I254" s="2" t="s">
        <v>3051</v>
      </c>
      <c r="J254" s="2" t="s">
        <v>3052</v>
      </c>
      <c r="K254" s="2" t="s">
        <v>3053</v>
      </c>
      <c r="L254" s="2" t="s">
        <v>348</v>
      </c>
      <c r="M254" s="2"/>
      <c r="N254" s="2"/>
      <c r="O254" s="3"/>
      <c r="P254" s="2" t="s">
        <v>79</v>
      </c>
      <c r="Q254" s="2" t="s">
        <v>3054</v>
      </c>
      <c r="R254" s="2" t="s">
        <v>285</v>
      </c>
      <c r="S254" s="2"/>
      <c r="T254" s="3" t="s">
        <v>412</v>
      </c>
      <c r="U254" s="2"/>
      <c r="V254" s="4" t="n">
        <v>9.3</v>
      </c>
      <c r="W254" s="2" t="s">
        <v>3055</v>
      </c>
      <c r="X254" s="2" t="s">
        <v>3056</v>
      </c>
      <c r="Y254" s="2" t="s">
        <v>3057</v>
      </c>
      <c r="Z254" s="2" t="s">
        <v>3058</v>
      </c>
      <c r="AA254" s="2" t="s">
        <v>3059</v>
      </c>
      <c r="AB254" s="2" t="s">
        <v>3060</v>
      </c>
      <c r="AC254" s="2" t="s">
        <v>2261</v>
      </c>
      <c r="AD254" s="2" t="s">
        <v>3061</v>
      </c>
      <c r="AE254" s="3" t="s">
        <v>53</v>
      </c>
    </row>
    <row r="255" customFormat="false" ht="15" hidden="false" customHeight="false" outlineLevel="0" collapsed="false">
      <c r="A255" s="2" t="s">
        <v>3062</v>
      </c>
      <c r="B255" s="2" t="s">
        <v>1091</v>
      </c>
      <c r="C255" s="2" t="s">
        <v>3063</v>
      </c>
      <c r="D255" s="2" t="s">
        <v>2212</v>
      </c>
      <c r="E255" s="2" t="s">
        <v>258</v>
      </c>
      <c r="F255" s="3" t="s">
        <v>36</v>
      </c>
      <c r="G255" s="2" t="s">
        <v>3064</v>
      </c>
      <c r="H255" s="2" t="s">
        <v>3065</v>
      </c>
      <c r="I255" s="2" t="s">
        <v>3066</v>
      </c>
      <c r="J255" s="2" t="s">
        <v>3067</v>
      </c>
      <c r="K255" s="2" t="s">
        <v>3068</v>
      </c>
      <c r="L255" s="2" t="s">
        <v>2596</v>
      </c>
      <c r="M255" s="2"/>
      <c r="N255" s="2"/>
      <c r="O255" s="3"/>
      <c r="P255" s="2" t="s">
        <v>2760</v>
      </c>
      <c r="Q255" s="2" t="s">
        <v>3069</v>
      </c>
      <c r="R255" s="2" t="s">
        <v>285</v>
      </c>
      <c r="S255" s="2"/>
      <c r="T255" s="3" t="s">
        <v>50</v>
      </c>
      <c r="U255" s="2"/>
      <c r="V255" s="4" t="n">
        <v>7.8</v>
      </c>
      <c r="W255" s="2" t="s">
        <v>3070</v>
      </c>
      <c r="X255" s="2" t="s">
        <v>3071</v>
      </c>
      <c r="Y255" s="2" t="s">
        <v>3072</v>
      </c>
      <c r="Z255" s="2" t="s">
        <v>3073</v>
      </c>
      <c r="AA255" s="2" t="s">
        <v>3074</v>
      </c>
      <c r="AB255" s="2" t="s">
        <v>3060</v>
      </c>
      <c r="AC255" s="2" t="s">
        <v>2261</v>
      </c>
      <c r="AD255" s="2" t="s">
        <v>3075</v>
      </c>
      <c r="AE255" s="3" t="s">
        <v>53</v>
      </c>
    </row>
    <row r="256" customFormat="false" ht="15" hidden="false" customHeight="false" outlineLevel="0" collapsed="false">
      <c r="A256" s="2" t="s">
        <v>3076</v>
      </c>
      <c r="B256" s="2" t="s">
        <v>1091</v>
      </c>
      <c r="C256" s="2" t="s">
        <v>3077</v>
      </c>
      <c r="D256" s="2" t="s">
        <v>2212</v>
      </c>
      <c r="E256" s="2" t="s">
        <v>258</v>
      </c>
      <c r="F256" s="3" t="s">
        <v>86</v>
      </c>
      <c r="G256" s="2" t="s">
        <v>3078</v>
      </c>
      <c r="H256" s="2" t="s">
        <v>3079</v>
      </c>
      <c r="I256" s="2" t="s">
        <v>3080</v>
      </c>
      <c r="J256" s="2" t="s">
        <v>3081</v>
      </c>
      <c r="K256" s="2" t="s">
        <v>3082</v>
      </c>
      <c r="L256" s="2" t="s">
        <v>2596</v>
      </c>
      <c r="M256" s="2"/>
      <c r="N256" s="2"/>
      <c r="O256" s="3"/>
      <c r="P256" s="2" t="s">
        <v>2788</v>
      </c>
      <c r="Q256" s="2" t="s">
        <v>3083</v>
      </c>
      <c r="R256" s="2" t="s">
        <v>285</v>
      </c>
      <c r="S256" s="2" t="s">
        <v>1067</v>
      </c>
      <c r="T256" s="3" t="s">
        <v>412</v>
      </c>
      <c r="U256" s="2"/>
      <c r="V256" s="4" t="n">
        <v>10</v>
      </c>
      <c r="W256" s="2" t="s">
        <v>2221</v>
      </c>
      <c r="X256" s="2" t="s">
        <v>3084</v>
      </c>
      <c r="Y256" s="2" t="s">
        <v>3085</v>
      </c>
      <c r="Z256" s="2" t="s">
        <v>3086</v>
      </c>
      <c r="AA256" s="2" t="s">
        <v>2871</v>
      </c>
      <c r="AB256" s="2" t="s">
        <v>2749</v>
      </c>
      <c r="AC256" s="2" t="s">
        <v>3087</v>
      </c>
      <c r="AD256" s="2" t="s">
        <v>3088</v>
      </c>
      <c r="AE256" s="3" t="s">
        <v>53</v>
      </c>
    </row>
    <row r="257" customFormat="false" ht="15" hidden="false" customHeight="false" outlineLevel="0" collapsed="false">
      <c r="A257" s="2" t="s">
        <v>3089</v>
      </c>
      <c r="B257" s="2" t="s">
        <v>1091</v>
      </c>
      <c r="C257" s="2" t="s">
        <v>3090</v>
      </c>
      <c r="D257" s="2" t="s">
        <v>2212</v>
      </c>
      <c r="E257" s="2" t="s">
        <v>258</v>
      </c>
      <c r="F257" s="3" t="s">
        <v>86</v>
      </c>
      <c r="G257" s="2" t="s">
        <v>3091</v>
      </c>
      <c r="H257" s="2" t="s">
        <v>3092</v>
      </c>
      <c r="I257" s="2" t="s">
        <v>3093</v>
      </c>
      <c r="J257" s="2" t="s">
        <v>3094</v>
      </c>
      <c r="K257" s="2" t="s">
        <v>3095</v>
      </c>
      <c r="L257" s="2" t="s">
        <v>348</v>
      </c>
      <c r="M257" s="2"/>
      <c r="N257" s="2"/>
      <c r="O257" s="3"/>
      <c r="P257" s="2" t="s">
        <v>3096</v>
      </c>
      <c r="Q257" s="2" t="s">
        <v>3097</v>
      </c>
      <c r="R257" s="2" t="s">
        <v>285</v>
      </c>
      <c r="S257" s="2"/>
      <c r="T257" s="3" t="s">
        <v>412</v>
      </c>
      <c r="U257" s="2"/>
      <c r="V257" s="4" t="n">
        <v>9.9</v>
      </c>
      <c r="W257" s="2" t="s">
        <v>2654</v>
      </c>
      <c r="X257" s="2" t="s">
        <v>3098</v>
      </c>
      <c r="Y257" s="2" t="s">
        <v>3099</v>
      </c>
      <c r="Z257" s="2" t="s">
        <v>3100</v>
      </c>
      <c r="AA257" s="2" t="s">
        <v>3101</v>
      </c>
      <c r="AB257" s="2" t="s">
        <v>3102</v>
      </c>
      <c r="AC257" s="2" t="s">
        <v>3103</v>
      </c>
      <c r="AD257" s="2" t="s">
        <v>3104</v>
      </c>
      <c r="AE257" s="3" t="s">
        <v>53</v>
      </c>
    </row>
    <row r="258" customFormat="false" ht="15" hidden="false" customHeight="false" outlineLevel="0" collapsed="false">
      <c r="A258" s="2" t="s">
        <v>3105</v>
      </c>
      <c r="B258" s="2" t="s">
        <v>1091</v>
      </c>
      <c r="C258" s="2" t="s">
        <v>3106</v>
      </c>
      <c r="D258" s="2" t="s">
        <v>2212</v>
      </c>
      <c r="E258" s="2" t="s">
        <v>258</v>
      </c>
      <c r="F258" s="3" t="s">
        <v>86</v>
      </c>
      <c r="G258" s="2" t="s">
        <v>3107</v>
      </c>
      <c r="H258" s="2" t="s">
        <v>3108</v>
      </c>
      <c r="I258" s="2" t="s">
        <v>3109</v>
      </c>
      <c r="J258" s="2" t="s">
        <v>3110</v>
      </c>
      <c r="K258" s="2" t="s">
        <v>3111</v>
      </c>
      <c r="L258" s="2" t="s">
        <v>2596</v>
      </c>
      <c r="M258" s="2"/>
      <c r="N258" s="2"/>
      <c r="O258" s="3"/>
      <c r="P258" s="2" t="s">
        <v>79</v>
      </c>
      <c r="Q258" s="2" t="s">
        <v>3112</v>
      </c>
      <c r="R258" s="2" t="s">
        <v>285</v>
      </c>
      <c r="S258" s="2"/>
      <c r="T258" s="3" t="s">
        <v>412</v>
      </c>
      <c r="U258" s="2"/>
      <c r="V258" s="4" t="n">
        <v>10</v>
      </c>
      <c r="W258" s="2" t="s">
        <v>2221</v>
      </c>
      <c r="X258" s="2" t="s">
        <v>3113</v>
      </c>
      <c r="Y258" s="2" t="s">
        <v>3114</v>
      </c>
      <c r="Z258" s="2" t="s">
        <v>3115</v>
      </c>
      <c r="AA258" s="2" t="s">
        <v>3116</v>
      </c>
      <c r="AB258" s="2" t="s">
        <v>954</v>
      </c>
      <c r="AC258" s="2" t="s">
        <v>3117</v>
      </c>
      <c r="AD258" s="2" t="s">
        <v>3118</v>
      </c>
      <c r="AE258" s="3" t="s">
        <v>53</v>
      </c>
    </row>
    <row r="259" customFormat="false" ht="15" hidden="false" customHeight="false" outlineLevel="0" collapsed="false">
      <c r="A259" s="2" t="s">
        <v>3119</v>
      </c>
      <c r="B259" s="2" t="s">
        <v>1091</v>
      </c>
      <c r="C259" s="2" t="s">
        <v>3120</v>
      </c>
      <c r="D259" s="2" t="s">
        <v>2212</v>
      </c>
      <c r="E259" s="2" t="s">
        <v>258</v>
      </c>
      <c r="F259" s="3" t="s">
        <v>86</v>
      </c>
      <c r="G259" s="2" t="s">
        <v>3121</v>
      </c>
      <c r="H259" s="2" t="s">
        <v>3122</v>
      </c>
      <c r="I259" s="2" t="s">
        <v>3123</v>
      </c>
      <c r="J259" s="2" t="s">
        <v>3124</v>
      </c>
      <c r="K259" s="2" t="s">
        <v>3125</v>
      </c>
      <c r="L259" s="2" t="s">
        <v>2596</v>
      </c>
      <c r="M259" s="2"/>
      <c r="N259" s="2"/>
      <c r="O259" s="3"/>
      <c r="P259" s="2" t="s">
        <v>3126</v>
      </c>
      <c r="Q259" s="2" t="s">
        <v>732</v>
      </c>
      <c r="R259" s="2" t="s">
        <v>285</v>
      </c>
      <c r="S259" s="2"/>
      <c r="T259" s="3" t="s">
        <v>412</v>
      </c>
      <c r="U259" s="2"/>
      <c r="V259" s="4" t="n">
        <v>10</v>
      </c>
      <c r="W259" s="2" t="s">
        <v>2221</v>
      </c>
      <c r="X259" s="2" t="s">
        <v>3127</v>
      </c>
      <c r="Y259" s="2" t="s">
        <v>3128</v>
      </c>
      <c r="Z259" s="2" t="s">
        <v>3129</v>
      </c>
      <c r="AA259" s="2" t="s">
        <v>3130</v>
      </c>
      <c r="AB259" s="2" t="s">
        <v>954</v>
      </c>
      <c r="AC259" s="2" t="s">
        <v>3131</v>
      </c>
      <c r="AD259" s="2" t="s">
        <v>3132</v>
      </c>
      <c r="AE259" s="3" t="s">
        <v>53</v>
      </c>
    </row>
    <row r="260" customFormat="false" ht="15" hidden="false" customHeight="false" outlineLevel="0" collapsed="false">
      <c r="A260" s="2" t="s">
        <v>3133</v>
      </c>
      <c r="B260" s="2" t="s">
        <v>1091</v>
      </c>
      <c r="C260" s="2" t="s">
        <v>3134</v>
      </c>
      <c r="D260" s="2" t="s">
        <v>2212</v>
      </c>
      <c r="E260" s="2" t="s">
        <v>258</v>
      </c>
      <c r="F260" s="3" t="s">
        <v>86</v>
      </c>
      <c r="G260" s="2" t="s">
        <v>3135</v>
      </c>
      <c r="H260" s="2" t="s">
        <v>3136</v>
      </c>
      <c r="I260" s="2" t="s">
        <v>3137</v>
      </c>
      <c r="J260" s="2" t="s">
        <v>3138</v>
      </c>
      <c r="K260" s="2" t="s">
        <v>3139</v>
      </c>
      <c r="L260" s="2" t="s">
        <v>348</v>
      </c>
      <c r="M260" s="2"/>
      <c r="N260" s="2"/>
      <c r="O260" s="3"/>
      <c r="P260" s="2" t="s">
        <v>79</v>
      </c>
      <c r="Q260" s="2" t="s">
        <v>2237</v>
      </c>
      <c r="R260" s="2" t="s">
        <v>96</v>
      </c>
      <c r="S260" s="2"/>
      <c r="T260" s="3" t="s">
        <v>412</v>
      </c>
      <c r="U260" s="2"/>
      <c r="V260" s="4" t="n">
        <v>10</v>
      </c>
      <c r="W260" s="2" t="s">
        <v>2221</v>
      </c>
      <c r="X260" s="2" t="s">
        <v>3140</v>
      </c>
      <c r="Y260" s="2" t="s">
        <v>3141</v>
      </c>
      <c r="Z260" s="2" t="s">
        <v>3142</v>
      </c>
      <c r="AA260" s="2" t="s">
        <v>3143</v>
      </c>
      <c r="AB260" s="2" t="s">
        <v>3144</v>
      </c>
      <c r="AC260" s="2" t="s">
        <v>2261</v>
      </c>
      <c r="AD260" s="2" t="s">
        <v>3145</v>
      </c>
      <c r="AE260" s="3" t="s">
        <v>53</v>
      </c>
    </row>
    <row r="261" customFormat="false" ht="15" hidden="false" customHeight="false" outlineLevel="0" collapsed="false">
      <c r="A261" s="2" t="s">
        <v>3146</v>
      </c>
      <c r="B261" s="2" t="s">
        <v>1091</v>
      </c>
      <c r="C261" s="2" t="s">
        <v>3147</v>
      </c>
      <c r="D261" s="2" t="s">
        <v>2212</v>
      </c>
      <c r="E261" s="2" t="s">
        <v>189</v>
      </c>
      <c r="F261" s="3" t="s">
        <v>36</v>
      </c>
      <c r="G261" s="2" t="s">
        <v>3148</v>
      </c>
      <c r="H261" s="2" t="s">
        <v>3149</v>
      </c>
      <c r="I261" s="2" t="s">
        <v>3150</v>
      </c>
      <c r="J261" s="2" t="s">
        <v>3151</v>
      </c>
      <c r="K261" s="2" t="s">
        <v>3152</v>
      </c>
      <c r="L261" s="2" t="s">
        <v>2759</v>
      </c>
      <c r="M261" s="2"/>
      <c r="N261" s="2"/>
      <c r="O261" s="3"/>
      <c r="P261" s="2" t="s">
        <v>3153</v>
      </c>
      <c r="Q261" s="2" t="s">
        <v>3154</v>
      </c>
      <c r="R261" s="2" t="s">
        <v>2539</v>
      </c>
      <c r="S261" s="2" t="s">
        <v>1067</v>
      </c>
      <c r="T261" s="3" t="s">
        <v>412</v>
      </c>
      <c r="U261" s="2"/>
      <c r="V261" s="4" t="n">
        <v>8.6</v>
      </c>
      <c r="W261" s="2" t="s">
        <v>3155</v>
      </c>
      <c r="X261" s="2" t="s">
        <v>3156</v>
      </c>
      <c r="Y261" s="2" t="s">
        <v>3157</v>
      </c>
      <c r="Z261" s="2" t="s">
        <v>3158</v>
      </c>
      <c r="AA261" s="2" t="s">
        <v>2887</v>
      </c>
      <c r="AB261" s="2" t="s">
        <v>1135</v>
      </c>
      <c r="AC261" s="2" t="s">
        <v>3159</v>
      </c>
      <c r="AD261" s="2" t="s">
        <v>3160</v>
      </c>
      <c r="AE261" s="3" t="s">
        <v>53</v>
      </c>
    </row>
    <row r="262" customFormat="false" ht="15" hidden="false" customHeight="false" outlineLevel="0" collapsed="false">
      <c r="A262" s="2" t="s">
        <v>3161</v>
      </c>
      <c r="B262" s="2" t="s">
        <v>1091</v>
      </c>
      <c r="C262" s="2" t="s">
        <v>3162</v>
      </c>
      <c r="D262" s="2" t="s">
        <v>2212</v>
      </c>
      <c r="E262" s="2" t="s">
        <v>258</v>
      </c>
      <c r="F262" s="3" t="s">
        <v>86</v>
      </c>
      <c r="G262" s="2" t="s">
        <v>3163</v>
      </c>
      <c r="H262" s="2" t="s">
        <v>3164</v>
      </c>
      <c r="I262" s="2" t="s">
        <v>3165</v>
      </c>
      <c r="J262" s="2" t="s">
        <v>3166</v>
      </c>
      <c r="K262" s="2" t="s">
        <v>3167</v>
      </c>
      <c r="L262" s="2" t="s">
        <v>2596</v>
      </c>
      <c r="M262" s="2"/>
      <c r="N262" s="2"/>
      <c r="O262" s="3"/>
      <c r="P262" s="2" t="s">
        <v>1166</v>
      </c>
      <c r="Q262" s="2" t="s">
        <v>3168</v>
      </c>
      <c r="R262" s="2" t="s">
        <v>285</v>
      </c>
      <c r="S262" s="2"/>
      <c r="T262" s="3" t="s">
        <v>412</v>
      </c>
      <c r="U262" s="2"/>
      <c r="V262" s="4" t="n">
        <v>9.8</v>
      </c>
      <c r="W262" s="2" t="s">
        <v>2393</v>
      </c>
      <c r="X262" s="2" t="s">
        <v>3169</v>
      </c>
      <c r="Y262" s="2" t="s">
        <v>3170</v>
      </c>
      <c r="Z262" s="2" t="s">
        <v>3171</v>
      </c>
      <c r="AA262" s="2" t="s">
        <v>3172</v>
      </c>
      <c r="AB262" s="2" t="s">
        <v>3173</v>
      </c>
      <c r="AC262" s="2" t="s">
        <v>3174</v>
      </c>
      <c r="AD262" s="2" t="s">
        <v>3175</v>
      </c>
      <c r="AE262" s="3" t="s">
        <v>53</v>
      </c>
    </row>
    <row r="263" customFormat="false" ht="15" hidden="false" customHeight="false" outlineLevel="0" collapsed="false">
      <c r="A263" s="2" t="s">
        <v>3176</v>
      </c>
      <c r="B263" s="2" t="s">
        <v>1091</v>
      </c>
      <c r="C263" s="2" t="s">
        <v>3177</v>
      </c>
      <c r="D263" s="2" t="s">
        <v>2212</v>
      </c>
      <c r="E263" s="2" t="s">
        <v>258</v>
      </c>
      <c r="F263" s="3" t="s">
        <v>86</v>
      </c>
      <c r="G263" s="2" t="s">
        <v>3178</v>
      </c>
      <c r="H263" s="2" t="s">
        <v>3179</v>
      </c>
      <c r="I263" s="2" t="s">
        <v>3180</v>
      </c>
      <c r="J263" s="2" t="s">
        <v>3181</v>
      </c>
      <c r="K263" s="2" t="s">
        <v>3182</v>
      </c>
      <c r="L263" s="2" t="s">
        <v>2759</v>
      </c>
      <c r="M263" s="2"/>
      <c r="N263" s="2"/>
      <c r="O263" s="3"/>
      <c r="P263" s="2" t="s">
        <v>2760</v>
      </c>
      <c r="Q263" s="2" t="s">
        <v>410</v>
      </c>
      <c r="R263" s="2" t="s">
        <v>285</v>
      </c>
      <c r="S263" s="2" t="s">
        <v>1067</v>
      </c>
      <c r="T263" s="3" t="s">
        <v>412</v>
      </c>
      <c r="U263" s="2"/>
      <c r="V263" s="4" t="n">
        <v>9.3</v>
      </c>
      <c r="W263" s="2" t="s">
        <v>3183</v>
      </c>
      <c r="X263" s="2" t="s">
        <v>3184</v>
      </c>
      <c r="Y263" s="2" t="s">
        <v>3185</v>
      </c>
      <c r="Z263" s="2" t="s">
        <v>3186</v>
      </c>
      <c r="AA263" s="2" t="s">
        <v>3187</v>
      </c>
      <c r="AB263" s="2" t="s">
        <v>1135</v>
      </c>
      <c r="AC263" s="2" t="s">
        <v>3188</v>
      </c>
      <c r="AD263" s="2" t="s">
        <v>3189</v>
      </c>
      <c r="AE263" s="3" t="s">
        <v>53</v>
      </c>
    </row>
    <row r="264" customFormat="false" ht="15" hidden="false" customHeight="false" outlineLevel="0" collapsed="false">
      <c r="A264" s="2" t="s">
        <v>3190</v>
      </c>
      <c r="B264" s="2" t="s">
        <v>1091</v>
      </c>
      <c r="C264" s="2" t="s">
        <v>3191</v>
      </c>
      <c r="D264" s="2" t="s">
        <v>2212</v>
      </c>
      <c r="E264" s="2" t="s">
        <v>258</v>
      </c>
      <c r="F264" s="3" t="s">
        <v>86</v>
      </c>
      <c r="G264" s="2" t="s">
        <v>3192</v>
      </c>
      <c r="H264" s="2" t="s">
        <v>3193</v>
      </c>
      <c r="I264" s="2" t="s">
        <v>3194</v>
      </c>
      <c r="J264" s="2" t="s">
        <v>3195</v>
      </c>
      <c r="K264" s="2" t="s">
        <v>3196</v>
      </c>
      <c r="L264" s="2" t="s">
        <v>2759</v>
      </c>
      <c r="M264" s="2"/>
      <c r="N264" s="2"/>
      <c r="O264" s="3"/>
      <c r="P264" s="2" t="s">
        <v>1166</v>
      </c>
      <c r="Q264" s="2" t="s">
        <v>3197</v>
      </c>
      <c r="R264" s="2" t="s">
        <v>134</v>
      </c>
      <c r="S264" s="2"/>
      <c r="T264" s="3" t="s">
        <v>412</v>
      </c>
      <c r="U264" s="2"/>
      <c r="V264" s="4" t="n">
        <v>10</v>
      </c>
      <c r="W264" s="2" t="s">
        <v>2221</v>
      </c>
      <c r="X264" s="2" t="s">
        <v>3198</v>
      </c>
      <c r="Y264" s="2" t="s">
        <v>3199</v>
      </c>
      <c r="Z264" s="2" t="s">
        <v>3200</v>
      </c>
      <c r="AA264" s="2" t="s">
        <v>3201</v>
      </c>
      <c r="AB264" s="2" t="s">
        <v>1135</v>
      </c>
      <c r="AC264" s="2" t="s">
        <v>3202</v>
      </c>
      <c r="AD264" s="2" t="s">
        <v>3203</v>
      </c>
      <c r="AE264" s="3" t="s">
        <v>53</v>
      </c>
    </row>
    <row r="265" customFormat="false" ht="15" hidden="false" customHeight="false" outlineLevel="0" collapsed="false">
      <c r="A265" s="2" t="s">
        <v>3204</v>
      </c>
      <c r="B265" s="2" t="s">
        <v>1091</v>
      </c>
      <c r="C265" s="2" t="s">
        <v>3205</v>
      </c>
      <c r="D265" s="2" t="s">
        <v>2212</v>
      </c>
      <c r="E265" s="2" t="s">
        <v>258</v>
      </c>
      <c r="F265" s="3" t="s">
        <v>86</v>
      </c>
      <c r="G265" s="2" t="s">
        <v>3206</v>
      </c>
      <c r="H265" s="2" t="s">
        <v>3207</v>
      </c>
      <c r="I265" s="2" t="s">
        <v>3208</v>
      </c>
      <c r="J265" s="2" t="s">
        <v>3209</v>
      </c>
      <c r="K265" s="2" t="s">
        <v>3210</v>
      </c>
      <c r="L265" s="2" t="s">
        <v>2596</v>
      </c>
      <c r="M265" s="2"/>
      <c r="N265" s="2"/>
      <c r="O265" s="3"/>
      <c r="P265" s="2" t="s">
        <v>1166</v>
      </c>
      <c r="Q265" s="2" t="s">
        <v>1056</v>
      </c>
      <c r="R265" s="2" t="s">
        <v>285</v>
      </c>
      <c r="S265" s="2" t="s">
        <v>1067</v>
      </c>
      <c r="T265" s="3" t="s">
        <v>412</v>
      </c>
      <c r="U265" s="2"/>
      <c r="V265" s="4" t="n">
        <v>9.8</v>
      </c>
      <c r="W265" s="2" t="s">
        <v>2393</v>
      </c>
      <c r="X265" s="2" t="s">
        <v>3211</v>
      </c>
      <c r="Y265" s="2" t="s">
        <v>3212</v>
      </c>
      <c r="Z265" s="2" t="s">
        <v>3213</v>
      </c>
      <c r="AA265" s="2" t="s">
        <v>2764</v>
      </c>
      <c r="AB265" s="2" t="s">
        <v>3214</v>
      </c>
      <c r="AC265" s="2" t="s">
        <v>3215</v>
      </c>
      <c r="AD265" s="2" t="s">
        <v>3216</v>
      </c>
      <c r="AE265" s="3" t="s">
        <v>53</v>
      </c>
    </row>
    <row r="266" customFormat="false" ht="15" hidden="false" customHeight="false" outlineLevel="0" collapsed="false">
      <c r="A266" s="2" t="s">
        <v>3217</v>
      </c>
      <c r="B266" s="2" t="s">
        <v>1091</v>
      </c>
      <c r="C266" s="2" t="s">
        <v>3218</v>
      </c>
      <c r="D266" s="2" t="s">
        <v>2212</v>
      </c>
      <c r="E266" s="2" t="s">
        <v>258</v>
      </c>
      <c r="F266" s="3" t="s">
        <v>86</v>
      </c>
      <c r="G266" s="2" t="s">
        <v>3219</v>
      </c>
      <c r="H266" s="2" t="s">
        <v>3220</v>
      </c>
      <c r="I266" s="2" t="s">
        <v>3221</v>
      </c>
      <c r="J266" s="2" t="s">
        <v>3222</v>
      </c>
      <c r="K266" s="2" t="s">
        <v>3223</v>
      </c>
      <c r="L266" s="2" t="s">
        <v>348</v>
      </c>
      <c r="M266" s="2"/>
      <c r="N266" s="2"/>
      <c r="O266" s="3"/>
      <c r="P266" s="2" t="s">
        <v>1166</v>
      </c>
      <c r="Q266" s="2" t="s">
        <v>2538</v>
      </c>
      <c r="R266" s="2" t="s">
        <v>2539</v>
      </c>
      <c r="S266" s="2" t="s">
        <v>1067</v>
      </c>
      <c r="T266" s="3" t="s">
        <v>412</v>
      </c>
      <c r="U266" s="2"/>
      <c r="V266" s="4" t="n">
        <v>9.8</v>
      </c>
      <c r="W266" s="2" t="s">
        <v>2393</v>
      </c>
      <c r="X266" s="2" t="s">
        <v>3224</v>
      </c>
      <c r="Y266" s="2" t="s">
        <v>3225</v>
      </c>
      <c r="Z266" s="2" t="s">
        <v>2224</v>
      </c>
      <c r="AA266" s="2" t="s">
        <v>2497</v>
      </c>
      <c r="AB266" s="2" t="s">
        <v>3226</v>
      </c>
      <c r="AC266" s="2" t="s">
        <v>2430</v>
      </c>
      <c r="AD266" s="2" t="s">
        <v>3227</v>
      </c>
      <c r="AE266" s="3" t="s">
        <v>53</v>
      </c>
    </row>
    <row r="267" customFormat="false" ht="15" hidden="false" customHeight="false" outlineLevel="0" collapsed="false">
      <c r="A267" s="2" t="s">
        <v>3228</v>
      </c>
      <c r="B267" s="2" t="s">
        <v>1091</v>
      </c>
      <c r="C267" s="2" t="s">
        <v>3229</v>
      </c>
      <c r="D267" s="2" t="s">
        <v>2212</v>
      </c>
      <c r="E267" s="2" t="s">
        <v>258</v>
      </c>
      <c r="F267" s="3" t="s">
        <v>86</v>
      </c>
      <c r="G267" s="2" t="s">
        <v>3230</v>
      </c>
      <c r="H267" s="2" t="s">
        <v>3231</v>
      </c>
      <c r="I267" s="2" t="s">
        <v>3232</v>
      </c>
      <c r="J267" s="2" t="s">
        <v>3233</v>
      </c>
      <c r="K267" s="2" t="s">
        <v>3234</v>
      </c>
      <c r="L267" s="2" t="s">
        <v>348</v>
      </c>
      <c r="M267" s="2"/>
      <c r="N267" s="2"/>
      <c r="O267" s="3"/>
      <c r="P267" s="2" t="s">
        <v>1166</v>
      </c>
      <c r="Q267" s="2" t="s">
        <v>3235</v>
      </c>
      <c r="R267" s="2" t="s">
        <v>285</v>
      </c>
      <c r="S267" s="2"/>
      <c r="T267" s="3" t="s">
        <v>412</v>
      </c>
      <c r="U267" s="2"/>
      <c r="V267" s="4" t="n">
        <v>9.8</v>
      </c>
      <c r="W267" s="2" t="s">
        <v>2393</v>
      </c>
      <c r="X267" s="2" t="s">
        <v>3236</v>
      </c>
      <c r="Y267" s="2" t="s">
        <v>3237</v>
      </c>
      <c r="Z267" s="2" t="s">
        <v>3171</v>
      </c>
      <c r="AA267" s="2" t="s">
        <v>3238</v>
      </c>
      <c r="AB267" s="2" t="s">
        <v>1135</v>
      </c>
      <c r="AC267" s="2" t="s">
        <v>3239</v>
      </c>
      <c r="AD267" s="2" t="s">
        <v>3240</v>
      </c>
      <c r="AE267" s="3" t="s">
        <v>53</v>
      </c>
    </row>
    <row r="268" customFormat="false" ht="15" hidden="false" customHeight="false" outlineLevel="0" collapsed="false">
      <c r="A268" s="2" t="s">
        <v>3241</v>
      </c>
      <c r="B268" s="2" t="s">
        <v>1091</v>
      </c>
      <c r="C268" s="2" t="s">
        <v>3242</v>
      </c>
      <c r="D268" s="2" t="s">
        <v>2212</v>
      </c>
      <c r="E268" s="2" t="s">
        <v>258</v>
      </c>
      <c r="F268" s="3" t="s">
        <v>86</v>
      </c>
      <c r="G268" s="2" t="s">
        <v>3243</v>
      </c>
      <c r="H268" s="2" t="s">
        <v>3244</v>
      </c>
      <c r="I268" s="2" t="s">
        <v>3245</v>
      </c>
      <c r="J268" s="2" t="s">
        <v>3246</v>
      </c>
      <c r="K268" s="2" t="s">
        <v>3247</v>
      </c>
      <c r="L268" s="2" t="s">
        <v>348</v>
      </c>
      <c r="M268" s="2"/>
      <c r="N268" s="2"/>
      <c r="O268" s="3"/>
      <c r="P268" s="2" t="s">
        <v>1166</v>
      </c>
      <c r="Q268" s="2" t="s">
        <v>3054</v>
      </c>
      <c r="R268" s="2" t="s">
        <v>285</v>
      </c>
      <c r="S268" s="2"/>
      <c r="T268" s="3" t="s">
        <v>412</v>
      </c>
      <c r="U268" s="2"/>
      <c r="V268" s="4" t="n">
        <v>9.3</v>
      </c>
      <c r="W268" s="2" t="s">
        <v>3248</v>
      </c>
      <c r="X268" s="2" t="s">
        <v>3249</v>
      </c>
      <c r="Y268" s="2" t="s">
        <v>3250</v>
      </c>
      <c r="Z268" s="2" t="s">
        <v>3251</v>
      </c>
      <c r="AA268" s="2" t="s">
        <v>3252</v>
      </c>
      <c r="AB268" s="2" t="s">
        <v>1135</v>
      </c>
      <c r="AC268" s="2" t="s">
        <v>3253</v>
      </c>
      <c r="AD268" s="2" t="s">
        <v>3254</v>
      </c>
      <c r="AE268" s="3" t="s">
        <v>53</v>
      </c>
    </row>
    <row r="269" customFormat="false" ht="15" hidden="false" customHeight="false" outlineLevel="0" collapsed="false">
      <c r="A269" s="2" t="s">
        <v>3255</v>
      </c>
      <c r="B269" s="2" t="s">
        <v>1091</v>
      </c>
      <c r="C269" s="2" t="s">
        <v>3256</v>
      </c>
      <c r="D269" s="2" t="s">
        <v>2212</v>
      </c>
      <c r="E269" s="2" t="s">
        <v>258</v>
      </c>
      <c r="F269" s="3" t="s">
        <v>86</v>
      </c>
      <c r="G269" s="2" t="s">
        <v>3257</v>
      </c>
      <c r="H269" s="2" t="s">
        <v>3258</v>
      </c>
      <c r="I269" s="2" t="s">
        <v>3259</v>
      </c>
      <c r="J269" s="2" t="s">
        <v>3260</v>
      </c>
      <c r="K269" s="2" t="s">
        <v>3261</v>
      </c>
      <c r="L269" s="2" t="s">
        <v>2759</v>
      </c>
      <c r="M269" s="2"/>
      <c r="N269" s="2"/>
      <c r="O269" s="3"/>
      <c r="P269" s="2" t="s">
        <v>170</v>
      </c>
      <c r="Q269" s="2" t="s">
        <v>133</v>
      </c>
      <c r="R269" s="2" t="s">
        <v>134</v>
      </c>
      <c r="S269" s="2" t="s">
        <v>1067</v>
      </c>
      <c r="T269" s="3" t="s">
        <v>412</v>
      </c>
      <c r="U269" s="2"/>
      <c r="V269" s="4" t="n">
        <v>9.1</v>
      </c>
      <c r="W269" s="2" t="s">
        <v>3262</v>
      </c>
      <c r="X269" s="2" t="s">
        <v>3263</v>
      </c>
      <c r="Y269" s="2" t="s">
        <v>3264</v>
      </c>
      <c r="Z269" s="2" t="s">
        <v>2224</v>
      </c>
      <c r="AA269" s="2" t="s">
        <v>2497</v>
      </c>
      <c r="AB269" s="2" t="s">
        <v>3265</v>
      </c>
      <c r="AC269" s="2" t="s">
        <v>2765</v>
      </c>
      <c r="AD269" s="2" t="s">
        <v>3266</v>
      </c>
      <c r="AE269" s="3" t="s">
        <v>53</v>
      </c>
    </row>
    <row r="270" customFormat="false" ht="15" hidden="false" customHeight="false" outlineLevel="0" collapsed="false">
      <c r="A270" s="2" t="s">
        <v>3267</v>
      </c>
      <c r="B270" s="2" t="s">
        <v>1091</v>
      </c>
      <c r="C270" s="2" t="s">
        <v>3268</v>
      </c>
      <c r="D270" s="2" t="s">
        <v>2212</v>
      </c>
      <c r="E270" s="2" t="s">
        <v>258</v>
      </c>
      <c r="F270" s="3" t="s">
        <v>86</v>
      </c>
      <c r="G270" s="2" t="s">
        <v>3269</v>
      </c>
      <c r="H270" s="2" t="s">
        <v>3270</v>
      </c>
      <c r="I270" s="2" t="s">
        <v>3271</v>
      </c>
      <c r="J270" s="2" t="s">
        <v>3272</v>
      </c>
      <c r="K270" s="2" t="s">
        <v>3273</v>
      </c>
      <c r="L270" s="2" t="s">
        <v>2759</v>
      </c>
      <c r="M270" s="2"/>
      <c r="N270" s="2"/>
      <c r="O270" s="3"/>
      <c r="P270" s="2" t="s">
        <v>170</v>
      </c>
      <c r="Q270" s="2" t="s">
        <v>133</v>
      </c>
      <c r="R270" s="2" t="s">
        <v>134</v>
      </c>
      <c r="S270" s="2" t="s">
        <v>1067</v>
      </c>
      <c r="T270" s="3" t="s">
        <v>412</v>
      </c>
      <c r="U270" s="2"/>
      <c r="V270" s="4" t="n">
        <v>9.1</v>
      </c>
      <c r="W270" s="2" t="s">
        <v>3262</v>
      </c>
      <c r="X270" s="2" t="s">
        <v>3274</v>
      </c>
      <c r="Y270" s="2" t="s">
        <v>3275</v>
      </c>
      <c r="Z270" s="2" t="s">
        <v>2224</v>
      </c>
      <c r="AA270" s="2" t="s">
        <v>2497</v>
      </c>
      <c r="AB270" s="2" t="s">
        <v>3276</v>
      </c>
      <c r="AC270" s="2" t="s">
        <v>2765</v>
      </c>
      <c r="AD270" s="2" t="s">
        <v>3277</v>
      </c>
      <c r="AE270" s="3" t="s">
        <v>53</v>
      </c>
    </row>
    <row r="271" customFormat="false" ht="15" hidden="false" customHeight="false" outlineLevel="0" collapsed="false">
      <c r="A271" s="2" t="s">
        <v>3278</v>
      </c>
      <c r="B271" s="2" t="s">
        <v>1091</v>
      </c>
      <c r="C271" s="2" t="s">
        <v>3279</v>
      </c>
      <c r="D271" s="2" t="s">
        <v>2212</v>
      </c>
      <c r="E271" s="2" t="s">
        <v>258</v>
      </c>
      <c r="F271" s="3" t="s">
        <v>36</v>
      </c>
      <c r="G271" s="2" t="s">
        <v>3280</v>
      </c>
      <c r="H271" s="2" t="s">
        <v>3281</v>
      </c>
      <c r="I271" s="2" t="s">
        <v>3282</v>
      </c>
      <c r="J271" s="2" t="s">
        <v>3283</v>
      </c>
      <c r="K271" s="2" t="s">
        <v>3284</v>
      </c>
      <c r="L271" s="2" t="s">
        <v>2759</v>
      </c>
      <c r="M271" s="2"/>
      <c r="N271" s="2"/>
      <c r="O271" s="3"/>
      <c r="P271" s="2" t="s">
        <v>170</v>
      </c>
      <c r="Q271" s="2" t="s">
        <v>3285</v>
      </c>
      <c r="R271" s="2" t="s">
        <v>134</v>
      </c>
      <c r="S271" s="2" t="s">
        <v>1067</v>
      </c>
      <c r="T271" s="3" t="s">
        <v>412</v>
      </c>
      <c r="U271" s="2"/>
      <c r="V271" s="4" t="n">
        <v>8.8</v>
      </c>
      <c r="W271" s="2" t="s">
        <v>2255</v>
      </c>
      <c r="X271" s="2" t="s">
        <v>3286</v>
      </c>
      <c r="Y271" s="2" t="s">
        <v>3287</v>
      </c>
      <c r="Z271" s="2" t="s">
        <v>3288</v>
      </c>
      <c r="AA271" s="2" t="s">
        <v>2348</v>
      </c>
      <c r="AB271" s="2" t="s">
        <v>3267</v>
      </c>
      <c r="AC271" s="2" t="s">
        <v>3289</v>
      </c>
      <c r="AD271" s="2" t="s">
        <v>3290</v>
      </c>
      <c r="AE271" s="3" t="s">
        <v>53</v>
      </c>
    </row>
    <row r="272" customFormat="false" ht="15" hidden="false" customHeight="false" outlineLevel="0" collapsed="false">
      <c r="A272" s="2" t="s">
        <v>3291</v>
      </c>
      <c r="B272" s="2" t="s">
        <v>1091</v>
      </c>
      <c r="C272" s="2" t="s">
        <v>3292</v>
      </c>
      <c r="D272" s="2" t="s">
        <v>2212</v>
      </c>
      <c r="E272" s="2" t="s">
        <v>258</v>
      </c>
      <c r="F272" s="3" t="s">
        <v>86</v>
      </c>
      <c r="G272" s="2" t="s">
        <v>3293</v>
      </c>
      <c r="H272" s="2" t="s">
        <v>3294</v>
      </c>
      <c r="I272" s="2" t="s">
        <v>3295</v>
      </c>
      <c r="J272" s="2" t="s">
        <v>3296</v>
      </c>
      <c r="K272" s="2" t="s">
        <v>3297</v>
      </c>
      <c r="L272" s="2" t="s">
        <v>1602</v>
      </c>
      <c r="M272" s="2"/>
      <c r="N272" s="2"/>
      <c r="O272" s="3"/>
      <c r="P272" s="2" t="s">
        <v>3298</v>
      </c>
      <c r="Q272" s="2" t="s">
        <v>157</v>
      </c>
      <c r="R272" s="2" t="s">
        <v>158</v>
      </c>
      <c r="S272" s="2" t="s">
        <v>1067</v>
      </c>
      <c r="T272" s="3" t="s">
        <v>412</v>
      </c>
      <c r="U272" s="2"/>
      <c r="V272" s="4" t="n">
        <v>9.8</v>
      </c>
      <c r="W272" s="2" t="s">
        <v>2393</v>
      </c>
      <c r="X272" s="2" t="s">
        <v>3299</v>
      </c>
      <c r="Y272" s="2" t="s">
        <v>3300</v>
      </c>
      <c r="Z272" s="2" t="s">
        <v>3301</v>
      </c>
      <c r="AA272" s="2" t="s">
        <v>2871</v>
      </c>
      <c r="AB272" s="2" t="s">
        <v>3302</v>
      </c>
      <c r="AC272" s="2" t="s">
        <v>3303</v>
      </c>
      <c r="AD272" s="2" t="s">
        <v>3304</v>
      </c>
      <c r="AE272" s="3" t="s">
        <v>53</v>
      </c>
    </row>
    <row r="273" customFormat="false" ht="15" hidden="false" customHeight="false" outlineLevel="0" collapsed="false">
      <c r="A273" s="2" t="s">
        <v>3302</v>
      </c>
      <c r="B273" s="2" t="s">
        <v>1091</v>
      </c>
      <c r="C273" s="2" t="s">
        <v>3305</v>
      </c>
      <c r="D273" s="2" t="s">
        <v>2212</v>
      </c>
      <c r="E273" s="2" t="s">
        <v>258</v>
      </c>
      <c r="F273" s="3" t="s">
        <v>86</v>
      </c>
      <c r="G273" s="2" t="s">
        <v>3306</v>
      </c>
      <c r="H273" s="2" t="s">
        <v>3307</v>
      </c>
      <c r="I273" s="2" t="s">
        <v>3308</v>
      </c>
      <c r="J273" s="2" t="s">
        <v>3309</v>
      </c>
      <c r="K273" s="2" t="s">
        <v>3310</v>
      </c>
      <c r="L273" s="2" t="s">
        <v>1602</v>
      </c>
      <c r="M273" s="2"/>
      <c r="N273" s="2"/>
      <c r="O273" s="3"/>
      <c r="P273" s="2" t="s">
        <v>170</v>
      </c>
      <c r="Q273" s="2" t="s">
        <v>157</v>
      </c>
      <c r="R273" s="2" t="s">
        <v>158</v>
      </c>
      <c r="S273" s="2"/>
      <c r="T273" s="3" t="s">
        <v>412</v>
      </c>
      <c r="U273" s="2"/>
      <c r="V273" s="4" t="n">
        <v>9.8</v>
      </c>
      <c r="W273" s="2" t="s">
        <v>2393</v>
      </c>
      <c r="X273" s="2" t="s">
        <v>3311</v>
      </c>
      <c r="Y273" s="2" t="s">
        <v>3312</v>
      </c>
      <c r="Z273" s="2" t="s">
        <v>3313</v>
      </c>
      <c r="AA273" s="2" t="s">
        <v>3314</v>
      </c>
      <c r="AB273" s="2" t="s">
        <v>3291</v>
      </c>
      <c r="AC273" s="2" t="s">
        <v>3315</v>
      </c>
      <c r="AD273" s="2" t="s">
        <v>3316</v>
      </c>
      <c r="AE273" s="3" t="s">
        <v>53</v>
      </c>
    </row>
    <row r="274" customFormat="false" ht="15" hidden="false" customHeight="false" outlineLevel="0" collapsed="false">
      <c r="A274" s="2" t="s">
        <v>3317</v>
      </c>
      <c r="B274" s="2" t="s">
        <v>1091</v>
      </c>
      <c r="C274" s="2" t="s">
        <v>3318</v>
      </c>
      <c r="D274" s="2" t="s">
        <v>2212</v>
      </c>
      <c r="E274" s="2" t="s">
        <v>258</v>
      </c>
      <c r="F274" s="3" t="s">
        <v>86</v>
      </c>
      <c r="G274" s="2" t="s">
        <v>3319</v>
      </c>
      <c r="H274" s="2" t="s">
        <v>3320</v>
      </c>
      <c r="I274" s="2" t="s">
        <v>3321</v>
      </c>
      <c r="J274" s="2" t="s">
        <v>3322</v>
      </c>
      <c r="K274" s="2" t="s">
        <v>3323</v>
      </c>
      <c r="L274" s="2" t="s">
        <v>2596</v>
      </c>
      <c r="M274" s="2"/>
      <c r="N274" s="2"/>
      <c r="O274" s="3"/>
      <c r="P274" s="2" t="s">
        <v>3324</v>
      </c>
      <c r="Q274" s="2" t="s">
        <v>2774</v>
      </c>
      <c r="R274" s="2" t="s">
        <v>285</v>
      </c>
      <c r="S274" s="2" t="s">
        <v>1067</v>
      </c>
      <c r="T274" s="3" t="s">
        <v>412</v>
      </c>
      <c r="U274" s="2"/>
      <c r="V274" s="4" t="n">
        <v>10</v>
      </c>
      <c r="W274" s="2" t="s">
        <v>2221</v>
      </c>
      <c r="X274" s="2" t="s">
        <v>3325</v>
      </c>
      <c r="Y274" s="2" t="s">
        <v>3326</v>
      </c>
      <c r="Z274" s="2" t="s">
        <v>3327</v>
      </c>
      <c r="AA274" s="2" t="s">
        <v>2497</v>
      </c>
      <c r="AB274" s="2" t="s">
        <v>1014</v>
      </c>
      <c r="AC274" s="2" t="s">
        <v>3328</v>
      </c>
      <c r="AD274" s="2" t="s">
        <v>3329</v>
      </c>
      <c r="AE274" s="3" t="s">
        <v>53</v>
      </c>
    </row>
    <row r="275" customFormat="false" ht="15" hidden="false" customHeight="false" outlineLevel="0" collapsed="false">
      <c r="A275" s="2" t="s">
        <v>3330</v>
      </c>
      <c r="B275" s="2" t="s">
        <v>1091</v>
      </c>
      <c r="C275" s="2" t="s">
        <v>3331</v>
      </c>
      <c r="D275" s="2" t="s">
        <v>2212</v>
      </c>
      <c r="E275" s="2" t="s">
        <v>258</v>
      </c>
      <c r="F275" s="3" t="s">
        <v>86</v>
      </c>
      <c r="G275" s="2" t="s">
        <v>3332</v>
      </c>
      <c r="H275" s="2" t="s">
        <v>3333</v>
      </c>
      <c r="I275" s="2" t="s">
        <v>3334</v>
      </c>
      <c r="J275" s="2" t="s">
        <v>3335</v>
      </c>
      <c r="K275" s="2" t="s">
        <v>3336</v>
      </c>
      <c r="L275" s="2" t="s">
        <v>2698</v>
      </c>
      <c r="M275" s="2"/>
      <c r="N275" s="2"/>
      <c r="O275" s="3"/>
      <c r="P275" s="2" t="s">
        <v>2451</v>
      </c>
      <c r="Q275" s="2" t="s">
        <v>3337</v>
      </c>
      <c r="R275" s="2" t="s">
        <v>285</v>
      </c>
      <c r="S275" s="2"/>
      <c r="T275" s="3" t="s">
        <v>675</v>
      </c>
      <c r="U275" s="2"/>
      <c r="V275" s="4" t="n">
        <v>10</v>
      </c>
      <c r="W275" s="2" t="s">
        <v>3338</v>
      </c>
      <c r="X275" s="2" t="s">
        <v>3339</v>
      </c>
      <c r="Y275" s="2" t="s">
        <v>3340</v>
      </c>
      <c r="Z275" s="2" t="s">
        <v>3341</v>
      </c>
      <c r="AA275" s="2" t="s">
        <v>3342</v>
      </c>
      <c r="AB275" s="2" t="s">
        <v>3343</v>
      </c>
      <c r="AC275" s="2" t="s">
        <v>3344</v>
      </c>
      <c r="AD275" s="2" t="s">
        <v>3345</v>
      </c>
      <c r="AE275" s="3" t="s">
        <v>53</v>
      </c>
    </row>
    <row r="276" customFormat="false" ht="15" hidden="false" customHeight="false" outlineLevel="0" collapsed="false">
      <c r="A276" s="2" t="s">
        <v>3346</v>
      </c>
      <c r="B276" s="2" t="s">
        <v>1091</v>
      </c>
      <c r="C276" s="2" t="s">
        <v>3347</v>
      </c>
      <c r="D276" s="2" t="s">
        <v>2212</v>
      </c>
      <c r="E276" s="2" t="s">
        <v>258</v>
      </c>
      <c r="F276" s="3" t="s">
        <v>86</v>
      </c>
      <c r="G276" s="2" t="s">
        <v>3348</v>
      </c>
      <c r="H276" s="2" t="s">
        <v>3349</v>
      </c>
      <c r="I276" s="2" t="s">
        <v>3350</v>
      </c>
      <c r="J276" s="2" t="s">
        <v>3351</v>
      </c>
      <c r="K276" s="2" t="s">
        <v>3352</v>
      </c>
      <c r="L276" s="2" t="s">
        <v>2698</v>
      </c>
      <c r="M276" s="2"/>
      <c r="N276" s="2"/>
      <c r="O276" s="3"/>
      <c r="P276" s="2" t="s">
        <v>3353</v>
      </c>
      <c r="Q276" s="2" t="s">
        <v>95</v>
      </c>
      <c r="R276" s="2" t="s">
        <v>96</v>
      </c>
      <c r="S276" s="2"/>
      <c r="T276" s="3" t="s">
        <v>50</v>
      </c>
      <c r="U276" s="2"/>
      <c r="V276" s="4" t="n">
        <v>9.9</v>
      </c>
      <c r="W276" s="2" t="s">
        <v>3354</v>
      </c>
      <c r="X276" s="2" t="s">
        <v>3355</v>
      </c>
      <c r="Y276" s="2" t="s">
        <v>3356</v>
      </c>
      <c r="Z276" s="2" t="s">
        <v>3357</v>
      </c>
      <c r="AA276" s="2" t="s">
        <v>3358</v>
      </c>
      <c r="AB276" s="2" t="s">
        <v>1014</v>
      </c>
      <c r="AC276" s="2" t="s">
        <v>3359</v>
      </c>
      <c r="AD276" s="2" t="s">
        <v>3360</v>
      </c>
      <c r="AE276" s="3" t="s">
        <v>53</v>
      </c>
    </row>
    <row r="277" customFormat="false" ht="15" hidden="false" customHeight="false" outlineLevel="0" collapsed="false">
      <c r="A277" s="2" t="s">
        <v>3361</v>
      </c>
      <c r="B277" s="2" t="s">
        <v>1091</v>
      </c>
      <c r="C277" s="2" t="s">
        <v>3362</v>
      </c>
      <c r="D277" s="2" t="s">
        <v>2212</v>
      </c>
      <c r="E277" s="2" t="s">
        <v>258</v>
      </c>
      <c r="F277" s="3" t="s">
        <v>86</v>
      </c>
      <c r="G277" s="2" t="s">
        <v>3363</v>
      </c>
      <c r="H277" s="2" t="s">
        <v>3364</v>
      </c>
      <c r="I277" s="2" t="s">
        <v>3365</v>
      </c>
      <c r="J277" s="2" t="s">
        <v>3366</v>
      </c>
      <c r="K277" s="2" t="s">
        <v>3367</v>
      </c>
      <c r="L277" s="2" t="s">
        <v>1602</v>
      </c>
      <c r="M277" s="2"/>
      <c r="N277" s="2"/>
      <c r="O277" s="3"/>
      <c r="P277" s="2" t="s">
        <v>79</v>
      </c>
      <c r="Q277" s="2" t="s">
        <v>3368</v>
      </c>
      <c r="R277" s="2" t="s">
        <v>158</v>
      </c>
      <c r="S277" s="2"/>
      <c r="T277" s="3" t="s">
        <v>412</v>
      </c>
      <c r="U277" s="2"/>
      <c r="V277" s="4" t="n">
        <v>10</v>
      </c>
      <c r="W277" s="2" t="s">
        <v>2221</v>
      </c>
      <c r="X277" s="2" t="s">
        <v>3369</v>
      </c>
      <c r="Y277" s="2" t="s">
        <v>3370</v>
      </c>
      <c r="Z277" s="2" t="s">
        <v>2585</v>
      </c>
      <c r="AA277" s="2" t="s">
        <v>2586</v>
      </c>
      <c r="AB277" s="2" t="s">
        <v>3371</v>
      </c>
      <c r="AC277" s="2" t="s">
        <v>2261</v>
      </c>
      <c r="AD277" s="2" t="s">
        <v>3372</v>
      </c>
      <c r="AE277" s="3" t="s">
        <v>53</v>
      </c>
    </row>
    <row r="278" customFormat="false" ht="15" hidden="false" customHeight="false" outlineLevel="0" collapsed="false">
      <c r="A278" s="2" t="s">
        <v>3373</v>
      </c>
      <c r="B278" s="2" t="s">
        <v>1091</v>
      </c>
      <c r="C278" s="2" t="s">
        <v>3374</v>
      </c>
      <c r="D278" s="2" t="s">
        <v>2212</v>
      </c>
      <c r="E278" s="2" t="s">
        <v>258</v>
      </c>
      <c r="F278" s="3" t="s">
        <v>86</v>
      </c>
      <c r="G278" s="2" t="s">
        <v>3375</v>
      </c>
      <c r="H278" s="2" t="s">
        <v>3376</v>
      </c>
      <c r="I278" s="2" t="s">
        <v>3377</v>
      </c>
      <c r="J278" s="2" t="s">
        <v>3378</v>
      </c>
      <c r="K278" s="2" t="s">
        <v>3379</v>
      </c>
      <c r="L278" s="2" t="s">
        <v>2698</v>
      </c>
      <c r="M278" s="2"/>
      <c r="N278" s="2"/>
      <c r="O278" s="3"/>
      <c r="P278" s="2" t="s">
        <v>170</v>
      </c>
      <c r="Q278" s="2" t="s">
        <v>80</v>
      </c>
      <c r="R278" s="2" t="s">
        <v>81</v>
      </c>
      <c r="S278" s="2" t="s">
        <v>1067</v>
      </c>
      <c r="T278" s="3" t="s">
        <v>412</v>
      </c>
      <c r="U278" s="2"/>
      <c r="V278" s="4" t="n">
        <v>9.8</v>
      </c>
      <c r="W278" s="2" t="s">
        <v>2393</v>
      </c>
      <c r="X278" s="2" t="s">
        <v>3380</v>
      </c>
      <c r="Y278" s="2" t="s">
        <v>3381</v>
      </c>
      <c r="Z278" s="2" t="s">
        <v>3382</v>
      </c>
      <c r="AA278" s="2" t="s">
        <v>2497</v>
      </c>
      <c r="AB278" s="2" t="s">
        <v>3383</v>
      </c>
      <c r="AC278" s="2" t="s">
        <v>3384</v>
      </c>
      <c r="AD278" s="2" t="s">
        <v>3385</v>
      </c>
      <c r="AE278" s="3" t="s">
        <v>53</v>
      </c>
    </row>
    <row r="279" customFormat="false" ht="15" hidden="false" customHeight="false" outlineLevel="0" collapsed="false">
      <c r="A279" s="2" t="s">
        <v>3386</v>
      </c>
      <c r="B279" s="2" t="s">
        <v>1091</v>
      </c>
      <c r="C279" s="2" t="s">
        <v>3387</v>
      </c>
      <c r="D279" s="2" t="s">
        <v>2212</v>
      </c>
      <c r="E279" s="2" t="s">
        <v>258</v>
      </c>
      <c r="F279" s="3" t="s">
        <v>86</v>
      </c>
      <c r="G279" s="2" t="s">
        <v>3388</v>
      </c>
      <c r="H279" s="2" t="s">
        <v>3389</v>
      </c>
      <c r="I279" s="2" t="s">
        <v>3390</v>
      </c>
      <c r="J279" s="2" t="s">
        <v>3391</v>
      </c>
      <c r="K279" s="2" t="s">
        <v>3392</v>
      </c>
      <c r="L279" s="2" t="s">
        <v>2596</v>
      </c>
      <c r="M279" s="2"/>
      <c r="N279" s="2"/>
      <c r="O279" s="3"/>
      <c r="P279" s="2" t="s">
        <v>2597</v>
      </c>
      <c r="Q279" s="2" t="s">
        <v>3393</v>
      </c>
      <c r="R279" s="2" t="s">
        <v>285</v>
      </c>
      <c r="S279" s="2" t="s">
        <v>1067</v>
      </c>
      <c r="T279" s="3" t="s">
        <v>412</v>
      </c>
      <c r="U279" s="2"/>
      <c r="V279" s="4" t="n">
        <v>9.8</v>
      </c>
      <c r="W279" s="2" t="s">
        <v>2393</v>
      </c>
      <c r="X279" s="2" t="s">
        <v>3394</v>
      </c>
      <c r="Y279" s="2" t="s">
        <v>3395</v>
      </c>
      <c r="Z279" s="2" t="s">
        <v>3396</v>
      </c>
      <c r="AA279" s="2" t="s">
        <v>2887</v>
      </c>
      <c r="AB279" s="2" t="s">
        <v>3373</v>
      </c>
      <c r="AC279" s="2" t="s">
        <v>3397</v>
      </c>
      <c r="AD279" s="2" t="s">
        <v>3398</v>
      </c>
      <c r="AE279" s="3" t="s">
        <v>53</v>
      </c>
    </row>
    <row r="280" customFormat="false" ht="15" hidden="false" customHeight="false" outlineLevel="0" collapsed="false">
      <c r="A280" s="2" t="s">
        <v>3399</v>
      </c>
      <c r="B280" s="2" t="s">
        <v>32</v>
      </c>
      <c r="C280" s="2" t="s">
        <v>3400</v>
      </c>
      <c r="D280" s="2" t="s">
        <v>2212</v>
      </c>
      <c r="E280" s="2" t="s">
        <v>35</v>
      </c>
      <c r="F280" s="3" t="s">
        <v>36</v>
      </c>
      <c r="G280" s="2" t="s">
        <v>3401</v>
      </c>
      <c r="H280" s="2" t="s">
        <v>3402</v>
      </c>
      <c r="I280" s="2" t="s">
        <v>3403</v>
      </c>
      <c r="J280" s="2" t="s">
        <v>3404</v>
      </c>
      <c r="K280" s="2" t="s">
        <v>3405</v>
      </c>
      <c r="L280" s="2" t="s">
        <v>1602</v>
      </c>
      <c r="M280" s="2"/>
      <c r="N280" s="2"/>
      <c r="O280" s="3"/>
      <c r="P280" s="2" t="s">
        <v>3406</v>
      </c>
      <c r="Q280" s="2" t="s">
        <v>3407</v>
      </c>
      <c r="R280" s="2" t="s">
        <v>172</v>
      </c>
      <c r="S280" s="2" t="s">
        <v>1067</v>
      </c>
      <c r="T280" s="3" t="s">
        <v>82</v>
      </c>
      <c r="U280" s="2"/>
      <c r="V280" s="4" t="n">
        <v>7.2</v>
      </c>
      <c r="W280" s="2" t="s">
        <v>2285</v>
      </c>
      <c r="X280" s="2" t="s">
        <v>3408</v>
      </c>
      <c r="Y280" s="2" t="s">
        <v>3409</v>
      </c>
      <c r="Z280" s="2" t="s">
        <v>2274</v>
      </c>
      <c r="AA280" s="2" t="s">
        <v>3410</v>
      </c>
      <c r="AB280" s="2" t="s">
        <v>3411</v>
      </c>
      <c r="AC280" s="2" t="s">
        <v>3412</v>
      </c>
      <c r="AD280" s="2" t="s">
        <v>3413</v>
      </c>
      <c r="AE280" s="3" t="s">
        <v>53</v>
      </c>
    </row>
    <row r="281" customFormat="false" ht="15" hidden="false" customHeight="false" outlineLevel="0" collapsed="false">
      <c r="A281" s="2" t="s">
        <v>3414</v>
      </c>
      <c r="B281" s="2" t="s">
        <v>32</v>
      </c>
      <c r="C281" s="2" t="s">
        <v>3415</v>
      </c>
      <c r="D281" s="2" t="s">
        <v>2212</v>
      </c>
      <c r="E281" s="2" t="s">
        <v>258</v>
      </c>
      <c r="F281" s="3" t="s">
        <v>86</v>
      </c>
      <c r="G281" s="2" t="s">
        <v>3416</v>
      </c>
      <c r="H281" s="2" t="s">
        <v>3417</v>
      </c>
      <c r="I281" s="2" t="s">
        <v>3418</v>
      </c>
      <c r="J281" s="2" t="s">
        <v>3419</v>
      </c>
      <c r="K281" s="2" t="s">
        <v>3420</v>
      </c>
      <c r="L281" s="2" t="s">
        <v>2596</v>
      </c>
      <c r="M281" s="2"/>
      <c r="N281" s="2"/>
      <c r="O281" s="3"/>
      <c r="P281" s="2" t="s">
        <v>170</v>
      </c>
      <c r="Q281" s="2" t="s">
        <v>3421</v>
      </c>
      <c r="R281" s="2" t="s">
        <v>285</v>
      </c>
      <c r="S281" s="2" t="s">
        <v>1067</v>
      </c>
      <c r="T281" s="3" t="s">
        <v>50</v>
      </c>
      <c r="U281" s="2"/>
      <c r="V281" s="4" t="n">
        <v>9.8</v>
      </c>
      <c r="W281" s="2" t="s">
        <v>2393</v>
      </c>
      <c r="X281" s="2" t="s">
        <v>3422</v>
      </c>
      <c r="Y281" s="2" t="s">
        <v>3423</v>
      </c>
      <c r="Z281" s="2" t="s">
        <v>2224</v>
      </c>
      <c r="AA281" s="2" t="s">
        <v>2497</v>
      </c>
      <c r="AB281" s="2" t="s">
        <v>3424</v>
      </c>
      <c r="AC281" s="2" t="s">
        <v>2430</v>
      </c>
      <c r="AD281" s="2" t="s">
        <v>3425</v>
      </c>
      <c r="AE281" s="3" t="s">
        <v>53</v>
      </c>
    </row>
    <row r="282" customFormat="false" ht="15" hidden="false" customHeight="false" outlineLevel="0" collapsed="false">
      <c r="A282" s="2" t="s">
        <v>451</v>
      </c>
      <c r="B282" s="2" t="s">
        <v>32</v>
      </c>
      <c r="C282" s="2" t="s">
        <v>3426</v>
      </c>
      <c r="D282" s="2" t="s">
        <v>2212</v>
      </c>
      <c r="E282" s="2" t="s">
        <v>258</v>
      </c>
      <c r="F282" s="3" t="s">
        <v>86</v>
      </c>
      <c r="G282" s="2" t="s">
        <v>3427</v>
      </c>
      <c r="H282" s="2" t="s">
        <v>3428</v>
      </c>
      <c r="I282" s="2" t="s">
        <v>3429</v>
      </c>
      <c r="J282" s="2" t="s">
        <v>3430</v>
      </c>
      <c r="K282" s="2" t="s">
        <v>3431</v>
      </c>
      <c r="L282" s="2" t="s">
        <v>2698</v>
      </c>
      <c r="M282" s="2"/>
      <c r="N282" s="2"/>
      <c r="O282" s="3"/>
      <c r="P282" s="2" t="s">
        <v>79</v>
      </c>
      <c r="Q282" s="2" t="s">
        <v>3432</v>
      </c>
      <c r="R282" s="2" t="s">
        <v>450</v>
      </c>
      <c r="S282" s="2" t="s">
        <v>1067</v>
      </c>
      <c r="T282" s="3" t="s">
        <v>50</v>
      </c>
      <c r="U282" s="2"/>
      <c r="V282" s="4" t="n">
        <v>9.8</v>
      </c>
      <c r="W282" s="2" t="s">
        <v>2393</v>
      </c>
      <c r="X282" s="2" t="s">
        <v>3433</v>
      </c>
      <c r="Y282" s="2" t="s">
        <v>3434</v>
      </c>
      <c r="Z282" s="2" t="s">
        <v>3435</v>
      </c>
      <c r="AA282" s="2" t="s">
        <v>2497</v>
      </c>
      <c r="AB282" s="2" t="s">
        <v>3436</v>
      </c>
      <c r="AC282" s="2" t="s">
        <v>3437</v>
      </c>
      <c r="AD282" s="2" t="s">
        <v>3438</v>
      </c>
      <c r="AE282" s="3" t="s">
        <v>53</v>
      </c>
    </row>
    <row r="283" customFormat="false" ht="15" hidden="false" customHeight="false" outlineLevel="0" collapsed="false">
      <c r="A283" s="2" t="s">
        <v>3439</v>
      </c>
      <c r="B283" s="2" t="s">
        <v>32</v>
      </c>
      <c r="C283" s="2" t="s">
        <v>3440</v>
      </c>
      <c r="D283" s="2" t="s">
        <v>2212</v>
      </c>
      <c r="E283" s="2" t="s">
        <v>258</v>
      </c>
      <c r="F283" s="3" t="s">
        <v>86</v>
      </c>
      <c r="G283" s="2" t="s">
        <v>3441</v>
      </c>
      <c r="H283" s="2" t="s">
        <v>3442</v>
      </c>
      <c r="I283" s="2" t="s">
        <v>3443</v>
      </c>
      <c r="J283" s="2" t="s">
        <v>3444</v>
      </c>
      <c r="K283" s="2" t="s">
        <v>3445</v>
      </c>
      <c r="L283" s="2" t="s">
        <v>2698</v>
      </c>
      <c r="M283" s="2"/>
      <c r="N283" s="2"/>
      <c r="O283" s="3"/>
      <c r="P283" s="2" t="s">
        <v>94</v>
      </c>
      <c r="Q283" s="2" t="s">
        <v>3446</v>
      </c>
      <c r="R283" s="2" t="s">
        <v>3447</v>
      </c>
      <c r="S283" s="2" t="s">
        <v>1067</v>
      </c>
      <c r="T283" s="3" t="s">
        <v>82</v>
      </c>
      <c r="U283" s="2"/>
      <c r="V283" s="4" t="n">
        <v>10</v>
      </c>
      <c r="W283" s="2" t="s">
        <v>2221</v>
      </c>
      <c r="X283" s="2" t="s">
        <v>3448</v>
      </c>
      <c r="Y283" s="2" t="s">
        <v>3449</v>
      </c>
      <c r="Z283" s="2" t="s">
        <v>3450</v>
      </c>
      <c r="AA283" s="2" t="s">
        <v>3451</v>
      </c>
      <c r="AB283" s="2" t="s">
        <v>3452</v>
      </c>
      <c r="AC283" s="2" t="s">
        <v>3453</v>
      </c>
      <c r="AD283" s="2" t="s">
        <v>3454</v>
      </c>
      <c r="AE283" s="3" t="s">
        <v>53</v>
      </c>
    </row>
    <row r="284" customFormat="false" ht="15" hidden="false" customHeight="false" outlineLevel="0" collapsed="false">
      <c r="A284" s="2" t="s">
        <v>3455</v>
      </c>
      <c r="B284" s="2" t="s">
        <v>32</v>
      </c>
      <c r="C284" s="2" t="s">
        <v>3456</v>
      </c>
      <c r="D284" s="2" t="s">
        <v>2212</v>
      </c>
      <c r="E284" s="2" t="s">
        <v>258</v>
      </c>
      <c r="F284" s="3" t="s">
        <v>86</v>
      </c>
      <c r="G284" s="2" t="s">
        <v>3457</v>
      </c>
      <c r="H284" s="2" t="s">
        <v>3458</v>
      </c>
      <c r="I284" s="2" t="s">
        <v>3459</v>
      </c>
      <c r="J284" s="2" t="s">
        <v>3460</v>
      </c>
      <c r="K284" s="2" t="s">
        <v>3461</v>
      </c>
      <c r="L284" s="2" t="s">
        <v>2698</v>
      </c>
      <c r="M284" s="2"/>
      <c r="N284" s="2"/>
      <c r="O284" s="3"/>
      <c r="P284" s="2" t="s">
        <v>170</v>
      </c>
      <c r="Q284" s="2" t="s">
        <v>542</v>
      </c>
      <c r="R284" s="2" t="s">
        <v>285</v>
      </c>
      <c r="S284" s="2" t="s">
        <v>1067</v>
      </c>
      <c r="T284" s="3" t="s">
        <v>82</v>
      </c>
      <c r="U284" s="2"/>
      <c r="V284" s="4" t="n">
        <v>9.8</v>
      </c>
      <c r="W284" s="2" t="s">
        <v>2393</v>
      </c>
      <c r="X284" s="2" t="s">
        <v>3462</v>
      </c>
      <c r="Y284" s="2" t="s">
        <v>3463</v>
      </c>
      <c r="Z284" s="2" t="s">
        <v>3464</v>
      </c>
      <c r="AA284" s="2" t="s">
        <v>2764</v>
      </c>
      <c r="AB284" s="2" t="s">
        <v>3465</v>
      </c>
      <c r="AC284" s="2" t="s">
        <v>3466</v>
      </c>
      <c r="AD284" s="2" t="s">
        <v>3467</v>
      </c>
      <c r="AE284" s="3" t="s">
        <v>53</v>
      </c>
    </row>
    <row r="285" customFormat="false" ht="15" hidden="false" customHeight="false" outlineLevel="0" collapsed="false">
      <c r="A285" s="2" t="s">
        <v>3468</v>
      </c>
      <c r="B285" s="2" t="s">
        <v>32</v>
      </c>
      <c r="C285" s="2" t="s">
        <v>3469</v>
      </c>
      <c r="D285" s="2" t="s">
        <v>2212</v>
      </c>
      <c r="E285" s="2" t="s">
        <v>258</v>
      </c>
      <c r="F285" s="3" t="s">
        <v>86</v>
      </c>
      <c r="G285" s="2" t="s">
        <v>3470</v>
      </c>
      <c r="H285" s="2" t="s">
        <v>3471</v>
      </c>
      <c r="I285" s="2" t="s">
        <v>3472</v>
      </c>
      <c r="J285" s="2" t="s">
        <v>3473</v>
      </c>
      <c r="K285" s="2" t="s">
        <v>3474</v>
      </c>
      <c r="L285" s="2" t="s">
        <v>2698</v>
      </c>
      <c r="M285" s="2"/>
      <c r="N285" s="2"/>
      <c r="O285" s="3"/>
      <c r="P285" s="2" t="s">
        <v>79</v>
      </c>
      <c r="Q285" s="2" t="s">
        <v>3475</v>
      </c>
      <c r="R285" s="2" t="s">
        <v>285</v>
      </c>
      <c r="S285" s="2" t="s">
        <v>1067</v>
      </c>
      <c r="T285" s="3" t="s">
        <v>82</v>
      </c>
      <c r="U285" s="2"/>
      <c r="V285" s="4" t="n">
        <v>9.8</v>
      </c>
      <c r="W285" s="2" t="s">
        <v>2393</v>
      </c>
      <c r="X285" s="2" t="s">
        <v>3476</v>
      </c>
      <c r="Y285" s="2" t="s">
        <v>3477</v>
      </c>
      <c r="Z285" s="2" t="s">
        <v>2224</v>
      </c>
      <c r="AA285" s="2" t="s">
        <v>2497</v>
      </c>
      <c r="AB285" s="2" t="s">
        <v>3478</v>
      </c>
      <c r="AC285" s="2" t="s">
        <v>2430</v>
      </c>
      <c r="AD285" s="2" t="s">
        <v>3479</v>
      </c>
      <c r="AE285" s="3" t="s">
        <v>53</v>
      </c>
    </row>
    <row r="286" customFormat="false" ht="15" hidden="false" customHeight="false" outlineLevel="0" collapsed="false">
      <c r="A286" s="2" t="s">
        <v>3480</v>
      </c>
      <c r="B286" s="2" t="s">
        <v>32</v>
      </c>
      <c r="C286" s="2" t="s">
        <v>3481</v>
      </c>
      <c r="D286" s="2" t="s">
        <v>2212</v>
      </c>
      <c r="E286" s="2" t="s">
        <v>258</v>
      </c>
      <c r="F286" s="3" t="s">
        <v>86</v>
      </c>
      <c r="G286" s="2" t="s">
        <v>3482</v>
      </c>
      <c r="H286" s="2" t="s">
        <v>3483</v>
      </c>
      <c r="I286" s="2" t="s">
        <v>3484</v>
      </c>
      <c r="J286" s="2" t="s">
        <v>3485</v>
      </c>
      <c r="K286" s="2" t="s">
        <v>3486</v>
      </c>
      <c r="L286" s="2" t="s">
        <v>2759</v>
      </c>
      <c r="M286" s="2"/>
      <c r="N286" s="2"/>
      <c r="O286" s="3"/>
      <c r="P286" s="2" t="s">
        <v>79</v>
      </c>
      <c r="Q286" s="2" t="s">
        <v>2538</v>
      </c>
      <c r="R286" s="2" t="s">
        <v>2539</v>
      </c>
      <c r="S286" s="2" t="s">
        <v>1067</v>
      </c>
      <c r="T286" s="3" t="s">
        <v>82</v>
      </c>
      <c r="U286" s="2"/>
      <c r="V286" s="4" t="n">
        <v>7.5</v>
      </c>
      <c r="W286" s="2" t="s">
        <v>2300</v>
      </c>
      <c r="X286" s="2" t="s">
        <v>3487</v>
      </c>
      <c r="Y286" s="2" t="s">
        <v>3488</v>
      </c>
      <c r="Z286" s="2" t="s">
        <v>2224</v>
      </c>
      <c r="AA286" s="2" t="s">
        <v>2764</v>
      </c>
      <c r="AB286" s="2" t="s">
        <v>174</v>
      </c>
      <c r="AC286" s="2" t="s">
        <v>3489</v>
      </c>
      <c r="AD286" s="2" t="s">
        <v>3490</v>
      </c>
      <c r="AE286" s="3" t="s">
        <v>53</v>
      </c>
    </row>
    <row r="287" customFormat="false" ht="15" hidden="false" customHeight="false" outlineLevel="0" collapsed="false">
      <c r="A287" s="2" t="s">
        <v>3491</v>
      </c>
      <c r="B287" s="2" t="s">
        <v>32</v>
      </c>
      <c r="C287" s="2" t="s">
        <v>3492</v>
      </c>
      <c r="D287" s="2" t="s">
        <v>2212</v>
      </c>
      <c r="E287" s="2" t="s">
        <v>258</v>
      </c>
      <c r="F287" s="3" t="s">
        <v>86</v>
      </c>
      <c r="G287" s="2" t="s">
        <v>3493</v>
      </c>
      <c r="H287" s="2" t="s">
        <v>3494</v>
      </c>
      <c r="I287" s="2" t="s">
        <v>3495</v>
      </c>
      <c r="J287" s="2" t="s">
        <v>3496</v>
      </c>
      <c r="K287" s="2" t="s">
        <v>3497</v>
      </c>
      <c r="L287" s="2" t="s">
        <v>2698</v>
      </c>
      <c r="M287" s="2"/>
      <c r="N287" s="2"/>
      <c r="O287" s="3"/>
      <c r="P287" s="2" t="s">
        <v>170</v>
      </c>
      <c r="Q287" s="2" t="s">
        <v>3498</v>
      </c>
      <c r="R287" s="2" t="s">
        <v>285</v>
      </c>
      <c r="S287" s="2" t="s">
        <v>1067</v>
      </c>
      <c r="T287" s="3" t="s">
        <v>82</v>
      </c>
      <c r="U287" s="2"/>
      <c r="V287" s="4" t="n">
        <v>9.8</v>
      </c>
      <c r="W287" s="2" t="s">
        <v>2393</v>
      </c>
      <c r="X287" s="2" t="s">
        <v>3499</v>
      </c>
      <c r="Y287" s="2" t="s">
        <v>3500</v>
      </c>
      <c r="Z287" s="2" t="s">
        <v>3501</v>
      </c>
      <c r="AA287" s="2" t="s">
        <v>2497</v>
      </c>
      <c r="AB287" s="2" t="s">
        <v>3502</v>
      </c>
      <c r="AC287" s="2" t="s">
        <v>3503</v>
      </c>
      <c r="AD287" s="2" t="s">
        <v>3504</v>
      </c>
      <c r="AE287" s="3" t="s">
        <v>53</v>
      </c>
    </row>
    <row r="288" customFormat="false" ht="15" hidden="false" customHeight="false" outlineLevel="0" collapsed="false">
      <c r="A288" s="2" t="s">
        <v>3505</v>
      </c>
      <c r="B288" s="2" t="s">
        <v>32</v>
      </c>
      <c r="C288" s="2" t="s">
        <v>3506</v>
      </c>
      <c r="D288" s="2" t="s">
        <v>2212</v>
      </c>
      <c r="E288" s="2" t="s">
        <v>258</v>
      </c>
      <c r="F288" s="3" t="s">
        <v>86</v>
      </c>
      <c r="G288" s="2" t="s">
        <v>3507</v>
      </c>
      <c r="H288" s="2" t="s">
        <v>3508</v>
      </c>
      <c r="I288" s="2" t="s">
        <v>3509</v>
      </c>
      <c r="J288" s="2" t="s">
        <v>3510</v>
      </c>
      <c r="K288" s="2" t="s">
        <v>3511</v>
      </c>
      <c r="L288" s="2" t="s">
        <v>2759</v>
      </c>
      <c r="M288" s="2"/>
      <c r="N288" s="2"/>
      <c r="O288" s="3"/>
      <c r="P288" s="2" t="s">
        <v>2816</v>
      </c>
      <c r="Q288" s="2" t="s">
        <v>3512</v>
      </c>
      <c r="R288" s="2" t="s">
        <v>285</v>
      </c>
      <c r="S288" s="2" t="s">
        <v>1067</v>
      </c>
      <c r="T288" s="3" t="s">
        <v>50</v>
      </c>
      <c r="U288" s="2"/>
      <c r="V288" s="4" t="n">
        <v>10</v>
      </c>
      <c r="W288" s="2" t="s">
        <v>3513</v>
      </c>
      <c r="X288" s="2" t="s">
        <v>3514</v>
      </c>
      <c r="Y288" s="2" t="s">
        <v>3515</v>
      </c>
      <c r="Z288" s="2" t="s">
        <v>3516</v>
      </c>
      <c r="AA288" s="2" t="s">
        <v>2764</v>
      </c>
      <c r="AB288" s="2" t="s">
        <v>3517</v>
      </c>
      <c r="AC288" s="2" t="s">
        <v>3518</v>
      </c>
      <c r="AD288" s="2" t="s">
        <v>3519</v>
      </c>
      <c r="AE288" s="3" t="s">
        <v>53</v>
      </c>
    </row>
    <row r="289" customFormat="false" ht="15" hidden="false" customHeight="false" outlineLevel="0" collapsed="false">
      <c r="A289" s="2" t="s">
        <v>3520</v>
      </c>
      <c r="B289" s="2" t="s">
        <v>32</v>
      </c>
      <c r="C289" s="2" t="s">
        <v>3521</v>
      </c>
      <c r="D289" s="2" t="s">
        <v>2212</v>
      </c>
      <c r="E289" s="2" t="s">
        <v>258</v>
      </c>
      <c r="F289" s="3" t="s">
        <v>86</v>
      </c>
      <c r="G289" s="2" t="s">
        <v>3522</v>
      </c>
      <c r="H289" s="2" t="s">
        <v>3523</v>
      </c>
      <c r="I289" s="2" t="s">
        <v>3524</v>
      </c>
      <c r="J289" s="2" t="s">
        <v>3525</v>
      </c>
      <c r="K289" s="2" t="s">
        <v>3526</v>
      </c>
      <c r="L289" s="2" t="s">
        <v>2698</v>
      </c>
      <c r="M289" s="2"/>
      <c r="N289" s="2"/>
      <c r="O289" s="3"/>
      <c r="P289" s="2" t="s">
        <v>79</v>
      </c>
      <c r="Q289" s="2" t="s">
        <v>3527</v>
      </c>
      <c r="R289" s="2" t="s">
        <v>253</v>
      </c>
      <c r="S289" s="2" t="s">
        <v>1067</v>
      </c>
      <c r="T289" s="3" t="s">
        <v>82</v>
      </c>
      <c r="U289" s="2"/>
      <c r="V289" s="4" t="n">
        <v>10</v>
      </c>
      <c r="W289" s="2" t="s">
        <v>3513</v>
      </c>
      <c r="X289" s="2" t="s">
        <v>3528</v>
      </c>
      <c r="Y289" s="2" t="s">
        <v>3529</v>
      </c>
      <c r="Z289" s="2" t="s">
        <v>3530</v>
      </c>
      <c r="AA289" s="2" t="s">
        <v>2764</v>
      </c>
      <c r="AB289" s="2" t="s">
        <v>3531</v>
      </c>
      <c r="AC289" s="2" t="s">
        <v>3532</v>
      </c>
      <c r="AD289" s="2" t="s">
        <v>3533</v>
      </c>
      <c r="AE289" s="3" t="s">
        <v>53</v>
      </c>
    </row>
    <row r="290" customFormat="false" ht="15" hidden="false" customHeight="false" outlineLevel="0" collapsed="false">
      <c r="A290" s="2" t="s">
        <v>3534</v>
      </c>
      <c r="B290" s="2" t="s">
        <v>32</v>
      </c>
      <c r="C290" s="2" t="s">
        <v>3535</v>
      </c>
      <c r="D290" s="2" t="s">
        <v>2212</v>
      </c>
      <c r="E290" s="2" t="s">
        <v>258</v>
      </c>
      <c r="F290" s="3" t="s">
        <v>86</v>
      </c>
      <c r="G290" s="2" t="s">
        <v>3536</v>
      </c>
      <c r="H290" s="2" t="s">
        <v>3537</v>
      </c>
      <c r="I290" s="2" t="s">
        <v>3538</v>
      </c>
      <c r="J290" s="2" t="s">
        <v>3539</v>
      </c>
      <c r="K290" s="2" t="s">
        <v>3540</v>
      </c>
      <c r="L290" s="2" t="s">
        <v>2698</v>
      </c>
      <c r="M290" s="2"/>
      <c r="N290" s="2"/>
      <c r="O290" s="3"/>
      <c r="P290" s="2" t="s">
        <v>79</v>
      </c>
      <c r="Q290" s="2" t="s">
        <v>3541</v>
      </c>
      <c r="R290" s="2" t="s">
        <v>96</v>
      </c>
      <c r="S290" s="2" t="s">
        <v>1067</v>
      </c>
      <c r="T290" s="3" t="s">
        <v>82</v>
      </c>
      <c r="U290" s="2"/>
      <c r="V290" s="4" t="n">
        <v>9.8</v>
      </c>
      <c r="W290" s="2" t="s">
        <v>2393</v>
      </c>
      <c r="X290" s="2" t="s">
        <v>3542</v>
      </c>
      <c r="Y290" s="2" t="s">
        <v>3543</v>
      </c>
      <c r="Z290" s="2" t="s">
        <v>3544</v>
      </c>
      <c r="AA290" s="2" t="s">
        <v>2764</v>
      </c>
      <c r="AB290" s="2" t="s">
        <v>3545</v>
      </c>
      <c r="AC290" s="2" t="s">
        <v>3546</v>
      </c>
      <c r="AD290" s="2" t="s">
        <v>3547</v>
      </c>
      <c r="AE290" s="3" t="s">
        <v>53</v>
      </c>
    </row>
    <row r="291" customFormat="false" ht="15" hidden="false" customHeight="false" outlineLevel="0" collapsed="false">
      <c r="A291" s="2" t="s">
        <v>3548</v>
      </c>
      <c r="B291" s="2" t="s">
        <v>32</v>
      </c>
      <c r="C291" s="2" t="s">
        <v>3549</v>
      </c>
      <c r="D291" s="2" t="s">
        <v>2212</v>
      </c>
      <c r="E291" s="2" t="s">
        <v>258</v>
      </c>
      <c r="F291" s="3" t="s">
        <v>86</v>
      </c>
      <c r="G291" s="2" t="s">
        <v>3550</v>
      </c>
      <c r="H291" s="2" t="s">
        <v>3551</v>
      </c>
      <c r="I291" s="2" t="s">
        <v>3552</v>
      </c>
      <c r="J291" s="2" t="s">
        <v>3553</v>
      </c>
      <c r="K291" s="2" t="s">
        <v>3554</v>
      </c>
      <c r="L291" s="2" t="s">
        <v>1602</v>
      </c>
      <c r="M291" s="2"/>
      <c r="N291" s="2"/>
      <c r="O291" s="3"/>
      <c r="P291" s="2" t="s">
        <v>170</v>
      </c>
      <c r="Q291" s="2" t="s">
        <v>157</v>
      </c>
      <c r="R291" s="2" t="s">
        <v>158</v>
      </c>
      <c r="S291" s="2" t="s">
        <v>1067</v>
      </c>
      <c r="T291" s="3" t="s">
        <v>82</v>
      </c>
      <c r="U291" s="2"/>
      <c r="V291" s="4" t="n">
        <v>9.8</v>
      </c>
      <c r="W291" s="2" t="s">
        <v>2393</v>
      </c>
      <c r="X291" s="2" t="s">
        <v>3555</v>
      </c>
      <c r="Y291" s="2" t="s">
        <v>3556</v>
      </c>
      <c r="Z291" s="2" t="s">
        <v>2224</v>
      </c>
      <c r="AA291" s="2" t="s">
        <v>2348</v>
      </c>
      <c r="AB291" s="2" t="s">
        <v>3557</v>
      </c>
      <c r="AC291" s="2" t="s">
        <v>2430</v>
      </c>
      <c r="AD291" s="2" t="s">
        <v>3558</v>
      </c>
      <c r="AE291" s="3" t="s">
        <v>53</v>
      </c>
    </row>
    <row r="292" customFormat="false" ht="15" hidden="false" customHeight="false" outlineLevel="0" collapsed="false">
      <c r="A292" s="2" t="s">
        <v>3559</v>
      </c>
      <c r="B292" s="2" t="s">
        <v>32</v>
      </c>
      <c r="C292" s="2" t="s">
        <v>3560</v>
      </c>
      <c r="D292" s="2" t="s">
        <v>2212</v>
      </c>
      <c r="E292" s="2" t="s">
        <v>189</v>
      </c>
      <c r="F292" s="3" t="s">
        <v>101</v>
      </c>
      <c r="G292" s="2" t="s">
        <v>3561</v>
      </c>
      <c r="H292" s="2" t="s">
        <v>3562</v>
      </c>
      <c r="I292" s="2" t="s">
        <v>3563</v>
      </c>
      <c r="J292" s="2" t="s">
        <v>3564</v>
      </c>
      <c r="K292" s="2" t="s">
        <v>3565</v>
      </c>
      <c r="L292" s="2" t="s">
        <v>2759</v>
      </c>
      <c r="M292" s="2"/>
      <c r="N292" s="2"/>
      <c r="O292" s="3"/>
      <c r="P292" s="2" t="s">
        <v>2205</v>
      </c>
      <c r="Q292" s="2" t="s">
        <v>410</v>
      </c>
      <c r="R292" s="2" t="s">
        <v>285</v>
      </c>
      <c r="S292" s="2" t="s">
        <v>1067</v>
      </c>
      <c r="T292" s="3" t="s">
        <v>82</v>
      </c>
      <c r="U292" s="2"/>
      <c r="V292" s="4" t="n">
        <v>5.3</v>
      </c>
      <c r="W292" s="2" t="s">
        <v>3566</v>
      </c>
      <c r="X292" s="2" t="s">
        <v>3567</v>
      </c>
      <c r="Y292" s="2" t="s">
        <v>3568</v>
      </c>
      <c r="Z292" s="2" t="s">
        <v>3569</v>
      </c>
      <c r="AA292" s="2" t="s">
        <v>2764</v>
      </c>
      <c r="AB292" s="2" t="s">
        <v>3570</v>
      </c>
      <c r="AC292" s="2" t="s">
        <v>3571</v>
      </c>
      <c r="AD292" s="2" t="s">
        <v>3572</v>
      </c>
      <c r="AE292" s="3" t="s">
        <v>53</v>
      </c>
    </row>
    <row r="293" customFormat="false" ht="15" hidden="false" customHeight="false" outlineLevel="0" collapsed="false">
      <c r="A293" s="2" t="s">
        <v>3573</v>
      </c>
      <c r="B293" s="2" t="s">
        <v>32</v>
      </c>
      <c r="C293" s="2" t="s">
        <v>3574</v>
      </c>
      <c r="D293" s="2" t="s">
        <v>2212</v>
      </c>
      <c r="E293" s="2" t="s">
        <v>258</v>
      </c>
      <c r="F293" s="3" t="s">
        <v>86</v>
      </c>
      <c r="G293" s="2" t="s">
        <v>3575</v>
      </c>
      <c r="H293" s="2" t="s">
        <v>3576</v>
      </c>
      <c r="I293" s="2" t="s">
        <v>3577</v>
      </c>
      <c r="J293" s="2" t="s">
        <v>3578</v>
      </c>
      <c r="K293" s="2" t="s">
        <v>3579</v>
      </c>
      <c r="L293" s="2" t="s">
        <v>2759</v>
      </c>
      <c r="M293" s="2"/>
      <c r="N293" s="2"/>
      <c r="O293" s="3"/>
      <c r="P293" s="2" t="s">
        <v>170</v>
      </c>
      <c r="Q293" s="2" t="s">
        <v>3580</v>
      </c>
      <c r="R293" s="2" t="s">
        <v>172</v>
      </c>
      <c r="S293" s="2"/>
      <c r="T293" s="3" t="s">
        <v>82</v>
      </c>
      <c r="U293" s="2"/>
      <c r="V293" s="4" t="n">
        <v>10</v>
      </c>
      <c r="W293" s="2" t="s">
        <v>3338</v>
      </c>
      <c r="X293" s="2" t="s">
        <v>3581</v>
      </c>
      <c r="Y293" s="2" t="s">
        <v>3582</v>
      </c>
      <c r="Z293" s="2" t="s">
        <v>3583</v>
      </c>
      <c r="AA293" s="2" t="s">
        <v>3584</v>
      </c>
      <c r="AB293" s="2" t="s">
        <v>3585</v>
      </c>
      <c r="AC293" s="2" t="s">
        <v>3586</v>
      </c>
      <c r="AD293" s="2" t="s">
        <v>3587</v>
      </c>
      <c r="AE293" s="3" t="s">
        <v>53</v>
      </c>
    </row>
    <row r="294" customFormat="false" ht="15" hidden="false" customHeight="false" outlineLevel="0" collapsed="false">
      <c r="A294" s="2" t="s">
        <v>3588</v>
      </c>
      <c r="B294" s="2" t="s">
        <v>32</v>
      </c>
      <c r="C294" s="2" t="s">
        <v>3589</v>
      </c>
      <c r="D294" s="2" t="s">
        <v>2212</v>
      </c>
      <c r="E294" s="2" t="s">
        <v>258</v>
      </c>
      <c r="F294" s="3" t="s">
        <v>86</v>
      </c>
      <c r="G294" s="2" t="s">
        <v>3590</v>
      </c>
      <c r="H294" s="2" t="s">
        <v>3591</v>
      </c>
      <c r="I294" s="2" t="s">
        <v>3592</v>
      </c>
      <c r="J294" s="2" t="s">
        <v>3593</v>
      </c>
      <c r="K294" s="2" t="s">
        <v>3594</v>
      </c>
      <c r="L294" s="2" t="s">
        <v>2698</v>
      </c>
      <c r="M294" s="2"/>
      <c r="N294" s="2"/>
      <c r="O294" s="3"/>
      <c r="P294" s="2" t="s">
        <v>170</v>
      </c>
      <c r="Q294" s="2" t="s">
        <v>3595</v>
      </c>
      <c r="R294" s="2" t="s">
        <v>285</v>
      </c>
      <c r="S294" s="2" t="s">
        <v>1067</v>
      </c>
      <c r="T294" s="3" t="s">
        <v>82</v>
      </c>
      <c r="U294" s="2"/>
      <c r="V294" s="4" t="n">
        <v>9.8</v>
      </c>
      <c r="W294" s="2" t="s">
        <v>2393</v>
      </c>
      <c r="X294" s="2" t="s">
        <v>3596</v>
      </c>
      <c r="Y294" s="2" t="s">
        <v>3597</v>
      </c>
      <c r="Z294" s="2" t="s">
        <v>2224</v>
      </c>
      <c r="AA294" s="2" t="s">
        <v>2497</v>
      </c>
      <c r="AB294" s="2" t="s">
        <v>3598</v>
      </c>
      <c r="AC294" s="2" t="s">
        <v>2430</v>
      </c>
      <c r="AD294" s="2" t="s">
        <v>3599</v>
      </c>
      <c r="AE294" s="3" t="s">
        <v>53</v>
      </c>
    </row>
    <row r="295" customFormat="false" ht="15" hidden="false" customHeight="false" outlineLevel="0" collapsed="false">
      <c r="A295" s="2" t="s">
        <v>3600</v>
      </c>
      <c r="B295" s="2" t="s">
        <v>32</v>
      </c>
      <c r="C295" s="2" t="s">
        <v>3601</v>
      </c>
      <c r="D295" s="2" t="s">
        <v>2212</v>
      </c>
      <c r="E295" s="2" t="s">
        <v>258</v>
      </c>
      <c r="F295" s="3" t="s">
        <v>86</v>
      </c>
      <c r="G295" s="2" t="s">
        <v>3602</v>
      </c>
      <c r="H295" s="2" t="s">
        <v>3603</v>
      </c>
      <c r="I295" s="2" t="s">
        <v>3604</v>
      </c>
      <c r="J295" s="2" t="s">
        <v>3605</v>
      </c>
      <c r="K295" s="2" t="s">
        <v>3606</v>
      </c>
      <c r="L295" s="2" t="s">
        <v>2698</v>
      </c>
      <c r="M295" s="2"/>
      <c r="N295" s="2"/>
      <c r="O295" s="3"/>
      <c r="P295" s="2" t="s">
        <v>79</v>
      </c>
      <c r="Q295" s="2" t="s">
        <v>80</v>
      </c>
      <c r="R295" s="2" t="s">
        <v>81</v>
      </c>
      <c r="S295" s="2"/>
      <c r="T295" s="3" t="s">
        <v>82</v>
      </c>
      <c r="U295" s="2"/>
      <c r="V295" s="4" t="n">
        <v>9.8</v>
      </c>
      <c r="W295" s="2" t="s">
        <v>2393</v>
      </c>
      <c r="X295" s="2" t="s">
        <v>3607</v>
      </c>
      <c r="Y295" s="2" t="s">
        <v>3608</v>
      </c>
      <c r="Z295" s="2" t="s">
        <v>3609</v>
      </c>
      <c r="AA295" s="2" t="s">
        <v>3610</v>
      </c>
      <c r="AB295" s="2" t="s">
        <v>3611</v>
      </c>
      <c r="AC295" s="2" t="s">
        <v>2261</v>
      </c>
      <c r="AD295" s="2" t="s">
        <v>3612</v>
      </c>
      <c r="AE295" s="3" t="s">
        <v>53</v>
      </c>
    </row>
    <row r="296" customFormat="false" ht="15" hidden="false" customHeight="false" outlineLevel="0" collapsed="false">
      <c r="A296" s="2" t="s">
        <v>3613</v>
      </c>
      <c r="B296" s="2" t="s">
        <v>32</v>
      </c>
      <c r="C296" s="2" t="s">
        <v>3614</v>
      </c>
      <c r="D296" s="2" t="s">
        <v>2212</v>
      </c>
      <c r="E296" s="2" t="s">
        <v>258</v>
      </c>
      <c r="F296" s="3" t="s">
        <v>86</v>
      </c>
      <c r="G296" s="2" t="s">
        <v>3615</v>
      </c>
      <c r="H296" s="2" t="s">
        <v>3616</v>
      </c>
      <c r="I296" s="2" t="s">
        <v>3617</v>
      </c>
      <c r="J296" s="2" t="s">
        <v>3618</v>
      </c>
      <c r="K296" s="2" t="s">
        <v>3619</v>
      </c>
      <c r="L296" s="2" t="s">
        <v>2698</v>
      </c>
      <c r="M296" s="2"/>
      <c r="N296" s="2"/>
      <c r="O296" s="3"/>
      <c r="P296" s="2" t="s">
        <v>170</v>
      </c>
      <c r="Q296" s="2" t="s">
        <v>3620</v>
      </c>
      <c r="R296" s="2" t="s">
        <v>81</v>
      </c>
      <c r="S296" s="2"/>
      <c r="T296" s="3" t="s">
        <v>82</v>
      </c>
      <c r="U296" s="2"/>
      <c r="V296" s="4" t="n">
        <v>9.8</v>
      </c>
      <c r="W296" s="2" t="s">
        <v>2393</v>
      </c>
      <c r="X296" s="2" t="s">
        <v>3621</v>
      </c>
      <c r="Y296" s="2" t="s">
        <v>3622</v>
      </c>
      <c r="Z296" s="2" t="s">
        <v>3623</v>
      </c>
      <c r="AA296" s="2" t="s">
        <v>3624</v>
      </c>
      <c r="AB296" s="2" t="s">
        <v>3625</v>
      </c>
      <c r="AC296" s="2" t="s">
        <v>3626</v>
      </c>
      <c r="AD296" s="2" t="s">
        <v>3627</v>
      </c>
      <c r="AE296" s="3" t="s">
        <v>53</v>
      </c>
    </row>
    <row r="297" customFormat="false" ht="15" hidden="false" customHeight="false" outlineLevel="0" collapsed="false">
      <c r="A297" s="2" t="s">
        <v>3628</v>
      </c>
      <c r="B297" s="2" t="s">
        <v>32</v>
      </c>
      <c r="C297" s="2" t="s">
        <v>3629</v>
      </c>
      <c r="D297" s="2" t="s">
        <v>2212</v>
      </c>
      <c r="E297" s="2" t="s">
        <v>258</v>
      </c>
      <c r="F297" s="3" t="s">
        <v>86</v>
      </c>
      <c r="G297" s="2" t="s">
        <v>3630</v>
      </c>
      <c r="H297" s="2" t="s">
        <v>3631</v>
      </c>
      <c r="I297" s="2" t="s">
        <v>3632</v>
      </c>
      <c r="J297" s="2" t="s">
        <v>3633</v>
      </c>
      <c r="K297" s="2" t="s">
        <v>3634</v>
      </c>
      <c r="L297" s="2" t="s">
        <v>1602</v>
      </c>
      <c r="M297" s="2"/>
      <c r="N297" s="2"/>
      <c r="O297" s="3"/>
      <c r="P297" s="2" t="s">
        <v>79</v>
      </c>
      <c r="Q297" s="2" t="s">
        <v>157</v>
      </c>
      <c r="R297" s="2" t="s">
        <v>158</v>
      </c>
      <c r="S297" s="2" t="s">
        <v>1067</v>
      </c>
      <c r="T297" s="3" t="s">
        <v>82</v>
      </c>
      <c r="U297" s="2"/>
      <c r="V297" s="4" t="n">
        <v>10</v>
      </c>
      <c r="W297" s="2" t="s">
        <v>3635</v>
      </c>
      <c r="X297" s="2" t="s">
        <v>3636</v>
      </c>
      <c r="Y297" s="2" t="s">
        <v>3637</v>
      </c>
      <c r="Z297" s="2" t="s">
        <v>3638</v>
      </c>
      <c r="AA297" s="2" t="s">
        <v>2497</v>
      </c>
      <c r="AB297" s="2" t="s">
        <v>3639</v>
      </c>
      <c r="AC297" s="2" t="s">
        <v>3640</v>
      </c>
      <c r="AD297" s="2" t="s">
        <v>3641</v>
      </c>
      <c r="AE297" s="3" t="s">
        <v>53</v>
      </c>
    </row>
    <row r="298" customFormat="false" ht="15" hidden="false" customHeight="false" outlineLevel="0" collapsed="false">
      <c r="A298" s="2" t="s">
        <v>3642</v>
      </c>
      <c r="B298" s="2" t="s">
        <v>32</v>
      </c>
      <c r="C298" s="2" t="s">
        <v>3643</v>
      </c>
      <c r="D298" s="2" t="s">
        <v>2212</v>
      </c>
      <c r="E298" s="2" t="s">
        <v>258</v>
      </c>
      <c r="F298" s="3" t="s">
        <v>86</v>
      </c>
      <c r="G298" s="2" t="s">
        <v>3644</v>
      </c>
      <c r="H298" s="2" t="s">
        <v>3645</v>
      </c>
      <c r="I298" s="2" t="s">
        <v>3646</v>
      </c>
      <c r="J298" s="2" t="s">
        <v>3647</v>
      </c>
      <c r="K298" s="2" t="s">
        <v>3648</v>
      </c>
      <c r="L298" s="2" t="s">
        <v>42</v>
      </c>
      <c r="M298" s="2"/>
      <c r="N298" s="2"/>
      <c r="O298" s="3"/>
      <c r="P298" s="2" t="s">
        <v>79</v>
      </c>
      <c r="Q298" s="2" t="s">
        <v>764</v>
      </c>
      <c r="R298" s="2" t="s">
        <v>285</v>
      </c>
      <c r="S298" s="2" t="s">
        <v>49</v>
      </c>
      <c r="T298" s="3" t="s">
        <v>82</v>
      </c>
      <c r="U298" s="2"/>
      <c r="V298" s="4" t="n">
        <v>9.1</v>
      </c>
      <c r="W298" s="2" t="s">
        <v>3262</v>
      </c>
      <c r="X298" s="2" t="s">
        <v>3649</v>
      </c>
      <c r="Y298" s="2" t="s">
        <v>3650</v>
      </c>
      <c r="Z298" s="2" t="s">
        <v>2274</v>
      </c>
      <c r="AA298" s="2" t="s">
        <v>3651</v>
      </c>
      <c r="AB298" s="2" t="s">
        <v>3652</v>
      </c>
      <c r="AC298" s="2" t="s">
        <v>3653</v>
      </c>
      <c r="AD298" s="2" t="s">
        <v>3654</v>
      </c>
      <c r="AE298" s="3" t="s">
        <v>53</v>
      </c>
    </row>
    <row r="299" customFormat="false" ht="15" hidden="false" customHeight="false" outlineLevel="0" collapsed="false">
      <c r="A299" s="2" t="s">
        <v>3655</v>
      </c>
      <c r="B299" s="2" t="s">
        <v>32</v>
      </c>
      <c r="C299" s="2" t="s">
        <v>3656</v>
      </c>
      <c r="D299" s="2" t="s">
        <v>2212</v>
      </c>
      <c r="E299" s="2" t="s">
        <v>258</v>
      </c>
      <c r="F299" s="3" t="s">
        <v>86</v>
      </c>
      <c r="G299" s="2" t="s">
        <v>3657</v>
      </c>
      <c r="H299" s="2" t="s">
        <v>3658</v>
      </c>
      <c r="I299" s="2" t="s">
        <v>3659</v>
      </c>
      <c r="J299" s="2" t="s">
        <v>3660</v>
      </c>
      <c r="K299" s="2" t="s">
        <v>3661</v>
      </c>
      <c r="L299" s="2" t="s">
        <v>1602</v>
      </c>
      <c r="M299" s="2"/>
      <c r="N299" s="2"/>
      <c r="O299" s="3"/>
      <c r="P299" s="2" t="s">
        <v>79</v>
      </c>
      <c r="Q299" s="2" t="s">
        <v>157</v>
      </c>
      <c r="R299" s="2" t="s">
        <v>158</v>
      </c>
      <c r="S299" s="2" t="s">
        <v>1067</v>
      </c>
      <c r="T299" s="3" t="s">
        <v>82</v>
      </c>
      <c r="U299" s="2"/>
      <c r="V299" s="4" t="n">
        <v>10</v>
      </c>
      <c r="W299" s="2" t="s">
        <v>2221</v>
      </c>
      <c r="X299" s="2" t="s">
        <v>3662</v>
      </c>
      <c r="Y299" s="2" t="s">
        <v>3663</v>
      </c>
      <c r="Z299" s="2" t="s">
        <v>3664</v>
      </c>
      <c r="AA299" s="2" t="s">
        <v>2871</v>
      </c>
      <c r="AB299" s="2" t="s">
        <v>3665</v>
      </c>
      <c r="AC299" s="2" t="s">
        <v>3666</v>
      </c>
      <c r="AD299" s="2" t="s">
        <v>3667</v>
      </c>
      <c r="AE299" s="3" t="s">
        <v>53</v>
      </c>
    </row>
    <row r="300" customFormat="false" ht="15" hidden="false" customHeight="false" outlineLevel="0" collapsed="false">
      <c r="A300" s="2" t="s">
        <v>3668</v>
      </c>
      <c r="B300" s="2" t="s">
        <v>32</v>
      </c>
      <c r="C300" s="2" t="s">
        <v>3669</v>
      </c>
      <c r="D300" s="2" t="s">
        <v>2212</v>
      </c>
      <c r="E300" s="2" t="s">
        <v>189</v>
      </c>
      <c r="F300" s="3" t="s">
        <v>36</v>
      </c>
      <c r="G300" s="2" t="s">
        <v>3670</v>
      </c>
      <c r="H300" s="2" t="s">
        <v>3671</v>
      </c>
      <c r="I300" s="2" t="s">
        <v>3672</v>
      </c>
      <c r="J300" s="2" t="s">
        <v>3673</v>
      </c>
      <c r="K300" s="2" t="s">
        <v>3674</v>
      </c>
      <c r="L300" s="2" t="s">
        <v>2759</v>
      </c>
      <c r="M300" s="2"/>
      <c r="N300" s="2"/>
      <c r="O300" s="3"/>
      <c r="P300" s="2" t="s">
        <v>2205</v>
      </c>
      <c r="Q300" s="2" t="s">
        <v>2538</v>
      </c>
      <c r="R300" s="2" t="s">
        <v>2539</v>
      </c>
      <c r="S300" s="2" t="s">
        <v>1067</v>
      </c>
      <c r="T300" s="3" t="s">
        <v>82</v>
      </c>
      <c r="U300" s="2"/>
      <c r="V300" s="4" t="n">
        <v>7.5</v>
      </c>
      <c r="W300" s="2" t="s">
        <v>2300</v>
      </c>
      <c r="X300" s="2" t="s">
        <v>3675</v>
      </c>
      <c r="Y300" s="2" t="s">
        <v>3676</v>
      </c>
      <c r="Z300" s="2" t="s">
        <v>3677</v>
      </c>
      <c r="AA300" s="2" t="s">
        <v>2764</v>
      </c>
      <c r="AB300" s="2" t="s">
        <v>3678</v>
      </c>
      <c r="AC300" s="2" t="s">
        <v>3679</v>
      </c>
      <c r="AD300" s="2" t="s">
        <v>3680</v>
      </c>
      <c r="AE300" s="3" t="s">
        <v>53</v>
      </c>
    </row>
    <row r="301" customFormat="false" ht="15" hidden="false" customHeight="false" outlineLevel="0" collapsed="false">
      <c r="A301" s="2" t="s">
        <v>3681</v>
      </c>
      <c r="B301" s="2" t="s">
        <v>32</v>
      </c>
      <c r="C301" s="2" t="s">
        <v>3682</v>
      </c>
      <c r="D301" s="2" t="s">
        <v>2212</v>
      </c>
      <c r="E301" s="2" t="s">
        <v>258</v>
      </c>
      <c r="F301" s="3" t="s">
        <v>86</v>
      </c>
      <c r="G301" s="2" t="s">
        <v>3683</v>
      </c>
      <c r="H301" s="2" t="s">
        <v>3684</v>
      </c>
      <c r="I301" s="2" t="s">
        <v>3685</v>
      </c>
      <c r="J301" s="2" t="s">
        <v>3686</v>
      </c>
      <c r="K301" s="2" t="s">
        <v>3687</v>
      </c>
      <c r="L301" s="2" t="s">
        <v>1602</v>
      </c>
      <c r="M301" s="2"/>
      <c r="N301" s="2"/>
      <c r="O301" s="3"/>
      <c r="P301" s="2" t="s">
        <v>79</v>
      </c>
      <c r="Q301" s="2" t="s">
        <v>3688</v>
      </c>
      <c r="R301" s="2" t="s">
        <v>158</v>
      </c>
      <c r="S301" s="2" t="s">
        <v>1067</v>
      </c>
      <c r="T301" s="3" t="s">
        <v>82</v>
      </c>
      <c r="U301" s="2"/>
      <c r="V301" s="4" t="n">
        <v>10</v>
      </c>
      <c r="W301" s="2" t="s">
        <v>2221</v>
      </c>
      <c r="X301" s="2" t="s">
        <v>3689</v>
      </c>
      <c r="Y301" s="2" t="s">
        <v>3690</v>
      </c>
      <c r="Z301" s="2" t="s">
        <v>3691</v>
      </c>
      <c r="AA301" s="2" t="s">
        <v>2348</v>
      </c>
      <c r="AB301" s="2" t="s">
        <v>3692</v>
      </c>
      <c r="AC301" s="2" t="s">
        <v>3693</v>
      </c>
      <c r="AD301" s="2" t="s">
        <v>3694</v>
      </c>
      <c r="AE301" s="3" t="s">
        <v>53</v>
      </c>
    </row>
    <row r="302" customFormat="false" ht="15" hidden="false" customHeight="false" outlineLevel="0" collapsed="false">
      <c r="A302" s="2" t="s">
        <v>3695</v>
      </c>
      <c r="B302" s="2" t="s">
        <v>32</v>
      </c>
      <c r="C302" s="2" t="s">
        <v>3696</v>
      </c>
      <c r="D302" s="2" t="s">
        <v>2212</v>
      </c>
      <c r="E302" s="2" t="s">
        <v>258</v>
      </c>
      <c r="F302" s="3" t="s">
        <v>86</v>
      </c>
      <c r="G302" s="2" t="s">
        <v>3697</v>
      </c>
      <c r="H302" s="2" t="s">
        <v>3698</v>
      </c>
      <c r="I302" s="2" t="s">
        <v>3699</v>
      </c>
      <c r="J302" s="2" t="s">
        <v>3700</v>
      </c>
      <c r="K302" s="2" t="s">
        <v>3701</v>
      </c>
      <c r="L302" s="2" t="s">
        <v>2596</v>
      </c>
      <c r="M302" s="2"/>
      <c r="N302" s="2"/>
      <c r="O302" s="3"/>
      <c r="P302" s="2" t="s">
        <v>79</v>
      </c>
      <c r="Q302" s="2" t="s">
        <v>3702</v>
      </c>
      <c r="R302" s="2" t="s">
        <v>285</v>
      </c>
      <c r="S302" s="2" t="s">
        <v>1067</v>
      </c>
      <c r="T302" s="3" t="s">
        <v>82</v>
      </c>
      <c r="U302" s="2"/>
      <c r="V302" s="4" t="n">
        <v>9.8</v>
      </c>
      <c r="W302" s="2" t="s">
        <v>2393</v>
      </c>
      <c r="X302" s="2" t="s">
        <v>3703</v>
      </c>
      <c r="Y302" s="2" t="s">
        <v>3704</v>
      </c>
      <c r="Z302" s="2" t="s">
        <v>2224</v>
      </c>
      <c r="AA302" s="2" t="s">
        <v>2497</v>
      </c>
      <c r="AB302" s="2" t="s">
        <v>3705</v>
      </c>
      <c r="AC302" s="2" t="s">
        <v>3706</v>
      </c>
      <c r="AD302" s="2" t="s">
        <v>3707</v>
      </c>
      <c r="AE302" s="3" t="s">
        <v>53</v>
      </c>
    </row>
    <row r="303" customFormat="false" ht="15" hidden="false" customHeight="false" outlineLevel="0" collapsed="false">
      <c r="A303" s="2" t="s">
        <v>3708</v>
      </c>
      <c r="B303" s="2" t="s">
        <v>32</v>
      </c>
      <c r="C303" s="2" t="s">
        <v>3709</v>
      </c>
      <c r="D303" s="2" t="s">
        <v>2212</v>
      </c>
      <c r="E303" s="2" t="s">
        <v>258</v>
      </c>
      <c r="F303" s="3" t="s">
        <v>86</v>
      </c>
      <c r="G303" s="2" t="s">
        <v>3710</v>
      </c>
      <c r="H303" s="2" t="s">
        <v>3711</v>
      </c>
      <c r="I303" s="2" t="s">
        <v>3712</v>
      </c>
      <c r="J303" s="2" t="s">
        <v>3713</v>
      </c>
      <c r="K303" s="2" t="s">
        <v>3714</v>
      </c>
      <c r="L303" s="2" t="s">
        <v>2759</v>
      </c>
      <c r="M303" s="2"/>
      <c r="N303" s="2"/>
      <c r="O303" s="3"/>
      <c r="P303" s="2" t="s">
        <v>79</v>
      </c>
      <c r="Q303" s="2" t="s">
        <v>410</v>
      </c>
      <c r="R303" s="2" t="s">
        <v>285</v>
      </c>
      <c r="S303" s="2"/>
      <c r="T303" s="3" t="s">
        <v>82</v>
      </c>
      <c r="U303" s="2"/>
      <c r="V303" s="4" t="n">
        <v>10</v>
      </c>
      <c r="W303" s="2" t="s">
        <v>3715</v>
      </c>
      <c r="X303" s="2" t="s">
        <v>3716</v>
      </c>
      <c r="Y303" s="2" t="s">
        <v>3717</v>
      </c>
      <c r="Z303" s="2" t="s">
        <v>3718</v>
      </c>
      <c r="AA303" s="2" t="s">
        <v>3719</v>
      </c>
      <c r="AB303" s="2" t="s">
        <v>3695</v>
      </c>
      <c r="AC303" s="2" t="s">
        <v>2261</v>
      </c>
      <c r="AD303" s="2" t="s">
        <v>3720</v>
      </c>
      <c r="AE303" s="3" t="s">
        <v>53</v>
      </c>
    </row>
    <row r="304" customFormat="false" ht="15" hidden="false" customHeight="false" outlineLevel="0" collapsed="false">
      <c r="A304" s="2" t="s">
        <v>3721</v>
      </c>
      <c r="B304" s="2" t="s">
        <v>32</v>
      </c>
      <c r="C304" s="2" t="s">
        <v>3722</v>
      </c>
      <c r="D304" s="2" t="s">
        <v>2212</v>
      </c>
      <c r="E304" s="2" t="s">
        <v>258</v>
      </c>
      <c r="F304" s="3" t="s">
        <v>86</v>
      </c>
      <c r="G304" s="2" t="s">
        <v>3723</v>
      </c>
      <c r="H304" s="2" t="s">
        <v>3724</v>
      </c>
      <c r="I304" s="2" t="s">
        <v>3725</v>
      </c>
      <c r="J304" s="2" t="s">
        <v>3726</v>
      </c>
      <c r="K304" s="2" t="s">
        <v>3727</v>
      </c>
      <c r="L304" s="2" t="s">
        <v>348</v>
      </c>
      <c r="M304" s="2"/>
      <c r="N304" s="2"/>
      <c r="O304" s="3"/>
      <c r="P304" s="2" t="s">
        <v>3728</v>
      </c>
      <c r="Q304" s="2" t="s">
        <v>3729</v>
      </c>
      <c r="R304" s="2" t="s">
        <v>285</v>
      </c>
      <c r="S304" s="2"/>
      <c r="T304" s="3" t="s">
        <v>82</v>
      </c>
      <c r="U304" s="2"/>
      <c r="V304" s="4" t="n">
        <v>9.8</v>
      </c>
      <c r="W304" s="2" t="s">
        <v>2393</v>
      </c>
      <c r="X304" s="2" t="s">
        <v>3730</v>
      </c>
      <c r="Y304" s="2" t="s">
        <v>3731</v>
      </c>
      <c r="Z304" s="2" t="s">
        <v>3732</v>
      </c>
      <c r="AA304" s="2" t="s">
        <v>3733</v>
      </c>
      <c r="AB304" s="2" t="s">
        <v>1158</v>
      </c>
      <c r="AC304" s="2" t="s">
        <v>3734</v>
      </c>
      <c r="AD304" s="2" t="s">
        <v>3735</v>
      </c>
      <c r="AE304" s="3" t="s">
        <v>53</v>
      </c>
    </row>
    <row r="305" customFormat="false" ht="15" hidden="false" customHeight="false" outlineLevel="0" collapsed="false">
      <c r="A305" s="2" t="s">
        <v>3736</v>
      </c>
      <c r="B305" s="2" t="s">
        <v>32</v>
      </c>
      <c r="C305" s="2" t="s">
        <v>3737</v>
      </c>
      <c r="D305" s="2" t="s">
        <v>2212</v>
      </c>
      <c r="E305" s="2" t="s">
        <v>258</v>
      </c>
      <c r="F305" s="3" t="s">
        <v>86</v>
      </c>
      <c r="G305" s="2" t="s">
        <v>3738</v>
      </c>
      <c r="H305" s="2" t="s">
        <v>3739</v>
      </c>
      <c r="I305" s="2" t="s">
        <v>3740</v>
      </c>
      <c r="J305" s="2" t="s">
        <v>3741</v>
      </c>
      <c r="K305" s="2" t="s">
        <v>3742</v>
      </c>
      <c r="L305" s="2" t="s">
        <v>2759</v>
      </c>
      <c r="M305" s="2"/>
      <c r="N305" s="2"/>
      <c r="O305" s="3"/>
      <c r="P305" s="2" t="s">
        <v>170</v>
      </c>
      <c r="Q305" s="2" t="s">
        <v>3743</v>
      </c>
      <c r="R305" s="2" t="s">
        <v>172</v>
      </c>
      <c r="S305" s="2" t="s">
        <v>1067</v>
      </c>
      <c r="T305" s="3" t="s">
        <v>82</v>
      </c>
      <c r="U305" s="2"/>
      <c r="V305" s="4" t="n">
        <v>10</v>
      </c>
      <c r="W305" s="2" t="s">
        <v>2221</v>
      </c>
      <c r="X305" s="2" t="s">
        <v>3744</v>
      </c>
      <c r="Y305" s="2" t="s">
        <v>3745</v>
      </c>
      <c r="Z305" s="2" t="s">
        <v>3746</v>
      </c>
      <c r="AA305" s="2" t="s">
        <v>2871</v>
      </c>
      <c r="AB305" s="2" t="s">
        <v>160</v>
      </c>
      <c r="AC305" s="2" t="s">
        <v>3747</v>
      </c>
      <c r="AD305" s="2" t="s">
        <v>3748</v>
      </c>
      <c r="AE305" s="3" t="s">
        <v>53</v>
      </c>
    </row>
    <row r="306" customFormat="false" ht="15" hidden="false" customHeight="false" outlineLevel="0" collapsed="false">
      <c r="A306" s="2" t="s">
        <v>3749</v>
      </c>
      <c r="B306" s="2" t="s">
        <v>32</v>
      </c>
      <c r="C306" s="2" t="s">
        <v>3750</v>
      </c>
      <c r="D306" s="2" t="s">
        <v>2212</v>
      </c>
      <c r="E306" s="2" t="s">
        <v>70</v>
      </c>
      <c r="F306" s="3" t="s">
        <v>86</v>
      </c>
      <c r="G306" s="2" t="s">
        <v>3751</v>
      </c>
      <c r="H306" s="2" t="s">
        <v>3752</v>
      </c>
      <c r="I306" s="2" t="s">
        <v>3753</v>
      </c>
      <c r="J306" s="2" t="s">
        <v>3754</v>
      </c>
      <c r="K306" s="2" t="s">
        <v>3755</v>
      </c>
      <c r="L306" s="2" t="s">
        <v>1602</v>
      </c>
      <c r="M306" s="2"/>
      <c r="N306" s="2"/>
      <c r="O306" s="3"/>
      <c r="P306" s="2" t="s">
        <v>3756</v>
      </c>
      <c r="Q306" s="2" t="s">
        <v>157</v>
      </c>
      <c r="R306" s="2" t="s">
        <v>158</v>
      </c>
      <c r="S306" s="2" t="s">
        <v>1067</v>
      </c>
      <c r="T306" s="3" t="s">
        <v>82</v>
      </c>
      <c r="U306" s="2"/>
      <c r="V306" s="4" t="n">
        <v>9.9</v>
      </c>
      <c r="W306" s="2" t="s">
        <v>2654</v>
      </c>
      <c r="X306" s="2" t="s">
        <v>3757</v>
      </c>
      <c r="Y306" s="2" t="s">
        <v>3758</v>
      </c>
      <c r="Z306" s="2" t="s">
        <v>3759</v>
      </c>
      <c r="AA306" s="2" t="s">
        <v>2887</v>
      </c>
      <c r="AB306" s="2" t="s">
        <v>3760</v>
      </c>
      <c r="AC306" s="2" t="s">
        <v>3761</v>
      </c>
      <c r="AD306" s="2" t="s">
        <v>3762</v>
      </c>
      <c r="AE306" s="3" t="s">
        <v>53</v>
      </c>
    </row>
    <row r="307" customFormat="false" ht="15" hidden="false" customHeight="false" outlineLevel="0" collapsed="false">
      <c r="A307" s="2" t="s">
        <v>3763</v>
      </c>
      <c r="B307" s="2" t="s">
        <v>32</v>
      </c>
      <c r="C307" s="2" t="s">
        <v>3764</v>
      </c>
      <c r="D307" s="2" t="s">
        <v>2212</v>
      </c>
      <c r="E307" s="2" t="s">
        <v>258</v>
      </c>
      <c r="F307" s="3" t="s">
        <v>86</v>
      </c>
      <c r="G307" s="2" t="s">
        <v>3765</v>
      </c>
      <c r="H307" s="2" t="s">
        <v>3766</v>
      </c>
      <c r="I307" s="2" t="s">
        <v>3767</v>
      </c>
      <c r="J307" s="2" t="s">
        <v>3768</v>
      </c>
      <c r="K307" s="2" t="s">
        <v>3769</v>
      </c>
      <c r="L307" s="2" t="s">
        <v>3770</v>
      </c>
      <c r="M307" s="2"/>
      <c r="N307" s="2"/>
      <c r="O307" s="3"/>
      <c r="P307" s="2" t="s">
        <v>79</v>
      </c>
      <c r="Q307" s="2" t="s">
        <v>3771</v>
      </c>
      <c r="R307" s="2" t="s">
        <v>285</v>
      </c>
      <c r="S307" s="2"/>
      <c r="T307" s="3" t="s">
        <v>82</v>
      </c>
      <c r="U307" s="2"/>
      <c r="V307" s="4" t="n">
        <v>10</v>
      </c>
      <c r="W307" s="2" t="s">
        <v>2221</v>
      </c>
      <c r="X307" s="2" t="s">
        <v>3772</v>
      </c>
      <c r="Y307" s="2" t="s">
        <v>3773</v>
      </c>
      <c r="Z307" s="2" t="s">
        <v>3774</v>
      </c>
      <c r="AA307" s="2" t="s">
        <v>3775</v>
      </c>
      <c r="AB307" s="2" t="s">
        <v>271</v>
      </c>
      <c r="AC307" s="2" t="s">
        <v>3776</v>
      </c>
      <c r="AD307" s="2" t="s">
        <v>3777</v>
      </c>
      <c r="AE307" s="3" t="s">
        <v>53</v>
      </c>
    </row>
    <row r="308" customFormat="false" ht="15" hidden="false" customHeight="false" outlineLevel="0" collapsed="false">
      <c r="A308" s="2" t="s">
        <v>3778</v>
      </c>
      <c r="B308" s="2" t="s">
        <v>32</v>
      </c>
      <c r="C308" s="2" t="s">
        <v>3779</v>
      </c>
      <c r="D308" s="2" t="s">
        <v>2212</v>
      </c>
      <c r="E308" s="2" t="s">
        <v>258</v>
      </c>
      <c r="F308" s="3" t="s">
        <v>86</v>
      </c>
      <c r="G308" s="2" t="s">
        <v>3780</v>
      </c>
      <c r="H308" s="2" t="s">
        <v>3781</v>
      </c>
      <c r="I308" s="2" t="s">
        <v>3782</v>
      </c>
      <c r="J308" s="2" t="s">
        <v>3783</v>
      </c>
      <c r="K308" s="2" t="s">
        <v>3784</v>
      </c>
      <c r="L308" s="2" t="s">
        <v>2698</v>
      </c>
      <c r="M308" s="2"/>
      <c r="N308" s="2"/>
      <c r="O308" s="3"/>
      <c r="P308" s="2" t="s">
        <v>170</v>
      </c>
      <c r="Q308" s="2" t="s">
        <v>3785</v>
      </c>
      <c r="R308" s="2" t="s">
        <v>253</v>
      </c>
      <c r="S308" s="2"/>
      <c r="T308" s="3" t="s">
        <v>82</v>
      </c>
      <c r="U308" s="2"/>
      <c r="V308" s="4" t="n">
        <v>10</v>
      </c>
      <c r="W308" s="2" t="s">
        <v>2221</v>
      </c>
      <c r="X308" s="2" t="s">
        <v>3786</v>
      </c>
      <c r="Y308" s="2" t="s">
        <v>3787</v>
      </c>
      <c r="Z308" s="2" t="s">
        <v>3341</v>
      </c>
      <c r="AA308" s="2" t="s">
        <v>3788</v>
      </c>
      <c r="AB308" s="2" t="s">
        <v>244</v>
      </c>
      <c r="AC308" s="2" t="s">
        <v>3789</v>
      </c>
      <c r="AD308" s="2" t="s">
        <v>3790</v>
      </c>
      <c r="AE308" s="3" t="s">
        <v>53</v>
      </c>
    </row>
    <row r="309" customFormat="false" ht="15" hidden="false" customHeight="false" outlineLevel="0" collapsed="false">
      <c r="A309" s="2" t="s">
        <v>3791</v>
      </c>
      <c r="B309" s="2" t="s">
        <v>32</v>
      </c>
      <c r="C309" s="2" t="s">
        <v>3792</v>
      </c>
      <c r="D309" s="2" t="s">
        <v>2212</v>
      </c>
      <c r="E309" s="2" t="s">
        <v>258</v>
      </c>
      <c r="F309" s="3" t="s">
        <v>86</v>
      </c>
      <c r="G309" s="2" t="s">
        <v>3793</v>
      </c>
      <c r="H309" s="2" t="s">
        <v>3794</v>
      </c>
      <c r="I309" s="2" t="s">
        <v>3795</v>
      </c>
      <c r="J309" s="2" t="s">
        <v>3796</v>
      </c>
      <c r="K309" s="2" t="s">
        <v>3797</v>
      </c>
      <c r="L309" s="2" t="s">
        <v>1602</v>
      </c>
      <c r="M309" s="2"/>
      <c r="N309" s="2"/>
      <c r="O309" s="3"/>
      <c r="P309" s="2" t="s">
        <v>170</v>
      </c>
      <c r="Q309" s="2" t="s">
        <v>3798</v>
      </c>
      <c r="R309" s="2" t="s">
        <v>158</v>
      </c>
      <c r="S309" s="2" t="s">
        <v>1067</v>
      </c>
      <c r="T309" s="3" t="s">
        <v>82</v>
      </c>
      <c r="U309" s="2"/>
      <c r="V309" s="4" t="n">
        <v>9</v>
      </c>
      <c r="W309" s="2" t="s">
        <v>2957</v>
      </c>
      <c r="X309" s="2" t="s">
        <v>3799</v>
      </c>
      <c r="Y309" s="2" t="s">
        <v>3800</v>
      </c>
      <c r="Z309" s="2" t="s">
        <v>3801</v>
      </c>
      <c r="AA309" s="2" t="s">
        <v>3802</v>
      </c>
      <c r="AB309" s="2" t="s">
        <v>3803</v>
      </c>
      <c r="AC309" s="2" t="s">
        <v>2261</v>
      </c>
      <c r="AD309" s="2" t="s">
        <v>3804</v>
      </c>
      <c r="AE309" s="3" t="s">
        <v>53</v>
      </c>
    </row>
    <row r="310" customFormat="false" ht="15" hidden="false" customHeight="false" outlineLevel="0" collapsed="false">
      <c r="A310" s="2" t="s">
        <v>3805</v>
      </c>
      <c r="B310" s="2" t="s">
        <v>32</v>
      </c>
      <c r="C310" s="2" t="s">
        <v>3806</v>
      </c>
      <c r="D310" s="2" t="s">
        <v>2212</v>
      </c>
      <c r="E310" s="2" t="s">
        <v>258</v>
      </c>
      <c r="F310" s="3" t="s">
        <v>86</v>
      </c>
      <c r="G310" s="2" t="s">
        <v>3807</v>
      </c>
      <c r="H310" s="2" t="s">
        <v>3808</v>
      </c>
      <c r="I310" s="2" t="s">
        <v>3809</v>
      </c>
      <c r="J310" s="2" t="s">
        <v>3810</v>
      </c>
      <c r="K310" s="2" t="s">
        <v>3811</v>
      </c>
      <c r="L310" s="2" t="s">
        <v>2698</v>
      </c>
      <c r="M310" s="2"/>
      <c r="N310" s="2"/>
      <c r="O310" s="3"/>
      <c r="P310" s="2" t="s">
        <v>79</v>
      </c>
      <c r="Q310" s="2" t="s">
        <v>2998</v>
      </c>
      <c r="R310" s="2" t="s">
        <v>285</v>
      </c>
      <c r="S310" s="2" t="s">
        <v>1067</v>
      </c>
      <c r="T310" s="3" t="s">
        <v>82</v>
      </c>
      <c r="U310" s="2"/>
      <c r="V310" s="4" t="n">
        <v>10</v>
      </c>
      <c r="W310" s="2" t="s">
        <v>3812</v>
      </c>
      <c r="X310" s="2" t="s">
        <v>3813</v>
      </c>
      <c r="Y310" s="2" t="s">
        <v>3814</v>
      </c>
      <c r="Z310" s="2" t="s">
        <v>3815</v>
      </c>
      <c r="AA310" s="2" t="s">
        <v>2887</v>
      </c>
      <c r="AB310" s="2" t="s">
        <v>340</v>
      </c>
      <c r="AC310" s="2" t="s">
        <v>3816</v>
      </c>
      <c r="AD310" s="2" t="s">
        <v>3817</v>
      </c>
      <c r="AE310" s="3" t="s">
        <v>53</v>
      </c>
    </row>
    <row r="311" customFormat="false" ht="15" hidden="false" customHeight="false" outlineLevel="0" collapsed="false">
      <c r="A311" s="2" t="s">
        <v>3818</v>
      </c>
      <c r="B311" s="2" t="s">
        <v>32</v>
      </c>
      <c r="C311" s="2" t="s">
        <v>3819</v>
      </c>
      <c r="D311" s="2" t="s">
        <v>2212</v>
      </c>
      <c r="E311" s="2" t="s">
        <v>258</v>
      </c>
      <c r="F311" s="3" t="s">
        <v>86</v>
      </c>
      <c r="G311" s="2" t="s">
        <v>3820</v>
      </c>
      <c r="H311" s="2" t="s">
        <v>3821</v>
      </c>
      <c r="I311" s="2" t="s">
        <v>3822</v>
      </c>
      <c r="J311" s="2" t="s">
        <v>3823</v>
      </c>
      <c r="K311" s="2" t="s">
        <v>3824</v>
      </c>
      <c r="L311" s="2" t="s">
        <v>2596</v>
      </c>
      <c r="M311" s="2"/>
      <c r="N311" s="2"/>
      <c r="O311" s="3"/>
      <c r="P311" s="2" t="s">
        <v>3825</v>
      </c>
      <c r="Q311" s="2" t="s">
        <v>228</v>
      </c>
      <c r="R311" s="2" t="s">
        <v>229</v>
      </c>
      <c r="S311" s="2"/>
      <c r="T311" s="3" t="s">
        <v>50</v>
      </c>
      <c r="U311" s="2"/>
      <c r="V311" s="4" t="n">
        <v>10</v>
      </c>
      <c r="W311" s="2" t="s">
        <v>2221</v>
      </c>
      <c r="X311" s="2" t="s">
        <v>3826</v>
      </c>
      <c r="Y311" s="2" t="s">
        <v>3827</v>
      </c>
      <c r="Z311" s="2" t="s">
        <v>3828</v>
      </c>
      <c r="AA311" s="2" t="s">
        <v>3829</v>
      </c>
      <c r="AB311" s="2" t="s">
        <v>3830</v>
      </c>
      <c r="AC311" s="2" t="s">
        <v>2261</v>
      </c>
      <c r="AD311" s="2" t="s">
        <v>3831</v>
      </c>
      <c r="AE311" s="3" t="s">
        <v>53</v>
      </c>
    </row>
    <row r="312" customFormat="false" ht="15" hidden="false" customHeight="false" outlineLevel="0" collapsed="false">
      <c r="A312" s="2" t="s">
        <v>3832</v>
      </c>
      <c r="B312" s="2" t="s">
        <v>32</v>
      </c>
      <c r="C312" s="2" t="s">
        <v>3833</v>
      </c>
      <c r="D312" s="2" t="s">
        <v>2212</v>
      </c>
      <c r="E312" s="2" t="s">
        <v>258</v>
      </c>
      <c r="F312" s="3" t="s">
        <v>86</v>
      </c>
      <c r="G312" s="2" t="s">
        <v>3834</v>
      </c>
      <c r="H312" s="2" t="s">
        <v>3835</v>
      </c>
      <c r="I312" s="2" t="s">
        <v>3836</v>
      </c>
      <c r="J312" s="2" t="s">
        <v>3837</v>
      </c>
      <c r="K312" s="2" t="s">
        <v>3838</v>
      </c>
      <c r="L312" s="2" t="s">
        <v>2759</v>
      </c>
      <c r="M312" s="2"/>
      <c r="N312" s="2"/>
      <c r="O312" s="3"/>
      <c r="P312" s="2" t="s">
        <v>2205</v>
      </c>
      <c r="Q312" s="2" t="s">
        <v>3839</v>
      </c>
      <c r="R312" s="2" t="s">
        <v>1605</v>
      </c>
      <c r="S312" s="2" t="s">
        <v>1067</v>
      </c>
      <c r="T312" s="3" t="s">
        <v>82</v>
      </c>
      <c r="U312" s="2"/>
      <c r="V312" s="4" t="n">
        <v>9.8</v>
      </c>
      <c r="W312" s="2" t="s">
        <v>2393</v>
      </c>
      <c r="X312" s="2" t="s">
        <v>3840</v>
      </c>
      <c r="Y312" s="2" t="s">
        <v>3841</v>
      </c>
      <c r="Z312" s="2" t="s">
        <v>3842</v>
      </c>
      <c r="AA312" s="2" t="s">
        <v>2764</v>
      </c>
      <c r="AB312" s="2" t="s">
        <v>3843</v>
      </c>
      <c r="AC312" s="2" t="s">
        <v>3844</v>
      </c>
      <c r="AD312" s="2" t="s">
        <v>3845</v>
      </c>
      <c r="AE312" s="3" t="s">
        <v>53</v>
      </c>
    </row>
    <row r="313" customFormat="false" ht="15" hidden="false" customHeight="false" outlineLevel="0" collapsed="false">
      <c r="A313" s="2" t="s">
        <v>3846</v>
      </c>
      <c r="B313" s="2" t="s">
        <v>32</v>
      </c>
      <c r="C313" s="2" t="s">
        <v>3847</v>
      </c>
      <c r="D313" s="2" t="s">
        <v>2212</v>
      </c>
      <c r="E313" s="2" t="s">
        <v>189</v>
      </c>
      <c r="F313" s="3" t="s">
        <v>86</v>
      </c>
      <c r="G313" s="2" t="s">
        <v>3848</v>
      </c>
      <c r="H313" s="2" t="s">
        <v>3849</v>
      </c>
      <c r="I313" s="2" t="s">
        <v>3850</v>
      </c>
      <c r="J313" s="2" t="s">
        <v>3851</v>
      </c>
      <c r="K313" s="2" t="s">
        <v>3852</v>
      </c>
      <c r="L313" s="2" t="s">
        <v>2596</v>
      </c>
      <c r="M313" s="2"/>
      <c r="N313" s="2"/>
      <c r="O313" s="3"/>
      <c r="P313" s="2" t="s">
        <v>3853</v>
      </c>
      <c r="Q313" s="2" t="s">
        <v>611</v>
      </c>
      <c r="R313" s="2" t="s">
        <v>201</v>
      </c>
      <c r="S313" s="2" t="s">
        <v>1067</v>
      </c>
      <c r="T313" s="3" t="s">
        <v>50</v>
      </c>
      <c r="U313" s="2"/>
      <c r="V313" s="4" t="n">
        <v>10</v>
      </c>
      <c r="W313" s="2" t="s">
        <v>3715</v>
      </c>
      <c r="X313" s="2" t="s">
        <v>3854</v>
      </c>
      <c r="Y313" s="2" t="s">
        <v>3855</v>
      </c>
      <c r="Z313" s="2" t="s">
        <v>3856</v>
      </c>
      <c r="AA313" s="2" t="s">
        <v>3651</v>
      </c>
      <c r="AB313" s="2" t="s">
        <v>3857</v>
      </c>
      <c r="AC313" s="2" t="s">
        <v>3858</v>
      </c>
      <c r="AD313" s="2" t="s">
        <v>3859</v>
      </c>
      <c r="AE313" s="3" t="s">
        <v>53</v>
      </c>
    </row>
    <row r="314" customFormat="false" ht="15" hidden="false" customHeight="false" outlineLevel="0" collapsed="false">
      <c r="A314" s="2" t="s">
        <v>3860</v>
      </c>
      <c r="B314" s="2" t="s">
        <v>32</v>
      </c>
      <c r="C314" s="2" t="s">
        <v>3861</v>
      </c>
      <c r="D314" s="2" t="s">
        <v>2212</v>
      </c>
      <c r="E314" s="2" t="s">
        <v>189</v>
      </c>
      <c r="F314" s="3" t="s">
        <v>86</v>
      </c>
      <c r="G314" s="2" t="s">
        <v>3862</v>
      </c>
      <c r="H314" s="2" t="s">
        <v>3863</v>
      </c>
      <c r="I314" s="2" t="s">
        <v>3864</v>
      </c>
      <c r="J314" s="2" t="s">
        <v>3865</v>
      </c>
      <c r="K314" s="2" t="s">
        <v>3866</v>
      </c>
      <c r="L314" s="2" t="s">
        <v>2759</v>
      </c>
      <c r="M314" s="2"/>
      <c r="N314" s="2"/>
      <c r="O314" s="3"/>
      <c r="P314" s="2" t="s">
        <v>2205</v>
      </c>
      <c r="Q314" s="2" t="s">
        <v>2538</v>
      </c>
      <c r="R314" s="2" t="s">
        <v>2539</v>
      </c>
      <c r="S314" s="2"/>
      <c r="T314" s="3" t="s">
        <v>82</v>
      </c>
      <c r="U314" s="2"/>
      <c r="V314" s="4" t="n">
        <v>10</v>
      </c>
      <c r="W314" s="2" t="s">
        <v>3715</v>
      </c>
      <c r="X314" s="2" t="s">
        <v>3867</v>
      </c>
      <c r="Y314" s="2" t="s">
        <v>3868</v>
      </c>
      <c r="Z314" s="2" t="s">
        <v>3869</v>
      </c>
      <c r="AA314" s="2" t="s">
        <v>3870</v>
      </c>
      <c r="AB314" s="2" t="s">
        <v>3871</v>
      </c>
      <c r="AC314" s="2" t="s">
        <v>2261</v>
      </c>
      <c r="AD314" s="2" t="s">
        <v>3872</v>
      </c>
      <c r="AE314" s="3" t="s">
        <v>53</v>
      </c>
    </row>
    <row r="315" customFormat="false" ht="15" hidden="false" customHeight="false" outlineLevel="0" collapsed="false">
      <c r="A315" s="2" t="s">
        <v>3873</v>
      </c>
      <c r="B315" s="2" t="s">
        <v>32</v>
      </c>
      <c r="C315" s="2" t="s">
        <v>3874</v>
      </c>
      <c r="D315" s="2" t="s">
        <v>2212</v>
      </c>
      <c r="E315" s="2" t="s">
        <v>258</v>
      </c>
      <c r="F315" s="3" t="s">
        <v>86</v>
      </c>
      <c r="G315" s="2" t="s">
        <v>3875</v>
      </c>
      <c r="H315" s="2" t="s">
        <v>3876</v>
      </c>
      <c r="I315" s="2" t="s">
        <v>3877</v>
      </c>
      <c r="J315" s="2" t="s">
        <v>3878</v>
      </c>
      <c r="K315" s="2" t="s">
        <v>3879</v>
      </c>
      <c r="L315" s="2" t="s">
        <v>1602</v>
      </c>
      <c r="M315" s="2"/>
      <c r="N315" s="2"/>
      <c r="O315" s="3"/>
      <c r="P315" s="2" t="s">
        <v>3880</v>
      </c>
      <c r="Q315" s="2" t="s">
        <v>157</v>
      </c>
      <c r="R315" s="2" t="s">
        <v>158</v>
      </c>
      <c r="S315" s="2"/>
      <c r="T315" s="3" t="s">
        <v>82</v>
      </c>
      <c r="U315" s="2"/>
      <c r="V315" s="4" t="n">
        <v>9.8</v>
      </c>
      <c r="W315" s="2" t="s">
        <v>2393</v>
      </c>
      <c r="X315" s="2" t="s">
        <v>3881</v>
      </c>
      <c r="Y315" s="2" t="s">
        <v>3882</v>
      </c>
      <c r="Z315" s="2" t="s">
        <v>3883</v>
      </c>
      <c r="AA315" s="2" t="s">
        <v>3884</v>
      </c>
      <c r="AB315" s="2" t="s">
        <v>3885</v>
      </c>
      <c r="AC315" s="2" t="s">
        <v>3886</v>
      </c>
      <c r="AD315" s="2" t="s">
        <v>3887</v>
      </c>
      <c r="AE315" s="3" t="s">
        <v>53</v>
      </c>
    </row>
    <row r="316" customFormat="false" ht="15" hidden="false" customHeight="false" outlineLevel="0" collapsed="false">
      <c r="A316" s="2" t="s">
        <v>3888</v>
      </c>
      <c r="B316" s="2" t="s">
        <v>32</v>
      </c>
      <c r="C316" s="2" t="s">
        <v>3889</v>
      </c>
      <c r="D316" s="2" t="s">
        <v>2212</v>
      </c>
      <c r="E316" s="2" t="s">
        <v>258</v>
      </c>
      <c r="F316" s="3" t="s">
        <v>86</v>
      </c>
      <c r="G316" s="2" t="s">
        <v>3890</v>
      </c>
      <c r="H316" s="2" t="s">
        <v>3891</v>
      </c>
      <c r="I316" s="2" t="s">
        <v>3892</v>
      </c>
      <c r="J316" s="2" t="s">
        <v>3893</v>
      </c>
      <c r="K316" s="2" t="s">
        <v>3894</v>
      </c>
      <c r="L316" s="2" t="s">
        <v>2596</v>
      </c>
      <c r="M316" s="2"/>
      <c r="N316" s="2"/>
      <c r="O316" s="3"/>
      <c r="P316" s="2" t="s">
        <v>3895</v>
      </c>
      <c r="Q316" s="2" t="s">
        <v>732</v>
      </c>
      <c r="R316" s="2" t="s">
        <v>1605</v>
      </c>
      <c r="S316" s="2"/>
      <c r="T316" s="3" t="s">
        <v>82</v>
      </c>
      <c r="U316" s="2"/>
      <c r="V316" s="4" t="n">
        <v>9.8</v>
      </c>
      <c r="W316" s="2" t="s">
        <v>2393</v>
      </c>
      <c r="X316" s="2" t="s">
        <v>3896</v>
      </c>
      <c r="Y316" s="2" t="s">
        <v>3897</v>
      </c>
      <c r="Z316" s="2" t="s">
        <v>3200</v>
      </c>
      <c r="AA316" s="2" t="s">
        <v>3201</v>
      </c>
      <c r="AB316" s="2" t="s">
        <v>3898</v>
      </c>
      <c r="AC316" s="2" t="s">
        <v>3899</v>
      </c>
      <c r="AD316" s="2" t="s">
        <v>3900</v>
      </c>
      <c r="AE316" s="3" t="s">
        <v>53</v>
      </c>
    </row>
    <row r="317" customFormat="false" ht="15" hidden="false" customHeight="false" outlineLevel="0" collapsed="false">
      <c r="A317" s="2" t="s">
        <v>3901</v>
      </c>
      <c r="B317" s="2" t="s">
        <v>32</v>
      </c>
      <c r="C317" s="2" t="s">
        <v>3902</v>
      </c>
      <c r="D317" s="2" t="s">
        <v>2212</v>
      </c>
      <c r="E317" s="2" t="s">
        <v>258</v>
      </c>
      <c r="F317" s="3" t="s">
        <v>86</v>
      </c>
      <c r="G317" s="2" t="s">
        <v>3903</v>
      </c>
      <c r="H317" s="2" t="s">
        <v>3904</v>
      </c>
      <c r="I317" s="2" t="s">
        <v>3905</v>
      </c>
      <c r="J317" s="2" t="s">
        <v>3906</v>
      </c>
      <c r="K317" s="2" t="s">
        <v>3907</v>
      </c>
      <c r="L317" s="2" t="s">
        <v>2698</v>
      </c>
      <c r="M317" s="2"/>
      <c r="N317" s="2"/>
      <c r="O317" s="3"/>
      <c r="P317" s="2" t="s">
        <v>79</v>
      </c>
      <c r="Q317" s="2" t="s">
        <v>80</v>
      </c>
      <c r="R317" s="2" t="s">
        <v>81</v>
      </c>
      <c r="S317" s="2"/>
      <c r="T317" s="3" t="s">
        <v>82</v>
      </c>
      <c r="U317" s="2"/>
      <c r="V317" s="4" t="n">
        <v>10</v>
      </c>
      <c r="W317" s="2" t="s">
        <v>2221</v>
      </c>
      <c r="X317" s="2" t="s">
        <v>3908</v>
      </c>
      <c r="Y317" s="2" t="s">
        <v>3909</v>
      </c>
      <c r="Z317" s="2" t="s">
        <v>3910</v>
      </c>
      <c r="AA317" s="2" t="s">
        <v>3911</v>
      </c>
      <c r="AB317" s="2" t="s">
        <v>3912</v>
      </c>
      <c r="AC317" s="2" t="s">
        <v>2261</v>
      </c>
      <c r="AD317" s="2" t="s">
        <v>3913</v>
      </c>
      <c r="AE317" s="3" t="s">
        <v>53</v>
      </c>
    </row>
    <row r="318" customFormat="false" ht="15" hidden="false" customHeight="false" outlineLevel="0" collapsed="false">
      <c r="A318" s="2" t="s">
        <v>3914</v>
      </c>
      <c r="B318" s="2" t="s">
        <v>2046</v>
      </c>
      <c r="C318" s="2" t="s">
        <v>3915</v>
      </c>
      <c r="D318" s="2" t="s">
        <v>2212</v>
      </c>
      <c r="E318" s="2" t="s">
        <v>35</v>
      </c>
      <c r="F318" s="3" t="s">
        <v>36</v>
      </c>
      <c r="G318" s="2" t="s">
        <v>3916</v>
      </c>
      <c r="H318" s="2" t="s">
        <v>3917</v>
      </c>
      <c r="I318" s="2" t="s">
        <v>3918</v>
      </c>
      <c r="J318" s="2" t="s">
        <v>3919</v>
      </c>
      <c r="K318" s="2" t="s">
        <v>3920</v>
      </c>
      <c r="L318" s="2"/>
      <c r="M318" s="2"/>
      <c r="N318" s="2"/>
      <c r="O318" s="3"/>
      <c r="P318" s="2" t="s">
        <v>3921</v>
      </c>
      <c r="Q318" s="2" t="s">
        <v>1489</v>
      </c>
      <c r="R318" s="2" t="s">
        <v>2055</v>
      </c>
      <c r="S318" s="2" t="s">
        <v>2056</v>
      </c>
      <c r="T318" s="3" t="s">
        <v>675</v>
      </c>
      <c r="U318" s="2"/>
      <c r="V318" s="4" t="n">
        <v>7.8</v>
      </c>
      <c r="W318" s="2" t="s">
        <v>2271</v>
      </c>
      <c r="X318" s="2" t="s">
        <v>3922</v>
      </c>
      <c r="Y318" s="2" t="s">
        <v>3923</v>
      </c>
      <c r="Z318" s="2" t="s">
        <v>2412</v>
      </c>
      <c r="AA318" s="2" t="s">
        <v>2348</v>
      </c>
      <c r="AB318" s="2" t="s">
        <v>3924</v>
      </c>
      <c r="AC318" s="2" t="s">
        <v>3925</v>
      </c>
      <c r="AD318" s="2" t="s">
        <v>3926</v>
      </c>
      <c r="AE318" s="3" t="s">
        <v>53</v>
      </c>
    </row>
    <row r="319" customFormat="false" ht="15" hidden="false" customHeight="false" outlineLevel="0" collapsed="false">
      <c r="A319" s="2" t="s">
        <v>3927</v>
      </c>
      <c r="B319" s="2" t="s">
        <v>2046</v>
      </c>
      <c r="C319" s="2" t="s">
        <v>3928</v>
      </c>
      <c r="D319" s="2" t="s">
        <v>2212</v>
      </c>
      <c r="E319" s="2" t="s">
        <v>35</v>
      </c>
      <c r="F319" s="3" t="s">
        <v>36</v>
      </c>
      <c r="G319" s="2" t="s">
        <v>3929</v>
      </c>
      <c r="H319" s="2" t="s">
        <v>3930</v>
      </c>
      <c r="I319" s="2" t="s">
        <v>3931</v>
      </c>
      <c r="J319" s="2" t="s">
        <v>3932</v>
      </c>
      <c r="K319" s="2" t="s">
        <v>3933</v>
      </c>
      <c r="L319" s="2"/>
      <c r="M319" s="2"/>
      <c r="N319" s="2"/>
      <c r="O319" s="3"/>
      <c r="P319" s="2" t="s">
        <v>2126</v>
      </c>
      <c r="Q319" s="2" t="s">
        <v>2425</v>
      </c>
      <c r="R319" s="2" t="s">
        <v>2055</v>
      </c>
      <c r="S319" s="2" t="s">
        <v>2056</v>
      </c>
      <c r="T319" s="3" t="s">
        <v>675</v>
      </c>
      <c r="U319" s="2"/>
      <c r="V319" s="4" t="n">
        <v>7.8</v>
      </c>
      <c r="W319" s="2" t="s">
        <v>2271</v>
      </c>
      <c r="X319" s="2" t="s">
        <v>3934</v>
      </c>
      <c r="Y319" s="2" t="s">
        <v>3935</v>
      </c>
      <c r="Z319" s="2" t="s">
        <v>3936</v>
      </c>
      <c r="AA319" s="2" t="s">
        <v>3937</v>
      </c>
      <c r="AB319" s="2" t="s">
        <v>2119</v>
      </c>
      <c r="AC319" s="2" t="s">
        <v>3938</v>
      </c>
      <c r="AD319" s="2" t="s">
        <v>3939</v>
      </c>
      <c r="AE319" s="3" t="s">
        <v>53</v>
      </c>
    </row>
    <row r="320" customFormat="false" ht="15" hidden="false" customHeight="false" outlineLevel="0" collapsed="false">
      <c r="A320" s="2" t="s">
        <v>3940</v>
      </c>
      <c r="B320" s="2" t="s">
        <v>2046</v>
      </c>
      <c r="C320" s="2" t="s">
        <v>3941</v>
      </c>
      <c r="D320" s="2" t="s">
        <v>2212</v>
      </c>
      <c r="E320" s="2" t="s">
        <v>35</v>
      </c>
      <c r="F320" s="3" t="s">
        <v>36</v>
      </c>
      <c r="G320" s="2" t="s">
        <v>3942</v>
      </c>
      <c r="H320" s="2" t="s">
        <v>3943</v>
      </c>
      <c r="I320" s="2" t="s">
        <v>3944</v>
      </c>
      <c r="J320" s="2" t="s">
        <v>3945</v>
      </c>
      <c r="K320" s="2" t="s">
        <v>3946</v>
      </c>
      <c r="L320" s="2"/>
      <c r="M320" s="2"/>
      <c r="N320" s="2"/>
      <c r="O320" s="3"/>
      <c r="P320" s="2" t="s">
        <v>2126</v>
      </c>
      <c r="Q320" s="2" t="s">
        <v>3947</v>
      </c>
      <c r="R320" s="2" t="s">
        <v>2055</v>
      </c>
      <c r="S320" s="2" t="s">
        <v>2056</v>
      </c>
      <c r="T320" s="3" t="s">
        <v>675</v>
      </c>
      <c r="U320" s="2"/>
      <c r="V320" s="4" t="n">
        <v>7.8</v>
      </c>
      <c r="W320" s="2" t="s">
        <v>2271</v>
      </c>
      <c r="X320" s="2" t="s">
        <v>3948</v>
      </c>
      <c r="Y320" s="2" t="s">
        <v>3949</v>
      </c>
      <c r="Z320" s="2" t="s">
        <v>3341</v>
      </c>
      <c r="AA320" s="2" t="s">
        <v>3342</v>
      </c>
      <c r="AB320" s="2" t="s">
        <v>3950</v>
      </c>
      <c r="AC320" s="2" t="s">
        <v>2261</v>
      </c>
      <c r="AD320" s="2" t="s">
        <v>3951</v>
      </c>
      <c r="AE320" s="3" t="s">
        <v>53</v>
      </c>
    </row>
    <row r="321" customFormat="false" ht="15" hidden="false" customHeight="false" outlineLevel="0" collapsed="false">
      <c r="A321" s="2" t="s">
        <v>3952</v>
      </c>
      <c r="B321" s="2" t="s">
        <v>2046</v>
      </c>
      <c r="C321" s="2" t="s">
        <v>3953</v>
      </c>
      <c r="D321" s="2" t="s">
        <v>2212</v>
      </c>
      <c r="E321" s="2" t="s">
        <v>35</v>
      </c>
      <c r="F321" s="3" t="s">
        <v>36</v>
      </c>
      <c r="G321" s="2" t="s">
        <v>3954</v>
      </c>
      <c r="H321" s="2" t="s">
        <v>3955</v>
      </c>
      <c r="I321" s="2" t="s">
        <v>3956</v>
      </c>
      <c r="J321" s="2" t="s">
        <v>3957</v>
      </c>
      <c r="K321" s="2" t="s">
        <v>3958</v>
      </c>
      <c r="L321" s="2"/>
      <c r="M321" s="2"/>
      <c r="N321" s="2"/>
      <c r="O321" s="3"/>
      <c r="P321" s="2" t="s">
        <v>3959</v>
      </c>
      <c r="Q321" s="2" t="s">
        <v>3054</v>
      </c>
      <c r="R321" s="2" t="s">
        <v>2079</v>
      </c>
      <c r="S321" s="2" t="s">
        <v>2080</v>
      </c>
      <c r="T321" s="3" t="s">
        <v>675</v>
      </c>
      <c r="U321" s="2"/>
      <c r="V321" s="4" t="n">
        <v>7.8</v>
      </c>
      <c r="W321" s="2" t="s">
        <v>2271</v>
      </c>
      <c r="X321" s="2" t="s">
        <v>3960</v>
      </c>
      <c r="Y321" s="2" t="s">
        <v>3961</v>
      </c>
      <c r="Z321" s="2" t="s">
        <v>3962</v>
      </c>
      <c r="AA321" s="2" t="s">
        <v>2764</v>
      </c>
      <c r="AB321" s="2" t="s">
        <v>2070</v>
      </c>
      <c r="AC321" s="2" t="s">
        <v>3963</v>
      </c>
      <c r="AD321" s="2" t="s">
        <v>3964</v>
      </c>
      <c r="AE321" s="3" t="s">
        <v>53</v>
      </c>
    </row>
    <row r="322" customFormat="false" ht="15" hidden="false" customHeight="false" outlineLevel="0" collapsed="false">
      <c r="A322" s="2" t="s">
        <v>3965</v>
      </c>
      <c r="B322" s="2" t="s">
        <v>2046</v>
      </c>
      <c r="C322" s="2" t="s">
        <v>3966</v>
      </c>
      <c r="D322" s="2" t="s">
        <v>2212</v>
      </c>
      <c r="E322" s="2" t="s">
        <v>35</v>
      </c>
      <c r="F322" s="3" t="s">
        <v>36</v>
      </c>
      <c r="G322" s="2" t="s">
        <v>3967</v>
      </c>
      <c r="H322" s="2" t="s">
        <v>3968</v>
      </c>
      <c r="I322" s="2" t="s">
        <v>3969</v>
      </c>
      <c r="J322" s="2" t="s">
        <v>3970</v>
      </c>
      <c r="K322" s="2" t="s">
        <v>3971</v>
      </c>
      <c r="L322" s="2"/>
      <c r="M322" s="2"/>
      <c r="N322" s="2"/>
      <c r="O322" s="3"/>
      <c r="P322" s="2" t="s">
        <v>2126</v>
      </c>
      <c r="Q322" s="2" t="s">
        <v>3972</v>
      </c>
      <c r="R322" s="2" t="s">
        <v>2079</v>
      </c>
      <c r="S322" s="2" t="s">
        <v>2080</v>
      </c>
      <c r="T322" s="3" t="s">
        <v>675</v>
      </c>
      <c r="U322" s="2"/>
      <c r="V322" s="4" t="n">
        <v>7.8</v>
      </c>
      <c r="W322" s="2" t="s">
        <v>2271</v>
      </c>
      <c r="X322" s="2" t="s">
        <v>3973</v>
      </c>
      <c r="Y322" s="2" t="s">
        <v>3974</v>
      </c>
      <c r="Z322" s="2" t="s">
        <v>3975</v>
      </c>
      <c r="AA322" s="2" t="s">
        <v>2348</v>
      </c>
      <c r="AB322" s="2" t="s">
        <v>3976</v>
      </c>
      <c r="AC322" s="2" t="s">
        <v>3977</v>
      </c>
      <c r="AD322" s="2" t="s">
        <v>3978</v>
      </c>
      <c r="AE322" s="3" t="s">
        <v>53</v>
      </c>
    </row>
    <row r="323" customFormat="false" ht="15" hidden="false" customHeight="false" outlineLevel="0" collapsed="false">
      <c r="A323" s="2" t="s">
        <v>3979</v>
      </c>
      <c r="B323" s="2" t="s">
        <v>2046</v>
      </c>
      <c r="C323" s="2" t="s">
        <v>3980</v>
      </c>
      <c r="D323" s="2" t="s">
        <v>2212</v>
      </c>
      <c r="E323" s="2" t="s">
        <v>35</v>
      </c>
      <c r="F323" s="3" t="s">
        <v>36</v>
      </c>
      <c r="G323" s="2" t="s">
        <v>3981</v>
      </c>
      <c r="H323" s="2" t="s">
        <v>3982</v>
      </c>
      <c r="I323" s="2" t="s">
        <v>3983</v>
      </c>
      <c r="J323" s="2" t="s">
        <v>3984</v>
      </c>
      <c r="K323" s="2" t="s">
        <v>3985</v>
      </c>
      <c r="L323" s="2"/>
      <c r="M323" s="2"/>
      <c r="N323" s="2"/>
      <c r="O323" s="3"/>
      <c r="P323" s="2" t="s">
        <v>2126</v>
      </c>
      <c r="Q323" s="2" t="s">
        <v>3235</v>
      </c>
      <c r="R323" s="2" t="s">
        <v>2079</v>
      </c>
      <c r="S323" s="2" t="s">
        <v>2080</v>
      </c>
      <c r="T323" s="3" t="s">
        <v>675</v>
      </c>
      <c r="U323" s="2"/>
      <c r="V323" s="4" t="n">
        <v>7.8</v>
      </c>
      <c r="W323" s="2" t="s">
        <v>2271</v>
      </c>
      <c r="X323" s="2" t="s">
        <v>3986</v>
      </c>
      <c r="Y323" s="2" t="s">
        <v>3987</v>
      </c>
      <c r="Z323" s="2" t="s">
        <v>3988</v>
      </c>
      <c r="AA323" s="2" t="s">
        <v>2348</v>
      </c>
      <c r="AB323" s="2" t="s">
        <v>2070</v>
      </c>
      <c r="AC323" s="2" t="s">
        <v>3989</v>
      </c>
      <c r="AD323" s="2" t="s">
        <v>3990</v>
      </c>
      <c r="AE323" s="3" t="s">
        <v>53</v>
      </c>
    </row>
    <row r="324" customFormat="false" ht="15" hidden="false" customHeight="false" outlineLevel="0" collapsed="false">
      <c r="A324" s="2" t="s">
        <v>3991</v>
      </c>
      <c r="B324" s="2" t="s">
        <v>2046</v>
      </c>
      <c r="C324" s="2" t="s">
        <v>3992</v>
      </c>
      <c r="D324" s="2" t="s">
        <v>2212</v>
      </c>
      <c r="E324" s="2" t="s">
        <v>35</v>
      </c>
      <c r="F324" s="3" t="s">
        <v>36</v>
      </c>
      <c r="G324" s="2" t="s">
        <v>3993</v>
      </c>
      <c r="H324" s="2" t="s">
        <v>3994</v>
      </c>
      <c r="I324" s="2" t="s">
        <v>3995</v>
      </c>
      <c r="J324" s="2" t="s">
        <v>3996</v>
      </c>
      <c r="K324" s="2" t="s">
        <v>3997</v>
      </c>
      <c r="L324" s="2"/>
      <c r="M324" s="2"/>
      <c r="N324" s="2"/>
      <c r="O324" s="3"/>
      <c r="P324" s="2" t="s">
        <v>2126</v>
      </c>
      <c r="Q324" s="2" t="s">
        <v>2425</v>
      </c>
      <c r="R324" s="2" t="s">
        <v>2079</v>
      </c>
      <c r="S324" s="2" t="s">
        <v>2080</v>
      </c>
      <c r="T324" s="3" t="s">
        <v>675</v>
      </c>
      <c r="U324" s="2"/>
      <c r="V324" s="4" t="n">
        <v>7.8</v>
      </c>
      <c r="W324" s="2" t="s">
        <v>2271</v>
      </c>
      <c r="X324" s="2" t="s">
        <v>3998</v>
      </c>
      <c r="Y324" s="2" t="s">
        <v>3999</v>
      </c>
      <c r="Z324" s="2" t="s">
        <v>3158</v>
      </c>
      <c r="AA324" s="2" t="s">
        <v>4000</v>
      </c>
      <c r="AB324" s="2" t="s">
        <v>3976</v>
      </c>
      <c r="AC324" s="2" t="s">
        <v>3159</v>
      </c>
      <c r="AD324" s="2" t="s">
        <v>4001</v>
      </c>
      <c r="AE324" s="3" t="s">
        <v>53</v>
      </c>
    </row>
    <row r="325" customFormat="false" ht="15" hidden="false" customHeight="false" outlineLevel="0" collapsed="false">
      <c r="A325" s="2" t="s">
        <v>4002</v>
      </c>
      <c r="B325" s="2" t="s">
        <v>2046</v>
      </c>
      <c r="C325" s="2" t="s">
        <v>4003</v>
      </c>
      <c r="D325" s="2" t="s">
        <v>2212</v>
      </c>
      <c r="E325" s="2" t="s">
        <v>35</v>
      </c>
      <c r="F325" s="3" t="s">
        <v>36</v>
      </c>
      <c r="G325" s="2" t="s">
        <v>4004</v>
      </c>
      <c r="H325" s="2" t="s">
        <v>4005</v>
      </c>
      <c r="I325" s="2" t="s">
        <v>4006</v>
      </c>
      <c r="J325" s="2" t="s">
        <v>4007</v>
      </c>
      <c r="K325" s="2" t="s">
        <v>4008</v>
      </c>
      <c r="L325" s="2"/>
      <c r="M325" s="2"/>
      <c r="N325" s="2"/>
      <c r="O325" s="3"/>
      <c r="P325" s="2" t="s">
        <v>4009</v>
      </c>
      <c r="Q325" s="2" t="s">
        <v>4010</v>
      </c>
      <c r="R325" s="2" t="s">
        <v>2079</v>
      </c>
      <c r="S325" s="2" t="s">
        <v>2080</v>
      </c>
      <c r="T325" s="3" t="s">
        <v>675</v>
      </c>
      <c r="U325" s="2"/>
      <c r="V325" s="4" t="n">
        <v>7.8</v>
      </c>
      <c r="W325" s="2" t="s">
        <v>2271</v>
      </c>
      <c r="X325" s="2" t="s">
        <v>4011</v>
      </c>
      <c r="Y325" s="2" t="s">
        <v>4012</v>
      </c>
      <c r="Z325" s="2" t="s">
        <v>4013</v>
      </c>
      <c r="AA325" s="2" t="s">
        <v>2764</v>
      </c>
      <c r="AB325" s="2" t="s">
        <v>4014</v>
      </c>
      <c r="AC325" s="2" t="s">
        <v>4015</v>
      </c>
      <c r="AD325" s="2" t="s">
        <v>4016</v>
      </c>
      <c r="AE325" s="3" t="s">
        <v>53</v>
      </c>
    </row>
    <row r="326" customFormat="false" ht="15" hidden="false" customHeight="false" outlineLevel="0" collapsed="false">
      <c r="A326" s="2" t="s">
        <v>4017</v>
      </c>
      <c r="B326" s="2" t="s">
        <v>2046</v>
      </c>
      <c r="C326" s="2" t="s">
        <v>4018</v>
      </c>
      <c r="D326" s="2" t="s">
        <v>2212</v>
      </c>
      <c r="E326" s="2" t="s">
        <v>35</v>
      </c>
      <c r="F326" s="3" t="s">
        <v>86</v>
      </c>
      <c r="G326" s="2" t="s">
        <v>4019</v>
      </c>
      <c r="H326" s="2" t="s">
        <v>4020</v>
      </c>
      <c r="I326" s="2" t="s">
        <v>4021</v>
      </c>
      <c r="J326" s="2" t="s">
        <v>4022</v>
      </c>
      <c r="K326" s="2" t="s">
        <v>4023</v>
      </c>
      <c r="L326" s="2"/>
      <c r="M326" s="2"/>
      <c r="N326" s="2"/>
      <c r="O326" s="3"/>
      <c r="P326" s="2" t="s">
        <v>4009</v>
      </c>
      <c r="Q326" s="2" t="s">
        <v>4024</v>
      </c>
      <c r="R326" s="2" t="s">
        <v>2079</v>
      </c>
      <c r="S326" s="2" t="s">
        <v>2080</v>
      </c>
      <c r="T326" s="3" t="s">
        <v>675</v>
      </c>
      <c r="U326" s="2"/>
      <c r="V326" s="4" t="n">
        <v>9.3</v>
      </c>
      <c r="W326" s="2" t="s">
        <v>2524</v>
      </c>
      <c r="X326" s="2" t="s">
        <v>4025</v>
      </c>
      <c r="Y326" s="2" t="s">
        <v>4026</v>
      </c>
      <c r="Z326" s="2" t="s">
        <v>2585</v>
      </c>
      <c r="AA326" s="2" t="s">
        <v>2887</v>
      </c>
      <c r="AB326" s="2" t="s">
        <v>4027</v>
      </c>
      <c r="AC326" s="2" t="s">
        <v>4028</v>
      </c>
      <c r="AD326" s="2" t="s">
        <v>4029</v>
      </c>
      <c r="AE326" s="3" t="s">
        <v>53</v>
      </c>
    </row>
    <row r="327" customFormat="false" ht="15" hidden="false" customHeight="false" outlineLevel="0" collapsed="false">
      <c r="A327" s="2" t="s">
        <v>4030</v>
      </c>
      <c r="B327" s="2" t="s">
        <v>2046</v>
      </c>
      <c r="C327" s="2" t="s">
        <v>4031</v>
      </c>
      <c r="D327" s="2" t="s">
        <v>2212</v>
      </c>
      <c r="E327" s="2" t="s">
        <v>35</v>
      </c>
      <c r="F327" s="3" t="s">
        <v>36</v>
      </c>
      <c r="G327" s="2" t="s">
        <v>4032</v>
      </c>
      <c r="H327" s="2" t="s">
        <v>4033</v>
      </c>
      <c r="I327" s="2" t="s">
        <v>4034</v>
      </c>
      <c r="J327" s="2" t="s">
        <v>4035</v>
      </c>
      <c r="K327" s="2" t="s">
        <v>4036</v>
      </c>
      <c r="L327" s="2"/>
      <c r="M327" s="2"/>
      <c r="N327" s="2"/>
      <c r="O327" s="3"/>
      <c r="P327" s="2" t="s">
        <v>2126</v>
      </c>
      <c r="Q327" s="2" t="s">
        <v>4037</v>
      </c>
      <c r="R327" s="2" t="s">
        <v>2079</v>
      </c>
      <c r="S327" s="2" t="s">
        <v>2080</v>
      </c>
      <c r="T327" s="3" t="s">
        <v>675</v>
      </c>
      <c r="U327" s="2"/>
      <c r="V327" s="4" t="n">
        <v>7.8</v>
      </c>
      <c r="W327" s="2" t="s">
        <v>2271</v>
      </c>
      <c r="X327" s="2" t="s">
        <v>4038</v>
      </c>
      <c r="Y327" s="2" t="s">
        <v>4039</v>
      </c>
      <c r="Z327" s="2" t="s">
        <v>4040</v>
      </c>
      <c r="AA327" s="2" t="s">
        <v>4041</v>
      </c>
      <c r="AB327" s="2" t="s">
        <v>4042</v>
      </c>
      <c r="AC327" s="2" t="s">
        <v>2261</v>
      </c>
      <c r="AD327" s="2" t="s">
        <v>4043</v>
      </c>
      <c r="AE327" s="3" t="s">
        <v>53</v>
      </c>
    </row>
    <row r="328" customFormat="false" ht="15" hidden="false" customHeight="false" outlineLevel="0" collapsed="false">
      <c r="A328" s="2" t="s">
        <v>4044</v>
      </c>
      <c r="B328" s="2" t="s">
        <v>1859</v>
      </c>
      <c r="C328" s="2" t="s">
        <v>4045</v>
      </c>
      <c r="D328" s="2" t="s">
        <v>2212</v>
      </c>
      <c r="E328" s="2" t="s">
        <v>70</v>
      </c>
      <c r="F328" s="3" t="s">
        <v>36</v>
      </c>
      <c r="G328" s="2" t="s">
        <v>4046</v>
      </c>
      <c r="H328" s="2" t="s">
        <v>4047</v>
      </c>
      <c r="I328" s="2" t="s">
        <v>4048</v>
      </c>
      <c r="J328" s="2" t="s">
        <v>4049</v>
      </c>
      <c r="K328" s="2" t="s">
        <v>4050</v>
      </c>
      <c r="L328" s="2"/>
      <c r="M328" s="2"/>
      <c r="N328" s="2"/>
      <c r="O328" s="3"/>
      <c r="P328" s="2" t="s">
        <v>4051</v>
      </c>
      <c r="Q328" s="2" t="s">
        <v>4052</v>
      </c>
      <c r="R328" s="2" t="s">
        <v>1122</v>
      </c>
      <c r="S328" s="2" t="s">
        <v>1922</v>
      </c>
      <c r="T328" s="3" t="s">
        <v>675</v>
      </c>
      <c r="U328" s="2"/>
      <c r="V328" s="4" t="n">
        <v>7.8</v>
      </c>
      <c r="W328" s="2" t="s">
        <v>4053</v>
      </c>
      <c r="X328" s="2" t="s">
        <v>4054</v>
      </c>
      <c r="Y328" s="2" t="s">
        <v>4055</v>
      </c>
      <c r="Z328" s="2" t="s">
        <v>4056</v>
      </c>
      <c r="AA328" s="2" t="s">
        <v>2764</v>
      </c>
      <c r="AB328" s="2" t="s">
        <v>4057</v>
      </c>
      <c r="AC328" s="2" t="s">
        <v>4058</v>
      </c>
      <c r="AD328" s="2" t="s">
        <v>4059</v>
      </c>
      <c r="AE328" s="3" t="s">
        <v>53</v>
      </c>
    </row>
    <row r="329" customFormat="false" ht="15" hidden="false" customHeight="false" outlineLevel="0" collapsed="false">
      <c r="A329" s="2" t="s">
        <v>4060</v>
      </c>
      <c r="B329" s="2" t="s">
        <v>1859</v>
      </c>
      <c r="C329" s="2" t="s">
        <v>4061</v>
      </c>
      <c r="D329" s="2" t="s">
        <v>2212</v>
      </c>
      <c r="E329" s="2" t="s">
        <v>189</v>
      </c>
      <c r="F329" s="3" t="s">
        <v>86</v>
      </c>
      <c r="G329" s="2" t="s">
        <v>4062</v>
      </c>
      <c r="H329" s="2" t="s">
        <v>4063</v>
      </c>
      <c r="I329" s="2" t="s">
        <v>4064</v>
      </c>
      <c r="J329" s="2" t="s">
        <v>4065</v>
      </c>
      <c r="K329" s="2" t="s">
        <v>4066</v>
      </c>
      <c r="L329" s="2"/>
      <c r="M329" s="2"/>
      <c r="N329" s="2"/>
      <c r="O329" s="3"/>
      <c r="P329" s="2" t="s">
        <v>4067</v>
      </c>
      <c r="Q329" s="2" t="s">
        <v>4068</v>
      </c>
      <c r="R329" s="2" t="s">
        <v>1122</v>
      </c>
      <c r="S329" s="2" t="s">
        <v>1922</v>
      </c>
      <c r="T329" s="3" t="s">
        <v>50</v>
      </c>
      <c r="U329" s="2"/>
      <c r="V329" s="4" t="n">
        <v>9.8</v>
      </c>
      <c r="W329" s="2" t="s">
        <v>2393</v>
      </c>
      <c r="X329" s="2" t="s">
        <v>4069</v>
      </c>
      <c r="Y329" s="2" t="s">
        <v>4070</v>
      </c>
      <c r="Z329" s="2" t="s">
        <v>4071</v>
      </c>
      <c r="AA329" s="2" t="s">
        <v>2887</v>
      </c>
      <c r="AB329" s="2" t="s">
        <v>4072</v>
      </c>
      <c r="AC329" s="2" t="s">
        <v>4073</v>
      </c>
      <c r="AD329" s="2" t="s">
        <v>4074</v>
      </c>
      <c r="AE329" s="3" t="s">
        <v>53</v>
      </c>
    </row>
    <row r="330" customFormat="false" ht="15" hidden="false" customHeight="false" outlineLevel="0" collapsed="false">
      <c r="A330" s="2" t="s">
        <v>4075</v>
      </c>
      <c r="B330" s="2" t="s">
        <v>1859</v>
      </c>
      <c r="C330" s="2" t="s">
        <v>4076</v>
      </c>
      <c r="D330" s="2" t="s">
        <v>2212</v>
      </c>
      <c r="E330" s="2" t="s">
        <v>70</v>
      </c>
      <c r="F330" s="3" t="s">
        <v>36</v>
      </c>
      <c r="G330" s="2" t="s">
        <v>4077</v>
      </c>
      <c r="H330" s="2" t="s">
        <v>4078</v>
      </c>
      <c r="I330" s="2" t="s">
        <v>4079</v>
      </c>
      <c r="J330" s="2" t="s">
        <v>4080</v>
      </c>
      <c r="K330" s="2" t="s">
        <v>4081</v>
      </c>
      <c r="L330" s="2"/>
      <c r="M330" s="2"/>
      <c r="N330" s="2"/>
      <c r="O330" s="3"/>
      <c r="P330" s="2" t="s">
        <v>4082</v>
      </c>
      <c r="Q330" s="2" t="s">
        <v>4083</v>
      </c>
      <c r="R330" s="2" t="s">
        <v>1122</v>
      </c>
      <c r="S330" s="2" t="s">
        <v>1922</v>
      </c>
      <c r="T330" s="3" t="s">
        <v>675</v>
      </c>
      <c r="U330" s="2"/>
      <c r="V330" s="4" t="n">
        <v>8.4</v>
      </c>
      <c r="W330" s="2" t="s">
        <v>4084</v>
      </c>
      <c r="X330" s="2" t="s">
        <v>4085</v>
      </c>
      <c r="Y330" s="2" t="s">
        <v>4086</v>
      </c>
      <c r="Z330" s="2" t="s">
        <v>4087</v>
      </c>
      <c r="AA330" s="2" t="s">
        <v>4088</v>
      </c>
      <c r="AB330" s="2" t="s">
        <v>4089</v>
      </c>
      <c r="AC330" s="2" t="s">
        <v>4090</v>
      </c>
      <c r="AD330" s="2" t="s">
        <v>4091</v>
      </c>
      <c r="AE330" s="3" t="s">
        <v>53</v>
      </c>
    </row>
    <row r="331" customFormat="false" ht="15" hidden="false" customHeight="false" outlineLevel="0" collapsed="false">
      <c r="A331" s="2" t="s">
        <v>4092</v>
      </c>
      <c r="B331" s="2" t="s">
        <v>1859</v>
      </c>
      <c r="C331" s="2" t="s">
        <v>4093</v>
      </c>
      <c r="D331" s="2" t="s">
        <v>2212</v>
      </c>
      <c r="E331" s="2" t="s">
        <v>70</v>
      </c>
      <c r="F331" s="3" t="s">
        <v>36</v>
      </c>
      <c r="G331" s="2" t="s">
        <v>4094</v>
      </c>
      <c r="H331" s="2" t="s">
        <v>4095</v>
      </c>
      <c r="I331" s="2" t="s">
        <v>4096</v>
      </c>
      <c r="J331" s="2" t="s">
        <v>4097</v>
      </c>
      <c r="K331" s="2" t="s">
        <v>4098</v>
      </c>
      <c r="L331" s="2"/>
      <c r="M331" s="2"/>
      <c r="N331" s="2"/>
      <c r="O331" s="3"/>
      <c r="P331" s="2" t="s">
        <v>4099</v>
      </c>
      <c r="Q331" s="2" t="s">
        <v>297</v>
      </c>
      <c r="R331" s="2" t="s">
        <v>1122</v>
      </c>
      <c r="S331" s="2" t="s">
        <v>1922</v>
      </c>
      <c r="T331" s="3" t="s">
        <v>675</v>
      </c>
      <c r="U331" s="2"/>
      <c r="V331" s="4" t="n">
        <v>7</v>
      </c>
      <c r="W331" s="2" t="s">
        <v>4100</v>
      </c>
      <c r="X331" s="2" t="s">
        <v>4101</v>
      </c>
      <c r="Y331" s="2" t="s">
        <v>4102</v>
      </c>
      <c r="Z331" s="2" t="s">
        <v>4103</v>
      </c>
      <c r="AA331" s="2" t="s">
        <v>4104</v>
      </c>
      <c r="AB331" s="2" t="s">
        <v>4105</v>
      </c>
      <c r="AC331" s="2" t="s">
        <v>4106</v>
      </c>
      <c r="AD331" s="2" t="s">
        <v>4107</v>
      </c>
      <c r="AE331" s="3" t="s">
        <v>53</v>
      </c>
    </row>
    <row r="332" customFormat="false" ht="15" hidden="false" customHeight="false" outlineLevel="0" collapsed="false">
      <c r="A332" s="2" t="s">
        <v>4108</v>
      </c>
      <c r="B332" s="2" t="s">
        <v>1859</v>
      </c>
      <c r="C332" s="2" t="s">
        <v>4109</v>
      </c>
      <c r="D332" s="2" t="s">
        <v>2212</v>
      </c>
      <c r="E332" s="2" t="s">
        <v>70</v>
      </c>
      <c r="F332" s="3" t="s">
        <v>36</v>
      </c>
      <c r="G332" s="2" t="s">
        <v>4110</v>
      </c>
      <c r="H332" s="2" t="s">
        <v>4111</v>
      </c>
      <c r="I332" s="2" t="s">
        <v>4112</v>
      </c>
      <c r="J332" s="2" t="s">
        <v>4113</v>
      </c>
      <c r="K332" s="2" t="s">
        <v>4114</v>
      </c>
      <c r="L332" s="2"/>
      <c r="M332" s="2"/>
      <c r="N332" s="2"/>
      <c r="O332" s="3"/>
      <c r="P332" s="2" t="s">
        <v>4115</v>
      </c>
      <c r="Q332" s="2" t="s">
        <v>297</v>
      </c>
      <c r="R332" s="2" t="s">
        <v>1122</v>
      </c>
      <c r="S332" s="2" t="s">
        <v>1922</v>
      </c>
      <c r="T332" s="3" t="s">
        <v>675</v>
      </c>
      <c r="U332" s="2"/>
      <c r="V332" s="4" t="n">
        <v>8.8</v>
      </c>
      <c r="W332" s="2" t="s">
        <v>4116</v>
      </c>
      <c r="X332" s="2" t="s">
        <v>4117</v>
      </c>
      <c r="Y332" s="2" t="s">
        <v>4118</v>
      </c>
      <c r="Z332" s="2" t="s">
        <v>4119</v>
      </c>
      <c r="AA332" s="2" t="s">
        <v>4120</v>
      </c>
      <c r="AB332" s="2" t="s">
        <v>4121</v>
      </c>
      <c r="AC332" s="2" t="s">
        <v>4122</v>
      </c>
      <c r="AD332" s="2" t="s">
        <v>4123</v>
      </c>
      <c r="AE332" s="3" t="s">
        <v>53</v>
      </c>
    </row>
    <row r="333" customFormat="false" ht="15" hidden="false" customHeight="false" outlineLevel="0" collapsed="false">
      <c r="A333" s="2" t="s">
        <v>4124</v>
      </c>
      <c r="B333" s="2" t="s">
        <v>1459</v>
      </c>
      <c r="C333" s="2" t="s">
        <v>4125</v>
      </c>
      <c r="D333" s="2" t="s">
        <v>2212</v>
      </c>
      <c r="E333" s="2" t="s">
        <v>35</v>
      </c>
      <c r="F333" s="3" t="s">
        <v>86</v>
      </c>
      <c r="G333" s="2" t="s">
        <v>4126</v>
      </c>
      <c r="H333" s="2" t="s">
        <v>4127</v>
      </c>
      <c r="I333" s="2" t="s">
        <v>4128</v>
      </c>
      <c r="J333" s="2" t="s">
        <v>4129</v>
      </c>
      <c r="K333" s="2" t="s">
        <v>4130</v>
      </c>
      <c r="L333" s="2"/>
      <c r="M333" s="2"/>
      <c r="N333" s="2"/>
      <c r="O333" s="3"/>
      <c r="P333" s="2" t="s">
        <v>4131</v>
      </c>
      <c r="Q333" s="2" t="s">
        <v>732</v>
      </c>
      <c r="R333" s="2" t="s">
        <v>1550</v>
      </c>
      <c r="S333" s="2"/>
      <c r="T333" s="3" t="s">
        <v>50</v>
      </c>
      <c r="U333" s="2"/>
      <c r="V333" s="4" t="n">
        <v>10</v>
      </c>
      <c r="W333" s="2" t="s">
        <v>2221</v>
      </c>
      <c r="X333" s="2" t="s">
        <v>4132</v>
      </c>
      <c r="Y333" s="2" t="s">
        <v>4133</v>
      </c>
      <c r="Z333" s="2" t="s">
        <v>2274</v>
      </c>
      <c r="AA333" s="2" t="s">
        <v>4134</v>
      </c>
      <c r="AB333" s="2" t="s">
        <v>4135</v>
      </c>
      <c r="AC333" s="2" t="s">
        <v>4136</v>
      </c>
      <c r="AD333" s="2" t="s">
        <v>4137</v>
      </c>
      <c r="AE333" s="3" t="s">
        <v>53</v>
      </c>
    </row>
    <row r="334" customFormat="false" ht="15" hidden="false" customHeight="false" outlineLevel="0" collapsed="false">
      <c r="A334" s="2" t="s">
        <v>4138</v>
      </c>
      <c r="B334" s="2" t="s">
        <v>1459</v>
      </c>
      <c r="C334" s="2" t="s">
        <v>4139</v>
      </c>
      <c r="D334" s="2" t="s">
        <v>2212</v>
      </c>
      <c r="E334" s="2" t="s">
        <v>35</v>
      </c>
      <c r="F334" s="3" t="s">
        <v>36</v>
      </c>
      <c r="G334" s="2" t="s">
        <v>4140</v>
      </c>
      <c r="H334" s="2" t="s">
        <v>4141</v>
      </c>
      <c r="I334" s="2" t="s">
        <v>4142</v>
      </c>
      <c r="J334" s="2" t="s">
        <v>4143</v>
      </c>
      <c r="K334" s="2" t="s">
        <v>4144</v>
      </c>
      <c r="L334" s="2"/>
      <c r="M334" s="2"/>
      <c r="N334" s="2"/>
      <c r="O334" s="3"/>
      <c r="P334" s="2" t="s">
        <v>4145</v>
      </c>
      <c r="Q334" s="2" t="s">
        <v>732</v>
      </c>
      <c r="R334" s="2" t="s">
        <v>1550</v>
      </c>
      <c r="S334" s="2"/>
      <c r="T334" s="3" t="s">
        <v>50</v>
      </c>
      <c r="U334" s="2"/>
      <c r="V334" s="4" t="n">
        <v>8</v>
      </c>
      <c r="W334" s="2" t="s">
        <v>4146</v>
      </c>
      <c r="X334" s="2" t="s">
        <v>4147</v>
      </c>
      <c r="Y334" s="2" t="s">
        <v>4148</v>
      </c>
      <c r="Z334" s="2" t="s">
        <v>2274</v>
      </c>
      <c r="AA334" s="2" t="s">
        <v>4149</v>
      </c>
      <c r="AB334" s="2" t="s">
        <v>4150</v>
      </c>
      <c r="AC334" s="2" t="s">
        <v>4151</v>
      </c>
      <c r="AD334" s="2" t="s">
        <v>4152</v>
      </c>
      <c r="AE334" s="3" t="s">
        <v>53</v>
      </c>
    </row>
    <row r="335" customFormat="false" ht="15" hidden="false" customHeight="false" outlineLevel="0" collapsed="false">
      <c r="A335" s="2" t="s">
        <v>4153</v>
      </c>
      <c r="B335" s="2" t="s">
        <v>1459</v>
      </c>
      <c r="C335" s="2" t="s">
        <v>4154</v>
      </c>
      <c r="D335" s="2" t="s">
        <v>2212</v>
      </c>
      <c r="E335" s="2" t="s">
        <v>258</v>
      </c>
      <c r="F335" s="3" t="s">
        <v>86</v>
      </c>
      <c r="G335" s="2" t="s">
        <v>4155</v>
      </c>
      <c r="H335" s="2" t="s">
        <v>4156</v>
      </c>
      <c r="I335" s="2" t="s">
        <v>4157</v>
      </c>
      <c r="J335" s="2" t="s">
        <v>4158</v>
      </c>
      <c r="K335" s="2" t="s">
        <v>4159</v>
      </c>
      <c r="L335" s="2"/>
      <c r="M335" s="2"/>
      <c r="N335" s="2"/>
      <c r="O335" s="3"/>
      <c r="P335" s="2" t="s">
        <v>4160</v>
      </c>
      <c r="Q335" s="2" t="s">
        <v>732</v>
      </c>
      <c r="R335" s="2" t="s">
        <v>1550</v>
      </c>
      <c r="S335" s="2" t="s">
        <v>1067</v>
      </c>
      <c r="T335" s="3" t="s">
        <v>287</v>
      </c>
      <c r="U335" s="2"/>
      <c r="V335" s="4" t="n">
        <v>9.8</v>
      </c>
      <c r="W335" s="2" t="s">
        <v>2393</v>
      </c>
      <c r="X335" s="2" t="s">
        <v>4161</v>
      </c>
      <c r="Y335" s="2" t="s">
        <v>4162</v>
      </c>
      <c r="Z335" s="2" t="s">
        <v>2224</v>
      </c>
      <c r="AA335" s="2" t="s">
        <v>2764</v>
      </c>
      <c r="AB335" s="2" t="s">
        <v>4163</v>
      </c>
      <c r="AC335" s="2" t="s">
        <v>4164</v>
      </c>
      <c r="AD335" s="2" t="s">
        <v>4165</v>
      </c>
      <c r="AE335" s="3" t="s">
        <v>53</v>
      </c>
    </row>
    <row r="336" customFormat="false" ht="15" hidden="false" customHeight="false" outlineLevel="0" collapsed="false">
      <c r="A336" s="2" t="s">
        <v>4166</v>
      </c>
      <c r="B336" s="2" t="s">
        <v>1459</v>
      </c>
      <c r="C336" s="2" t="s">
        <v>4167</v>
      </c>
      <c r="D336" s="2" t="s">
        <v>2212</v>
      </c>
      <c r="E336" s="2" t="s">
        <v>258</v>
      </c>
      <c r="F336" s="3" t="s">
        <v>86</v>
      </c>
      <c r="G336" s="2" t="s">
        <v>4168</v>
      </c>
      <c r="H336" s="2" t="s">
        <v>4169</v>
      </c>
      <c r="I336" s="2" t="s">
        <v>4170</v>
      </c>
      <c r="J336" s="2" t="s">
        <v>4171</v>
      </c>
      <c r="K336" s="2" t="s">
        <v>4172</v>
      </c>
      <c r="L336" s="2" t="s">
        <v>348</v>
      </c>
      <c r="M336" s="2"/>
      <c r="N336" s="2"/>
      <c r="O336" s="3"/>
      <c r="P336" s="2" t="s">
        <v>4173</v>
      </c>
      <c r="Q336" s="2" t="s">
        <v>4174</v>
      </c>
      <c r="R336" s="2" t="s">
        <v>1618</v>
      </c>
      <c r="S336" s="2" t="s">
        <v>1067</v>
      </c>
      <c r="T336" s="3" t="s">
        <v>287</v>
      </c>
      <c r="U336" s="2"/>
      <c r="V336" s="4" t="n">
        <v>9.8</v>
      </c>
      <c r="W336" s="2" t="s">
        <v>2393</v>
      </c>
      <c r="X336" s="2" t="s">
        <v>4175</v>
      </c>
      <c r="Y336" s="2" t="s">
        <v>4176</v>
      </c>
      <c r="Z336" s="2" t="s">
        <v>2274</v>
      </c>
      <c r="AA336" s="2" t="s">
        <v>2348</v>
      </c>
      <c r="AB336" s="2" t="s">
        <v>4177</v>
      </c>
      <c r="AC336" s="2" t="s">
        <v>4178</v>
      </c>
      <c r="AD336" s="2" t="s">
        <v>4179</v>
      </c>
      <c r="AE336" s="3" t="s">
        <v>53</v>
      </c>
    </row>
    <row r="337" customFormat="false" ht="15" hidden="false" customHeight="false" outlineLevel="0" collapsed="false">
      <c r="A337" s="2" t="s">
        <v>4180</v>
      </c>
      <c r="B337" s="2" t="s">
        <v>1459</v>
      </c>
      <c r="C337" s="2" t="s">
        <v>4181</v>
      </c>
      <c r="D337" s="2" t="s">
        <v>2212</v>
      </c>
      <c r="E337" s="2" t="s">
        <v>35</v>
      </c>
      <c r="F337" s="3" t="s">
        <v>36</v>
      </c>
      <c r="G337" s="2" t="s">
        <v>4182</v>
      </c>
      <c r="H337" s="2" t="s">
        <v>4183</v>
      </c>
      <c r="I337" s="2" t="s">
        <v>4184</v>
      </c>
      <c r="J337" s="2" t="s">
        <v>4185</v>
      </c>
      <c r="K337" s="2" t="s">
        <v>4186</v>
      </c>
      <c r="L337" s="2" t="s">
        <v>348</v>
      </c>
      <c r="M337" s="2"/>
      <c r="N337" s="2"/>
      <c r="O337" s="3"/>
      <c r="P337" s="2" t="s">
        <v>4187</v>
      </c>
      <c r="Q337" s="2" t="s">
        <v>4188</v>
      </c>
      <c r="R337" s="2" t="s">
        <v>4189</v>
      </c>
      <c r="S337" s="2"/>
      <c r="T337" s="3" t="s">
        <v>287</v>
      </c>
      <c r="U337" s="2"/>
      <c r="V337" s="4" t="n">
        <v>8.6</v>
      </c>
      <c r="W337" s="2" t="s">
        <v>4190</v>
      </c>
      <c r="X337" s="2" t="s">
        <v>4191</v>
      </c>
      <c r="Y337" s="2" t="s">
        <v>4192</v>
      </c>
      <c r="Z337" s="2" t="s">
        <v>2274</v>
      </c>
      <c r="AA337" s="2" t="s">
        <v>2348</v>
      </c>
      <c r="AB337" s="2" t="s">
        <v>4177</v>
      </c>
      <c r="AC337" s="2" t="s">
        <v>4193</v>
      </c>
      <c r="AD337" s="2" t="s">
        <v>4194</v>
      </c>
      <c r="AE337" s="3" t="s">
        <v>53</v>
      </c>
    </row>
    <row r="338" customFormat="false" ht="15" hidden="false" customHeight="false" outlineLevel="0" collapsed="false">
      <c r="A338" s="2" t="s">
        <v>4195</v>
      </c>
      <c r="B338" s="2" t="s">
        <v>1459</v>
      </c>
      <c r="C338" s="2" t="s">
        <v>4196</v>
      </c>
      <c r="D338" s="2" t="s">
        <v>2212</v>
      </c>
      <c r="E338" s="2" t="s">
        <v>189</v>
      </c>
      <c r="F338" s="3" t="s">
        <v>36</v>
      </c>
      <c r="G338" s="2" t="s">
        <v>4197</v>
      </c>
      <c r="H338" s="2" t="s">
        <v>4198</v>
      </c>
      <c r="I338" s="2" t="s">
        <v>4199</v>
      </c>
      <c r="J338" s="2" t="s">
        <v>4200</v>
      </c>
      <c r="K338" s="2" t="s">
        <v>4201</v>
      </c>
      <c r="L338" s="2" t="s">
        <v>348</v>
      </c>
      <c r="M338" s="2"/>
      <c r="N338" s="2"/>
      <c r="O338" s="3"/>
      <c r="P338" s="2" t="s">
        <v>4202</v>
      </c>
      <c r="Q338" s="2" t="s">
        <v>4203</v>
      </c>
      <c r="R338" s="2" t="s">
        <v>1605</v>
      </c>
      <c r="S338" s="2"/>
      <c r="T338" s="3" t="s">
        <v>82</v>
      </c>
      <c r="U338" s="2"/>
      <c r="V338" s="4" t="n">
        <v>8.6</v>
      </c>
      <c r="W338" s="2" t="s">
        <v>3155</v>
      </c>
      <c r="X338" s="2" t="s">
        <v>4204</v>
      </c>
      <c r="Y338" s="2" t="s">
        <v>4205</v>
      </c>
      <c r="Z338" s="2" t="s">
        <v>4206</v>
      </c>
      <c r="AA338" s="2" t="s">
        <v>4207</v>
      </c>
      <c r="AB338" s="2" t="s">
        <v>4208</v>
      </c>
      <c r="AC338" s="2" t="s">
        <v>4209</v>
      </c>
      <c r="AD338" s="2" t="s">
        <v>4210</v>
      </c>
      <c r="AE338" s="3" t="s">
        <v>53</v>
      </c>
    </row>
    <row r="339" customFormat="false" ht="15" hidden="false" customHeight="false" outlineLevel="0" collapsed="false">
      <c r="A339" s="2" t="s">
        <v>4211</v>
      </c>
      <c r="B339" s="2" t="s">
        <v>1459</v>
      </c>
      <c r="C339" s="2" t="s">
        <v>4212</v>
      </c>
      <c r="D339" s="2" t="s">
        <v>2212</v>
      </c>
      <c r="E339" s="2" t="s">
        <v>258</v>
      </c>
      <c r="F339" s="3" t="s">
        <v>86</v>
      </c>
      <c r="G339" s="2" t="s">
        <v>4213</v>
      </c>
      <c r="H339" s="2" t="s">
        <v>4214</v>
      </c>
      <c r="I339" s="2" t="s">
        <v>4215</v>
      </c>
      <c r="J339" s="2" t="s">
        <v>4216</v>
      </c>
      <c r="K339" s="2" t="s">
        <v>4217</v>
      </c>
      <c r="L339" s="2" t="s">
        <v>348</v>
      </c>
      <c r="M339" s="2"/>
      <c r="N339" s="2"/>
      <c r="O339" s="3"/>
      <c r="P339" s="2" t="s">
        <v>1603</v>
      </c>
      <c r="Q339" s="2" t="s">
        <v>4203</v>
      </c>
      <c r="R339" s="2" t="s">
        <v>1662</v>
      </c>
      <c r="S339" s="2"/>
      <c r="T339" s="3" t="s">
        <v>82</v>
      </c>
      <c r="U339" s="2"/>
      <c r="V339" s="4" t="n">
        <v>9.6</v>
      </c>
      <c r="W339" s="2" t="s">
        <v>4218</v>
      </c>
      <c r="X339" s="2" t="s">
        <v>4219</v>
      </c>
      <c r="Y339" s="2" t="s">
        <v>4220</v>
      </c>
      <c r="Z339" s="2" t="s">
        <v>4221</v>
      </c>
      <c r="AA339" s="2" t="s">
        <v>4222</v>
      </c>
      <c r="AB339" s="2" t="s">
        <v>4223</v>
      </c>
      <c r="AC339" s="2" t="s">
        <v>4224</v>
      </c>
      <c r="AD339" s="2" t="s">
        <v>4225</v>
      </c>
      <c r="AE339" s="3" t="s">
        <v>53</v>
      </c>
    </row>
    <row r="340" customFormat="false" ht="15" hidden="false" customHeight="false" outlineLevel="0" collapsed="false">
      <c r="A340" s="2" t="s">
        <v>4226</v>
      </c>
      <c r="B340" s="2" t="s">
        <v>2129</v>
      </c>
      <c r="C340" s="2" t="s">
        <v>4227</v>
      </c>
      <c r="D340" s="2" t="s">
        <v>2212</v>
      </c>
      <c r="E340" s="2" t="s">
        <v>316</v>
      </c>
      <c r="F340" s="3" t="s">
        <v>86</v>
      </c>
      <c r="G340" s="2" t="s">
        <v>4228</v>
      </c>
      <c r="H340" s="2" t="s">
        <v>4229</v>
      </c>
      <c r="I340" s="2" t="s">
        <v>4230</v>
      </c>
      <c r="J340" s="2" t="s">
        <v>4231</v>
      </c>
      <c r="K340" s="2" t="s">
        <v>4232</v>
      </c>
      <c r="L340" s="2"/>
      <c r="M340" s="2"/>
      <c r="N340" s="2"/>
      <c r="O340" s="3"/>
      <c r="P340" s="2"/>
      <c r="Q340" s="2" t="s">
        <v>4233</v>
      </c>
      <c r="R340" s="2" t="s">
        <v>2137</v>
      </c>
      <c r="S340" s="2"/>
      <c r="T340" s="3" t="s">
        <v>326</v>
      </c>
      <c r="U340" s="2"/>
      <c r="V340" s="4" t="n">
        <v>9.3</v>
      </c>
      <c r="W340" s="2" t="s">
        <v>4234</v>
      </c>
      <c r="X340" s="2" t="s">
        <v>4235</v>
      </c>
      <c r="Y340" s="2" t="s">
        <v>4236</v>
      </c>
      <c r="Z340" s="2" t="s">
        <v>2274</v>
      </c>
      <c r="AA340" s="2" t="s">
        <v>4237</v>
      </c>
      <c r="AB340" s="2" t="s">
        <v>4238</v>
      </c>
      <c r="AC340" s="2" t="s">
        <v>4239</v>
      </c>
      <c r="AD340" s="2" t="s">
        <v>4240</v>
      </c>
      <c r="AE340" s="3" t="s">
        <v>53</v>
      </c>
    </row>
    <row r="341" customFormat="false" ht="15" hidden="false" customHeight="false" outlineLevel="0" collapsed="false">
      <c r="A341" s="2" t="s">
        <v>4241</v>
      </c>
      <c r="B341" s="2" t="s">
        <v>2129</v>
      </c>
      <c r="C341" s="2" t="s">
        <v>4242</v>
      </c>
      <c r="D341" s="2" t="s">
        <v>2212</v>
      </c>
      <c r="E341" s="2" t="s">
        <v>258</v>
      </c>
      <c r="F341" s="3" t="s">
        <v>86</v>
      </c>
      <c r="G341" s="2" t="s">
        <v>4243</v>
      </c>
      <c r="H341" s="2" t="s">
        <v>4244</v>
      </c>
      <c r="I341" s="2" t="s">
        <v>4245</v>
      </c>
      <c r="J341" s="2" t="s">
        <v>4246</v>
      </c>
      <c r="K341" s="2" t="s">
        <v>4247</v>
      </c>
      <c r="L341" s="2" t="s">
        <v>2698</v>
      </c>
      <c r="M341" s="2"/>
      <c r="N341" s="2"/>
      <c r="O341" s="3"/>
      <c r="P341" s="2" t="s">
        <v>79</v>
      </c>
      <c r="Q341" s="2" t="s">
        <v>4248</v>
      </c>
      <c r="R341" s="2" t="s">
        <v>285</v>
      </c>
      <c r="S341" s="2" t="s">
        <v>1067</v>
      </c>
      <c r="T341" s="3" t="s">
        <v>82</v>
      </c>
      <c r="U341" s="2"/>
      <c r="V341" s="4" t="n">
        <v>9.8</v>
      </c>
      <c r="W341" s="2" t="s">
        <v>2393</v>
      </c>
      <c r="X341" s="2" t="s">
        <v>4249</v>
      </c>
      <c r="Y341" s="2" t="s">
        <v>4250</v>
      </c>
      <c r="Z341" s="2" t="s">
        <v>4251</v>
      </c>
      <c r="AA341" s="2" t="s">
        <v>2887</v>
      </c>
      <c r="AB341" s="2" t="s">
        <v>4252</v>
      </c>
      <c r="AC341" s="2" t="s">
        <v>4253</v>
      </c>
      <c r="AD341" s="2" t="s">
        <v>4254</v>
      </c>
      <c r="AE341" s="3" t="s">
        <v>53</v>
      </c>
    </row>
    <row r="342" customFormat="false" ht="15" hidden="false" customHeight="false" outlineLevel="0" collapsed="false">
      <c r="A342" s="2" t="s">
        <v>4255</v>
      </c>
      <c r="B342" s="2" t="s">
        <v>2129</v>
      </c>
      <c r="C342" s="2" t="s">
        <v>4256</v>
      </c>
      <c r="D342" s="2" t="s">
        <v>2212</v>
      </c>
      <c r="E342" s="2" t="s">
        <v>258</v>
      </c>
      <c r="F342" s="3" t="s">
        <v>86</v>
      </c>
      <c r="G342" s="2" t="s">
        <v>4257</v>
      </c>
      <c r="H342" s="2" t="s">
        <v>4258</v>
      </c>
      <c r="I342" s="2" t="s">
        <v>4259</v>
      </c>
      <c r="J342" s="2" t="s">
        <v>4260</v>
      </c>
      <c r="K342" s="2" t="s">
        <v>4261</v>
      </c>
      <c r="L342" s="2" t="s">
        <v>2698</v>
      </c>
      <c r="M342" s="2"/>
      <c r="N342" s="2"/>
      <c r="O342" s="3"/>
      <c r="P342" s="2" t="s">
        <v>79</v>
      </c>
      <c r="Q342" s="2" t="s">
        <v>4262</v>
      </c>
      <c r="R342" s="2" t="s">
        <v>285</v>
      </c>
      <c r="S342" s="2" t="s">
        <v>1067</v>
      </c>
      <c r="T342" s="3" t="s">
        <v>82</v>
      </c>
      <c r="U342" s="2"/>
      <c r="V342" s="4" t="n">
        <v>9.8</v>
      </c>
      <c r="W342" s="2" t="s">
        <v>2613</v>
      </c>
      <c r="X342" s="2" t="s">
        <v>4263</v>
      </c>
      <c r="Y342" s="2" t="s">
        <v>4264</v>
      </c>
      <c r="Z342" s="2" t="s">
        <v>3623</v>
      </c>
      <c r="AA342" s="2" t="s">
        <v>4265</v>
      </c>
      <c r="AB342" s="2" t="s">
        <v>4266</v>
      </c>
      <c r="AC342" s="2" t="s">
        <v>4267</v>
      </c>
      <c r="AD342" s="2" t="s">
        <v>4268</v>
      </c>
      <c r="AE342" s="3" t="s">
        <v>53</v>
      </c>
    </row>
    <row r="343" customFormat="false" ht="15" hidden="false" customHeight="false" outlineLevel="0" collapsed="false">
      <c r="A343" s="2" t="s">
        <v>4269</v>
      </c>
      <c r="B343" s="2" t="s">
        <v>2129</v>
      </c>
      <c r="C343" s="2" t="s">
        <v>4270</v>
      </c>
      <c r="D343" s="2" t="s">
        <v>2212</v>
      </c>
      <c r="E343" s="2" t="s">
        <v>70</v>
      </c>
      <c r="F343" s="3" t="s">
        <v>86</v>
      </c>
      <c r="G343" s="2" t="s">
        <v>4271</v>
      </c>
      <c r="H343" s="2" t="s">
        <v>4272</v>
      </c>
      <c r="I343" s="2" t="s">
        <v>4273</v>
      </c>
      <c r="J343" s="2" t="s">
        <v>4274</v>
      </c>
      <c r="K343" s="2" t="s">
        <v>4275</v>
      </c>
      <c r="L343" s="2"/>
      <c r="M343" s="2"/>
      <c r="N343" s="2"/>
      <c r="O343" s="3"/>
      <c r="P343" s="2" t="s">
        <v>4276</v>
      </c>
      <c r="Q343" s="2" t="s">
        <v>95</v>
      </c>
      <c r="R343" s="2" t="s">
        <v>2137</v>
      </c>
      <c r="S343" s="2" t="s">
        <v>1922</v>
      </c>
      <c r="T343" s="3" t="s">
        <v>82</v>
      </c>
      <c r="U343" s="2"/>
      <c r="V343" s="4" t="n">
        <v>9.6</v>
      </c>
      <c r="W343" s="2" t="s">
        <v>4218</v>
      </c>
      <c r="X343" s="2" t="s">
        <v>4277</v>
      </c>
      <c r="Y343" s="2" t="s">
        <v>4278</v>
      </c>
      <c r="Z343" s="2" t="s">
        <v>2274</v>
      </c>
      <c r="AA343" s="2" t="s">
        <v>4279</v>
      </c>
      <c r="AB343" s="2" t="s">
        <v>4280</v>
      </c>
      <c r="AC343" s="2" t="s">
        <v>4281</v>
      </c>
      <c r="AD343" s="2" t="s">
        <v>4282</v>
      </c>
      <c r="AE343" s="3" t="s">
        <v>53</v>
      </c>
    </row>
    <row r="344" customFormat="false" ht="15" hidden="false" customHeight="false" outlineLevel="0" collapsed="false">
      <c r="A344" s="2" t="s">
        <v>4283</v>
      </c>
      <c r="B344" s="2" t="s">
        <v>2129</v>
      </c>
      <c r="C344" s="2" t="s">
        <v>4284</v>
      </c>
      <c r="D344" s="2" t="s">
        <v>2212</v>
      </c>
      <c r="E344" s="2" t="s">
        <v>70</v>
      </c>
      <c r="F344" s="3" t="s">
        <v>86</v>
      </c>
      <c r="G344" s="2" t="s">
        <v>4285</v>
      </c>
      <c r="H344" s="2" t="s">
        <v>4286</v>
      </c>
      <c r="I344" s="2" t="s">
        <v>4287</v>
      </c>
      <c r="J344" s="2" t="s">
        <v>4288</v>
      </c>
      <c r="K344" s="2" t="s">
        <v>4289</v>
      </c>
      <c r="L344" s="2"/>
      <c r="M344" s="2"/>
      <c r="N344" s="2"/>
      <c r="O344" s="3"/>
      <c r="P344" s="2" t="s">
        <v>94</v>
      </c>
      <c r="Q344" s="2" t="s">
        <v>1056</v>
      </c>
      <c r="R344" s="2" t="s">
        <v>2137</v>
      </c>
      <c r="S344" s="2" t="s">
        <v>1922</v>
      </c>
      <c r="T344" s="3" t="s">
        <v>82</v>
      </c>
      <c r="U344" s="2"/>
      <c r="V344" s="4" t="n">
        <v>9.4</v>
      </c>
      <c r="W344" s="2" t="s">
        <v>4290</v>
      </c>
      <c r="X344" s="2" t="s">
        <v>4291</v>
      </c>
      <c r="Y344" s="2" t="s">
        <v>4292</v>
      </c>
      <c r="Z344" s="2" t="s">
        <v>2274</v>
      </c>
      <c r="AA344" s="2" t="s">
        <v>4293</v>
      </c>
      <c r="AB344" s="2" t="s">
        <v>4294</v>
      </c>
      <c r="AC344" s="2" t="s">
        <v>4295</v>
      </c>
      <c r="AD344" s="2" t="s">
        <v>4296</v>
      </c>
      <c r="AE344" s="3" t="s">
        <v>53</v>
      </c>
    </row>
    <row r="345" customFormat="false" ht="15" hidden="false" customHeight="false" outlineLevel="0" collapsed="false">
      <c r="A345" s="2" t="s">
        <v>4297</v>
      </c>
      <c r="B345" s="2" t="s">
        <v>2129</v>
      </c>
      <c r="C345" s="2" t="s">
        <v>4298</v>
      </c>
      <c r="D345" s="2" t="s">
        <v>2212</v>
      </c>
      <c r="E345" s="2" t="s">
        <v>258</v>
      </c>
      <c r="F345" s="3" t="s">
        <v>36</v>
      </c>
      <c r="G345" s="2" t="s">
        <v>4299</v>
      </c>
      <c r="H345" s="2" t="s">
        <v>4300</v>
      </c>
      <c r="I345" s="2" t="s">
        <v>4301</v>
      </c>
      <c r="J345" s="2" t="s">
        <v>4302</v>
      </c>
      <c r="K345" s="2" t="s">
        <v>4303</v>
      </c>
      <c r="L345" s="2" t="s">
        <v>348</v>
      </c>
      <c r="M345" s="2"/>
      <c r="N345" s="2"/>
      <c r="O345" s="3"/>
      <c r="P345" s="2" t="s">
        <v>79</v>
      </c>
      <c r="Q345" s="2" t="s">
        <v>2538</v>
      </c>
      <c r="R345" s="2" t="s">
        <v>2539</v>
      </c>
      <c r="S345" s="2" t="s">
        <v>1067</v>
      </c>
      <c r="T345" s="3" t="s">
        <v>82</v>
      </c>
      <c r="U345" s="2"/>
      <c r="V345" s="4" t="n">
        <v>8.8</v>
      </c>
      <c r="W345" s="2" t="s">
        <v>2255</v>
      </c>
      <c r="X345" s="2" t="s">
        <v>4304</v>
      </c>
      <c r="Y345" s="2" t="s">
        <v>4305</v>
      </c>
      <c r="Z345" s="2" t="s">
        <v>2274</v>
      </c>
      <c r="AA345" s="2" t="s">
        <v>4306</v>
      </c>
      <c r="AB345" s="2" t="s">
        <v>4307</v>
      </c>
      <c r="AC345" s="2" t="s">
        <v>4308</v>
      </c>
      <c r="AD345" s="2" t="s">
        <v>4309</v>
      </c>
      <c r="AE345" s="3" t="s">
        <v>53</v>
      </c>
    </row>
    <row r="346" customFormat="false" ht="15" hidden="false" customHeight="false" outlineLevel="0" collapsed="false">
      <c r="A346" s="2" t="s">
        <v>4310</v>
      </c>
      <c r="B346" s="2" t="s">
        <v>2129</v>
      </c>
      <c r="C346" s="2" t="s">
        <v>4311</v>
      </c>
      <c r="D346" s="2" t="s">
        <v>2212</v>
      </c>
      <c r="E346" s="2" t="s">
        <v>70</v>
      </c>
      <c r="F346" s="3" t="s">
        <v>36</v>
      </c>
      <c r="G346" s="2" t="s">
        <v>4312</v>
      </c>
      <c r="H346" s="2" t="s">
        <v>4313</v>
      </c>
      <c r="I346" s="2" t="s">
        <v>4314</v>
      </c>
      <c r="J346" s="2" t="s">
        <v>4315</v>
      </c>
      <c r="K346" s="2" t="s">
        <v>4316</v>
      </c>
      <c r="L346" s="2" t="s">
        <v>76</v>
      </c>
      <c r="M346" s="2"/>
      <c r="N346" s="2"/>
      <c r="O346" s="3"/>
      <c r="P346" s="2" t="s">
        <v>2159</v>
      </c>
      <c r="Q346" s="2" t="s">
        <v>4317</v>
      </c>
      <c r="R346" s="2" t="s">
        <v>2137</v>
      </c>
      <c r="S346" s="2"/>
      <c r="T346" s="3" t="s">
        <v>82</v>
      </c>
      <c r="U346" s="2"/>
      <c r="V346" s="4" t="n">
        <v>8.1</v>
      </c>
      <c r="W346" s="2" t="s">
        <v>2668</v>
      </c>
      <c r="X346" s="2" t="s">
        <v>4318</v>
      </c>
      <c r="Y346" s="2" t="s">
        <v>4319</v>
      </c>
      <c r="Z346" s="2" t="s">
        <v>2274</v>
      </c>
      <c r="AA346" s="2" t="s">
        <v>4279</v>
      </c>
      <c r="AB346" s="2" t="s">
        <v>4320</v>
      </c>
      <c r="AC346" s="2" t="s">
        <v>4321</v>
      </c>
      <c r="AD346" s="2" t="s">
        <v>4322</v>
      </c>
      <c r="AE346" s="3" t="s">
        <v>53</v>
      </c>
    </row>
    <row r="347" customFormat="false" ht="15" hidden="false" customHeight="false" outlineLevel="0" collapsed="false">
      <c r="A347" s="2" t="s">
        <v>4323</v>
      </c>
      <c r="B347" s="2" t="s">
        <v>2129</v>
      </c>
      <c r="C347" s="2" t="s">
        <v>4324</v>
      </c>
      <c r="D347" s="2" t="s">
        <v>2212</v>
      </c>
      <c r="E347" s="2" t="s">
        <v>258</v>
      </c>
      <c r="F347" s="3" t="s">
        <v>86</v>
      </c>
      <c r="G347" s="2" t="s">
        <v>4325</v>
      </c>
      <c r="H347" s="2" t="s">
        <v>4326</v>
      </c>
      <c r="I347" s="2" t="s">
        <v>4327</v>
      </c>
      <c r="J347" s="2" t="s">
        <v>4328</v>
      </c>
      <c r="K347" s="2" t="s">
        <v>4329</v>
      </c>
      <c r="L347" s="2" t="s">
        <v>2698</v>
      </c>
      <c r="M347" s="2"/>
      <c r="N347" s="2"/>
      <c r="O347" s="3"/>
      <c r="P347" s="2" t="s">
        <v>2205</v>
      </c>
      <c r="Q347" s="2" t="s">
        <v>4330</v>
      </c>
      <c r="R347" s="2" t="s">
        <v>81</v>
      </c>
      <c r="S347" s="2"/>
      <c r="T347" s="3" t="s">
        <v>82</v>
      </c>
      <c r="U347" s="2"/>
      <c r="V347" s="4" t="n">
        <v>9.8</v>
      </c>
      <c r="W347" s="2" t="s">
        <v>2393</v>
      </c>
      <c r="X347" s="2" t="s">
        <v>4331</v>
      </c>
      <c r="Y347" s="2" t="s">
        <v>4332</v>
      </c>
      <c r="Z347" s="2" t="s">
        <v>4333</v>
      </c>
      <c r="AA347" s="2" t="s">
        <v>4334</v>
      </c>
      <c r="AB347" s="2" t="s">
        <v>4335</v>
      </c>
      <c r="AC347" s="2" t="s">
        <v>4336</v>
      </c>
      <c r="AD347" s="2" t="s">
        <v>4337</v>
      </c>
      <c r="AE347" s="3" t="s">
        <v>53</v>
      </c>
    </row>
    <row r="348" customFormat="false" ht="15" hidden="false" customHeight="false" outlineLevel="0" collapsed="false">
      <c r="A348" s="2" t="s">
        <v>4338</v>
      </c>
      <c r="B348" s="2" t="s">
        <v>2129</v>
      </c>
      <c r="C348" s="2" t="s">
        <v>4339</v>
      </c>
      <c r="D348" s="2" t="s">
        <v>2212</v>
      </c>
      <c r="E348" s="2" t="s">
        <v>189</v>
      </c>
      <c r="F348" s="3" t="s">
        <v>86</v>
      </c>
      <c r="G348" s="2" t="s">
        <v>4340</v>
      </c>
      <c r="H348" s="2" t="s">
        <v>4341</v>
      </c>
      <c r="I348" s="2" t="s">
        <v>4342</v>
      </c>
      <c r="J348" s="2" t="s">
        <v>4343</v>
      </c>
      <c r="K348" s="2" t="s">
        <v>4344</v>
      </c>
      <c r="L348" s="2" t="s">
        <v>2759</v>
      </c>
      <c r="M348" s="2"/>
      <c r="N348" s="2"/>
      <c r="O348" s="3"/>
      <c r="P348" s="2" t="s">
        <v>4345</v>
      </c>
      <c r="Q348" s="2" t="s">
        <v>133</v>
      </c>
      <c r="R348" s="2" t="s">
        <v>134</v>
      </c>
      <c r="S348" s="2"/>
      <c r="T348" s="3" t="s">
        <v>82</v>
      </c>
      <c r="U348" s="2"/>
      <c r="V348" s="4" t="n">
        <v>9.3</v>
      </c>
      <c r="W348" s="2" t="s">
        <v>4234</v>
      </c>
      <c r="X348" s="2" t="s">
        <v>4346</v>
      </c>
      <c r="Y348" s="2" t="s">
        <v>4347</v>
      </c>
      <c r="Z348" s="2" t="s">
        <v>4348</v>
      </c>
      <c r="AA348" s="2" t="s">
        <v>4349</v>
      </c>
      <c r="AB348" s="2" t="s">
        <v>4350</v>
      </c>
      <c r="AC348" s="2" t="s">
        <v>4351</v>
      </c>
      <c r="AD348" s="2" t="s">
        <v>4352</v>
      </c>
      <c r="AE348" s="3" t="s">
        <v>53</v>
      </c>
    </row>
    <row r="349" customFormat="false" ht="15" hidden="false" customHeight="false" outlineLevel="0" collapsed="false">
      <c r="A349" s="2" t="s">
        <v>4353</v>
      </c>
      <c r="B349" s="2" t="s">
        <v>2129</v>
      </c>
      <c r="C349" s="2" t="s">
        <v>4354</v>
      </c>
      <c r="D349" s="2" t="s">
        <v>2212</v>
      </c>
      <c r="E349" s="2" t="s">
        <v>70</v>
      </c>
      <c r="F349" s="3" t="s">
        <v>86</v>
      </c>
      <c r="G349" s="2" t="s">
        <v>4355</v>
      </c>
      <c r="H349" s="2" t="s">
        <v>4356</v>
      </c>
      <c r="I349" s="2" t="s">
        <v>4357</v>
      </c>
      <c r="J349" s="2" t="s">
        <v>4358</v>
      </c>
      <c r="K349" s="2" t="s">
        <v>4359</v>
      </c>
      <c r="L349" s="2" t="s">
        <v>348</v>
      </c>
      <c r="M349" s="2"/>
      <c r="N349" s="2"/>
      <c r="O349" s="3"/>
      <c r="P349" s="2" t="s">
        <v>4360</v>
      </c>
      <c r="Q349" s="2" t="s">
        <v>4361</v>
      </c>
      <c r="R349" s="2" t="s">
        <v>285</v>
      </c>
      <c r="S349" s="2"/>
      <c r="T349" s="3" t="s">
        <v>82</v>
      </c>
      <c r="U349" s="2"/>
      <c r="V349" s="4" t="n">
        <v>9.4</v>
      </c>
      <c r="W349" s="2" t="s">
        <v>4290</v>
      </c>
      <c r="X349" s="2" t="s">
        <v>4362</v>
      </c>
      <c r="Y349" s="2" t="s">
        <v>4363</v>
      </c>
      <c r="Z349" s="2" t="s">
        <v>4364</v>
      </c>
      <c r="AA349" s="2" t="s">
        <v>4365</v>
      </c>
      <c r="AB349" s="2" t="s">
        <v>4366</v>
      </c>
      <c r="AC349" s="2" t="s">
        <v>4367</v>
      </c>
      <c r="AD349" s="2" t="s">
        <v>4368</v>
      </c>
      <c r="AE349" s="3" t="s">
        <v>53</v>
      </c>
    </row>
    <row r="350" customFormat="false" ht="15" hidden="false" customHeight="false" outlineLevel="0" collapsed="false">
      <c r="A350" s="2" t="s">
        <v>4369</v>
      </c>
      <c r="B350" s="2" t="s">
        <v>2129</v>
      </c>
      <c r="C350" s="2" t="s">
        <v>4370</v>
      </c>
      <c r="D350" s="2" t="s">
        <v>2212</v>
      </c>
      <c r="E350" s="2" t="s">
        <v>70</v>
      </c>
      <c r="F350" s="3" t="s">
        <v>86</v>
      </c>
      <c r="G350" s="2" t="s">
        <v>4371</v>
      </c>
      <c r="H350" s="2" t="s">
        <v>4372</v>
      </c>
      <c r="I350" s="2" t="s">
        <v>4373</v>
      </c>
      <c r="J350" s="2" t="s">
        <v>4374</v>
      </c>
      <c r="K350" s="2" t="s">
        <v>4375</v>
      </c>
      <c r="L350" s="2" t="s">
        <v>2698</v>
      </c>
      <c r="M350" s="2"/>
      <c r="N350" s="2"/>
      <c r="O350" s="3"/>
      <c r="P350" s="2" t="s">
        <v>94</v>
      </c>
      <c r="Q350" s="2" t="s">
        <v>4376</v>
      </c>
      <c r="R350" s="2" t="s">
        <v>285</v>
      </c>
      <c r="S350" s="2"/>
      <c r="T350" s="3" t="s">
        <v>82</v>
      </c>
      <c r="U350" s="2"/>
      <c r="V350" s="4" t="n">
        <v>10</v>
      </c>
      <c r="W350" s="2" t="s">
        <v>2654</v>
      </c>
      <c r="X350" s="2" t="s">
        <v>4377</v>
      </c>
      <c r="Y350" s="2" t="s">
        <v>4378</v>
      </c>
      <c r="Z350" s="2" t="s">
        <v>4379</v>
      </c>
      <c r="AA350" s="2" t="s">
        <v>4380</v>
      </c>
      <c r="AB350" s="2" t="s">
        <v>4335</v>
      </c>
      <c r="AC350" s="2" t="s">
        <v>4381</v>
      </c>
      <c r="AD350" s="2" t="s">
        <v>4382</v>
      </c>
      <c r="AE350" s="3" t="s">
        <v>53</v>
      </c>
    </row>
  </sheetData>
  <autoFilter ref="A1:AE3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70"/>
    <col collapsed="false" customWidth="true" hidden="false" outlineLevel="0" max="3" min="3" style="0" width="110"/>
  </cols>
  <sheetData>
    <row r="1" customFormat="false" ht="15" hidden="false" customHeight="false" outlineLevel="0" collapsed="false">
      <c r="A1" s="5" t="s">
        <v>4383</v>
      </c>
    </row>
    <row r="3" customFormat="false" ht="15" hidden="false" customHeight="false" outlineLevel="0" collapsed="false">
      <c r="A3" s="6" t="s">
        <v>4384</v>
      </c>
      <c r="B3" s="6" t="s">
        <v>4385</v>
      </c>
      <c r="C3" s="6" t="s">
        <v>4386</v>
      </c>
    </row>
    <row r="4" customFormat="false" ht="48" hidden="false" customHeight="true" outlineLevel="0" collapsed="false">
      <c r="A4" s="5" t="s">
        <v>0</v>
      </c>
      <c r="B4" s="7" t="s">
        <v>4387</v>
      </c>
      <c r="C4" s="7" t="s">
        <v>4388</v>
      </c>
    </row>
    <row r="5" customFormat="false" ht="48" hidden="false" customHeight="true" outlineLevel="0" collapsed="false">
      <c r="A5" s="5" t="s">
        <v>1</v>
      </c>
      <c r="B5" s="7" t="s">
        <v>4389</v>
      </c>
      <c r="C5" s="7" t="s">
        <v>4390</v>
      </c>
    </row>
    <row r="6" customFormat="false" ht="48" hidden="false" customHeight="true" outlineLevel="0" collapsed="false">
      <c r="A6" s="5" t="s">
        <v>2</v>
      </c>
      <c r="B6" s="7" t="s">
        <v>4391</v>
      </c>
      <c r="C6" s="7" t="s">
        <v>4392</v>
      </c>
    </row>
    <row r="7" customFormat="false" ht="48" hidden="false" customHeight="true" outlineLevel="0" collapsed="false">
      <c r="A7" s="5" t="s">
        <v>3</v>
      </c>
      <c r="B7" s="7" t="s">
        <v>4393</v>
      </c>
      <c r="C7" s="7" t="s">
        <v>4394</v>
      </c>
    </row>
    <row r="8" customFormat="false" ht="48" hidden="false" customHeight="true" outlineLevel="0" collapsed="false">
      <c r="A8" s="5" t="s">
        <v>4</v>
      </c>
      <c r="B8" s="7" t="s">
        <v>4395</v>
      </c>
      <c r="C8" s="7" t="s">
        <v>4396</v>
      </c>
    </row>
    <row r="9" customFormat="false" ht="48" hidden="false" customHeight="true" outlineLevel="0" collapsed="false">
      <c r="A9" s="5" t="s">
        <v>5</v>
      </c>
      <c r="B9" s="7" t="s">
        <v>4397</v>
      </c>
      <c r="C9" s="7" t="s">
        <v>4398</v>
      </c>
    </row>
    <row r="10" customFormat="false" ht="48" hidden="false" customHeight="true" outlineLevel="0" collapsed="false">
      <c r="A10" s="5" t="s">
        <v>4399</v>
      </c>
      <c r="B10" s="7" t="s">
        <v>4400</v>
      </c>
      <c r="C10" s="7" t="s">
        <v>4401</v>
      </c>
    </row>
    <row r="11" customFormat="false" ht="48" hidden="false" customHeight="true" outlineLevel="0" collapsed="false">
      <c r="A11" s="5" t="s">
        <v>11</v>
      </c>
      <c r="B11" s="7" t="s">
        <v>4402</v>
      </c>
      <c r="C11" s="7" t="s">
        <v>4403</v>
      </c>
    </row>
    <row r="12" customFormat="false" ht="48" hidden="false" customHeight="true" outlineLevel="0" collapsed="false">
      <c r="A12" s="5" t="s">
        <v>12</v>
      </c>
      <c r="B12" s="7" t="s">
        <v>4404</v>
      </c>
      <c r="C12" s="7" t="s">
        <v>4405</v>
      </c>
    </row>
    <row r="13" customFormat="false" ht="48" hidden="false" customHeight="true" outlineLevel="0" collapsed="false">
      <c r="A13" s="5" t="s">
        <v>13</v>
      </c>
      <c r="B13" s="7" t="s">
        <v>4406</v>
      </c>
      <c r="C13" s="7" t="s">
        <v>4407</v>
      </c>
    </row>
    <row r="14" customFormat="false" ht="48" hidden="false" customHeight="true" outlineLevel="0" collapsed="false">
      <c r="A14" s="5" t="s">
        <v>14</v>
      </c>
      <c r="B14" s="7" t="s">
        <v>4408</v>
      </c>
      <c r="C14" s="7" t="s">
        <v>4409</v>
      </c>
    </row>
    <row r="15" customFormat="false" ht="48" hidden="false" customHeight="true" outlineLevel="0" collapsed="false">
      <c r="A15" s="5" t="s">
        <v>15</v>
      </c>
      <c r="B15" s="7" t="s">
        <v>4410</v>
      </c>
      <c r="C15" s="7" t="s">
        <v>4411</v>
      </c>
    </row>
    <row r="16" customFormat="false" ht="48" hidden="false" customHeight="true" outlineLevel="0" collapsed="false">
      <c r="A16" s="5" t="s">
        <v>16</v>
      </c>
      <c r="B16" s="7" t="s">
        <v>4412</v>
      </c>
      <c r="C16" s="7" t="s">
        <v>4413</v>
      </c>
    </row>
    <row r="17" customFormat="false" ht="48" hidden="false" customHeight="true" outlineLevel="0" collapsed="false">
      <c r="A17" s="5" t="s">
        <v>17</v>
      </c>
      <c r="B17" s="7" t="s">
        <v>4414</v>
      </c>
      <c r="C17" s="7" t="s">
        <v>4415</v>
      </c>
    </row>
    <row r="18" customFormat="false" ht="48" hidden="false" customHeight="true" outlineLevel="0" collapsed="false">
      <c r="A18" s="5" t="s">
        <v>18</v>
      </c>
      <c r="B18" s="7" t="s">
        <v>4416</v>
      </c>
      <c r="C18" s="7" t="s">
        <v>4417</v>
      </c>
    </row>
    <row r="19" customFormat="false" ht="48" hidden="false" customHeight="true" outlineLevel="0" collapsed="false">
      <c r="A19" s="5" t="s">
        <v>19</v>
      </c>
      <c r="B19" s="7" t="s">
        <v>4418</v>
      </c>
      <c r="C19" s="7" t="s">
        <v>4419</v>
      </c>
    </row>
    <row r="20" customFormat="false" ht="48" hidden="false" customHeight="true" outlineLevel="0" collapsed="false">
      <c r="A20" s="5" t="s">
        <v>20</v>
      </c>
      <c r="B20" s="7" t="s">
        <v>4420</v>
      </c>
      <c r="C20" s="7" t="s">
        <v>4421</v>
      </c>
    </row>
    <row r="21" customFormat="false" ht="48" hidden="false" customHeight="true" outlineLevel="0" collapsed="false">
      <c r="A21" s="5" t="s">
        <v>4422</v>
      </c>
      <c r="B21" s="7" t="s">
        <v>4423</v>
      </c>
      <c r="C21" s="7" t="s">
        <v>4424</v>
      </c>
    </row>
    <row r="22" customFormat="false" ht="48" hidden="false" customHeight="true" outlineLevel="0" collapsed="false">
      <c r="A22" s="5" t="s">
        <v>4425</v>
      </c>
      <c r="B22" s="7" t="s">
        <v>4426</v>
      </c>
      <c r="C22" s="7" t="s">
        <v>4427</v>
      </c>
    </row>
    <row r="23" customFormat="false" ht="48" hidden="false" customHeight="true" outlineLevel="0" collapsed="false">
      <c r="A23" s="5" t="s">
        <v>25</v>
      </c>
      <c r="B23" s="7" t="s">
        <v>4428</v>
      </c>
      <c r="C23" s="7" t="s">
        <v>4429</v>
      </c>
    </row>
    <row r="24" customFormat="false" ht="48" hidden="false" customHeight="true" outlineLevel="0" collapsed="false">
      <c r="A24" s="5" t="s">
        <v>26</v>
      </c>
      <c r="B24" s="7" t="s">
        <v>4430</v>
      </c>
      <c r="C24" s="7" t="s">
        <v>4431</v>
      </c>
    </row>
    <row r="25" customFormat="false" ht="48" hidden="false" customHeight="true" outlineLevel="0" collapsed="false">
      <c r="A25" s="5" t="s">
        <v>27</v>
      </c>
      <c r="B25" s="7" t="s">
        <v>4432</v>
      </c>
      <c r="C25" s="7" t="s">
        <v>4433</v>
      </c>
    </row>
    <row r="26" customFormat="false" ht="48" hidden="false" customHeight="true" outlineLevel="0" collapsed="false">
      <c r="A26" s="5" t="s">
        <v>28</v>
      </c>
      <c r="B26" s="7" t="s">
        <v>4434</v>
      </c>
      <c r="C26" s="7" t="s">
        <v>4435</v>
      </c>
    </row>
    <row r="27" customFormat="false" ht="48" hidden="false" customHeight="true" outlineLevel="0" collapsed="false">
      <c r="A27" s="5" t="s">
        <v>29</v>
      </c>
      <c r="B27" s="7" t="s">
        <v>4436</v>
      </c>
      <c r="C27" s="7" t="s">
        <v>4437</v>
      </c>
    </row>
    <row r="28" customFormat="false" ht="48" hidden="false" customHeight="true" outlineLevel="0" collapsed="false">
      <c r="A28" s="5" t="s">
        <v>30</v>
      </c>
      <c r="B28" s="7" t="s">
        <v>4438</v>
      </c>
      <c r="C28" s="7" t="s">
        <v>4439</v>
      </c>
    </row>
    <row r="30" customFormat="false" ht="15" hidden="false" customHeight="false" outlineLevel="0" collapsed="false">
      <c r="A30" s="6" t="s">
        <v>4440</v>
      </c>
    </row>
    <row r="31" customFormat="false" ht="31.5" hidden="false" customHeight="true" outlineLevel="0" collapsed="false">
      <c r="A31" s="8" t="s">
        <v>4441</v>
      </c>
      <c r="B31" s="8"/>
      <c r="C31" s="8"/>
    </row>
    <row r="32" customFormat="false" ht="31.5" hidden="false" customHeight="true" outlineLevel="0" collapsed="false">
      <c r="A32" s="8" t="s">
        <v>4442</v>
      </c>
      <c r="B32" s="8"/>
      <c r="C32" s="8"/>
    </row>
    <row r="33" customFormat="false" ht="31.5" hidden="false" customHeight="true" outlineLevel="0" collapsed="false">
      <c r="A33" s="8" t="s">
        <v>4443</v>
      </c>
      <c r="B33" s="8"/>
      <c r="C33" s="8"/>
    </row>
    <row r="34" customFormat="false" ht="31.5" hidden="false" customHeight="true" outlineLevel="0" collapsed="false">
      <c r="A34" s="8" t="s">
        <v>4444</v>
      </c>
      <c r="B34" s="8"/>
      <c r="C34" s="8"/>
    </row>
    <row r="35" customFormat="false" ht="31.5" hidden="false" customHeight="true" outlineLevel="0" collapsed="false">
      <c r="A35" s="8" t="s">
        <v>4445</v>
      </c>
      <c r="B35" s="8"/>
      <c r="C35" s="8"/>
    </row>
    <row r="36" customFormat="false" ht="31.5" hidden="false" customHeight="true" outlineLevel="0" collapsed="false">
      <c r="A36" s="8" t="s">
        <v>4446</v>
      </c>
      <c r="B36" s="8"/>
      <c r="C36" s="8"/>
    </row>
  </sheetData>
  <mergeCells count="6">
    <mergeCell ref="A31:C31"/>
    <mergeCell ref="A32:C32"/>
    <mergeCell ref="A33:C33"/>
    <mergeCell ref="A34:C34"/>
    <mergeCell ref="A35:C35"/>
    <mergeCell ref="A36:C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8"/>
    <col collapsed="false" customWidth="true" hidden="false" outlineLevel="0" max="4" min="4" style="0" width="150"/>
  </cols>
  <sheetData>
    <row r="1" customFormat="false" ht="15" hidden="false" customHeight="false" outlineLevel="0" collapsed="false">
      <c r="A1" s="6" t="s">
        <v>4447</v>
      </c>
      <c r="B1" s="6" t="s">
        <v>4448</v>
      </c>
      <c r="C1" s="6" t="s">
        <v>4449</v>
      </c>
      <c r="D1" s="6" t="s">
        <v>4450</v>
      </c>
    </row>
    <row r="2" customFormat="false" ht="48" hidden="false" customHeight="true" outlineLevel="0" collapsed="false">
      <c r="A2" s="2" t="s">
        <v>4451</v>
      </c>
      <c r="B2" s="2" t="s">
        <v>53</v>
      </c>
      <c r="C2" s="2" t="s">
        <v>4452</v>
      </c>
      <c r="D2" s="7" t="s">
        <v>4453</v>
      </c>
    </row>
    <row r="3" customFormat="false" ht="48" hidden="false" customHeight="true" outlineLevel="0" collapsed="false">
      <c r="A3" s="2" t="s">
        <v>4451</v>
      </c>
      <c r="B3" s="2" t="s">
        <v>53</v>
      </c>
      <c r="C3" s="2" t="s">
        <v>4452</v>
      </c>
      <c r="D3" s="7" t="s">
        <v>4454</v>
      </c>
    </row>
    <row r="4" customFormat="false" ht="48" hidden="false" customHeight="true" outlineLevel="0" collapsed="false">
      <c r="A4" s="2" t="s">
        <v>4451</v>
      </c>
      <c r="B4" s="2" t="s">
        <v>53</v>
      </c>
      <c r="C4" s="2" t="s">
        <v>4455</v>
      </c>
      <c r="D4" s="7" t="s">
        <v>4456</v>
      </c>
    </row>
    <row r="5" customFormat="false" ht="48" hidden="false" customHeight="true" outlineLevel="0" collapsed="false">
      <c r="A5" s="2" t="s">
        <v>4451</v>
      </c>
      <c r="B5" s="2" t="s">
        <v>53</v>
      </c>
      <c r="C5" s="2" t="s">
        <v>4455</v>
      </c>
      <c r="D5" s="7" t="s">
        <v>4457</v>
      </c>
    </row>
    <row r="6" customFormat="false" ht="48" hidden="false" customHeight="true" outlineLevel="0" collapsed="false">
      <c r="A6" s="2" t="s">
        <v>4451</v>
      </c>
      <c r="B6" s="2" t="s">
        <v>53</v>
      </c>
      <c r="C6" s="2" t="s">
        <v>4458</v>
      </c>
      <c r="D6" s="7" t="s">
        <v>4459</v>
      </c>
    </row>
    <row r="7" customFormat="false" ht="48" hidden="false" customHeight="true" outlineLevel="0" collapsed="false">
      <c r="A7" s="2" t="s">
        <v>4451</v>
      </c>
      <c r="B7" s="2" t="s">
        <v>53</v>
      </c>
      <c r="C7" s="2" t="s">
        <v>4458</v>
      </c>
      <c r="D7" s="7" t="s">
        <v>4460</v>
      </c>
    </row>
    <row r="8" customFormat="false" ht="48" hidden="false" customHeight="true" outlineLevel="0" collapsed="false">
      <c r="A8" s="2" t="s">
        <v>4451</v>
      </c>
      <c r="B8" s="2" t="s">
        <v>53</v>
      </c>
      <c r="C8" s="2" t="s">
        <v>4458</v>
      </c>
      <c r="D8" s="7" t="s">
        <v>4461</v>
      </c>
    </row>
    <row r="9" customFormat="false" ht="48" hidden="false" customHeight="true" outlineLevel="0" collapsed="false">
      <c r="A9" s="2" t="s">
        <v>4451</v>
      </c>
      <c r="B9" s="2" t="s">
        <v>53</v>
      </c>
      <c r="C9" s="2" t="s">
        <v>4458</v>
      </c>
      <c r="D9" s="7" t="s">
        <v>4462</v>
      </c>
    </row>
    <row r="10" customFormat="false" ht="48" hidden="false" customHeight="true" outlineLevel="0" collapsed="false">
      <c r="A10" s="2" t="s">
        <v>4451</v>
      </c>
      <c r="B10" s="2" t="s">
        <v>53</v>
      </c>
      <c r="C10" s="2" t="s">
        <v>4463</v>
      </c>
      <c r="D10" s="7" t="s">
        <v>4464</v>
      </c>
    </row>
    <row r="11" customFormat="false" ht="48" hidden="false" customHeight="true" outlineLevel="0" collapsed="false">
      <c r="A11" s="2" t="s">
        <v>4451</v>
      </c>
      <c r="B11" s="2" t="s">
        <v>53</v>
      </c>
      <c r="C11" s="2" t="s">
        <v>4463</v>
      </c>
      <c r="D11" s="7" t="s">
        <v>4465</v>
      </c>
    </row>
    <row r="12" customFormat="false" ht="48" hidden="false" customHeight="true" outlineLevel="0" collapsed="false">
      <c r="A12" s="2" t="s">
        <v>4451</v>
      </c>
      <c r="B12" s="2" t="s">
        <v>53</v>
      </c>
      <c r="C12" s="2" t="s">
        <v>4463</v>
      </c>
      <c r="D12" s="7" t="s">
        <v>4466</v>
      </c>
    </row>
    <row r="13" customFormat="false" ht="48" hidden="false" customHeight="true" outlineLevel="0" collapsed="false">
      <c r="A13" s="2" t="s">
        <v>4451</v>
      </c>
      <c r="B13" s="2" t="s">
        <v>53</v>
      </c>
      <c r="C13" s="2" t="s">
        <v>4467</v>
      </c>
      <c r="D13" s="7" t="s">
        <v>4468</v>
      </c>
    </row>
    <row r="14" customFormat="false" ht="48" hidden="false" customHeight="true" outlineLevel="0" collapsed="false">
      <c r="A14" s="2" t="s">
        <v>4451</v>
      </c>
      <c r="B14" s="2" t="s">
        <v>53</v>
      </c>
      <c r="C14" s="2" t="s">
        <v>4469</v>
      </c>
      <c r="D14" s="7" t="s">
        <v>4470</v>
      </c>
    </row>
    <row r="15" customFormat="false" ht="30" hidden="false" customHeight="true" outlineLevel="0" collapsed="false">
      <c r="A15" s="2" t="s">
        <v>4471</v>
      </c>
      <c r="B15" s="2"/>
      <c r="C15" s="2" t="s">
        <v>4472</v>
      </c>
      <c r="D15" s="7" t="s">
        <v>4473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9" min="2" style="0" width="16"/>
  </cols>
  <sheetData>
    <row r="1" customFormat="false" ht="15" hidden="false" customHeight="false" outlineLevel="0" collapsed="false">
      <c r="A1" s="5" t="s">
        <v>4474</v>
      </c>
    </row>
    <row r="3" customFormat="false" ht="15" hidden="false" customHeight="false" outlineLevel="0" collapsed="false">
      <c r="A3" s="6" t="s">
        <v>1</v>
      </c>
      <c r="B3" s="6" t="s">
        <v>842</v>
      </c>
      <c r="C3" s="6" t="s">
        <v>259</v>
      </c>
      <c r="D3" s="6" t="s">
        <v>101</v>
      </c>
      <c r="E3" s="6" t="s">
        <v>36</v>
      </c>
      <c r="F3" s="6" t="s">
        <v>86</v>
      </c>
      <c r="G3" s="6" t="s">
        <v>4475</v>
      </c>
      <c r="H3" s="6" t="s">
        <v>4476</v>
      </c>
      <c r="I3" s="6" t="s">
        <v>4477</v>
      </c>
    </row>
    <row r="4" customFormat="false" ht="15" hidden="false" customHeight="false" outlineLevel="0" collapsed="false">
      <c r="A4" s="2" t="s">
        <v>32</v>
      </c>
      <c r="B4" s="2" t="n">
        <f aca="false">COUNTIFS('attack-vectors-knowledge-base'!$B:$B,$A4,'attack-vectors-knowledge-base'!$F:$F,B$3)</f>
        <v>0</v>
      </c>
      <c r="C4" s="2" t="n">
        <f aca="false">COUNTIFS('attack-vectors-knowledge-base'!$B:$B,$A4,'attack-vectors-knowledge-base'!$F:$F,C$3)</f>
        <v>8</v>
      </c>
      <c r="D4" s="2" t="n">
        <f aca="false">COUNTIFS('attack-vectors-knowledge-base'!$B:$B,$A4,'attack-vectors-knowledge-base'!$F:$F,D$3)</f>
        <v>24</v>
      </c>
      <c r="E4" s="2" t="n">
        <f aca="false">COUNTIFS('attack-vectors-knowledge-base'!$B:$B,$A4,'attack-vectors-knowledge-base'!$F:$F,E$3)</f>
        <v>22</v>
      </c>
      <c r="F4" s="2" t="n">
        <f aca="false">COUNTIFS('attack-vectors-knowledge-base'!$B:$B,$A4,'attack-vectors-knowledge-base'!$F:$F,F$3)</f>
        <v>37</v>
      </c>
      <c r="G4" s="5" t="n">
        <f aca="false">SUM(B4:F4)</f>
        <v>91</v>
      </c>
      <c r="H4" s="2" t="n">
        <f aca="false">COUNTIFS('attack-vectors-knowledge-base'!$B:$B,$A4,'attack-vectors-knowledge-base'!$D:$D,"Known vulnerability")</f>
        <v>38</v>
      </c>
      <c r="I4" s="2" t="n">
        <f aca="false">COUNTIFS('attack-vectors-knowledge-base'!$B:$B,$A4,'attack-vectors-knowledge-base'!$Z:$Z,"Ja*")</f>
        <v>36</v>
      </c>
    </row>
    <row r="5" customFormat="false" ht="15" hidden="false" customHeight="false" outlineLevel="0" collapsed="false">
      <c r="A5" s="2" t="s">
        <v>716</v>
      </c>
      <c r="B5" s="2" t="n">
        <f aca="false">COUNTIFS('attack-vectors-knowledge-base'!$B:$B,$A5,'attack-vectors-knowledge-base'!$F:$F,B$3)</f>
        <v>0</v>
      </c>
      <c r="C5" s="2" t="n">
        <f aca="false">COUNTIFS('attack-vectors-knowledge-base'!$B:$B,$A5,'attack-vectors-knowledge-base'!$F:$F,C$3)</f>
        <v>0</v>
      </c>
      <c r="D5" s="2" t="n">
        <f aca="false">COUNTIFS('attack-vectors-knowledge-base'!$B:$B,$A5,'attack-vectors-knowledge-base'!$F:$F,D$3)</f>
        <v>7</v>
      </c>
      <c r="E5" s="2" t="n">
        <f aca="false">COUNTIFS('attack-vectors-knowledge-base'!$B:$B,$A5,'attack-vectors-knowledge-base'!$F:$F,E$3)</f>
        <v>5</v>
      </c>
      <c r="F5" s="2" t="n">
        <f aca="false">COUNTIFS('attack-vectors-knowledge-base'!$B:$B,$A5,'attack-vectors-knowledge-base'!$F:$F,F$3)</f>
        <v>0</v>
      </c>
      <c r="G5" s="5" t="n">
        <f aca="false">SUM(B5:F5)</f>
        <v>12</v>
      </c>
      <c r="H5" s="2" t="n">
        <f aca="false">COUNTIFS('attack-vectors-knowledge-base'!$B:$B,$A5,'attack-vectors-knowledge-base'!$D:$D,"Known vulnerability")</f>
        <v>0</v>
      </c>
      <c r="I5" s="2" t="n">
        <f aca="false">COUNTIFS('attack-vectors-knowledge-base'!$B:$B,$A5,'attack-vectors-knowledge-base'!$Z:$Z,"Ja*")</f>
        <v>0</v>
      </c>
    </row>
    <row r="6" customFormat="false" ht="15" hidden="false" customHeight="false" outlineLevel="0" collapsed="false">
      <c r="A6" s="2" t="s">
        <v>840</v>
      </c>
      <c r="B6" s="2" t="n">
        <f aca="false">COUNTIFS('attack-vectors-knowledge-base'!$B:$B,$A6,'attack-vectors-knowledge-base'!$F:$F,B$3)</f>
        <v>1</v>
      </c>
      <c r="C6" s="2" t="n">
        <f aca="false">COUNTIFS('attack-vectors-knowledge-base'!$B:$B,$A6,'attack-vectors-knowledge-base'!$F:$F,C$3)</f>
        <v>0</v>
      </c>
      <c r="D6" s="2" t="n">
        <f aca="false">COUNTIFS('attack-vectors-knowledge-base'!$B:$B,$A6,'attack-vectors-knowledge-base'!$F:$F,D$3)</f>
        <v>9</v>
      </c>
      <c r="E6" s="2" t="n">
        <f aca="false">COUNTIFS('attack-vectors-knowledge-base'!$B:$B,$A6,'attack-vectors-knowledge-base'!$F:$F,E$3)</f>
        <v>20</v>
      </c>
      <c r="F6" s="2" t="n">
        <f aca="false">COUNTIFS('attack-vectors-knowledge-base'!$B:$B,$A6,'attack-vectors-knowledge-base'!$F:$F,F$3)</f>
        <v>18</v>
      </c>
      <c r="G6" s="5" t="n">
        <f aca="false">SUM(B6:F6)</f>
        <v>48</v>
      </c>
      <c r="H6" s="2" t="n">
        <f aca="false">COUNTIFS('attack-vectors-knowledge-base'!$B:$B,$A6,'attack-vectors-knowledge-base'!$D:$D,"Known vulnerability")</f>
        <v>25</v>
      </c>
      <c r="I6" s="2" t="n">
        <f aca="false">COUNTIFS('attack-vectors-knowledge-base'!$B:$B,$A6,'attack-vectors-knowledge-base'!$Z:$Z,"Ja*")</f>
        <v>22</v>
      </c>
    </row>
    <row r="7" customFormat="false" ht="15" hidden="false" customHeight="false" outlineLevel="0" collapsed="false">
      <c r="A7" s="2" t="s">
        <v>1091</v>
      </c>
      <c r="B7" s="2" t="n">
        <f aca="false">COUNTIFS('attack-vectors-knowledge-base'!$B:$B,$A7,'attack-vectors-knowledge-base'!$F:$F,B$3)</f>
        <v>1</v>
      </c>
      <c r="C7" s="2" t="n">
        <f aca="false">COUNTIFS('attack-vectors-knowledge-base'!$B:$B,$A7,'attack-vectors-knowledge-base'!$F:$F,C$3)</f>
        <v>1</v>
      </c>
      <c r="D7" s="2" t="n">
        <f aca="false">COUNTIFS('attack-vectors-knowledge-base'!$B:$B,$A7,'attack-vectors-knowledge-base'!$F:$F,D$3)</f>
        <v>2</v>
      </c>
      <c r="E7" s="2" t="n">
        <f aca="false">COUNTIFS('attack-vectors-knowledge-base'!$B:$B,$A7,'attack-vectors-knowledge-base'!$F:$F,E$3)</f>
        <v>6</v>
      </c>
      <c r="F7" s="2" t="n">
        <f aca="false">COUNTIFS('attack-vectors-knowledge-base'!$B:$B,$A7,'attack-vectors-knowledge-base'!$F:$F,F$3)</f>
        <v>44</v>
      </c>
      <c r="G7" s="5" t="n">
        <f aca="false">SUM(B7:F7)</f>
        <v>54</v>
      </c>
      <c r="H7" s="2" t="n">
        <f aca="false">COUNTIFS('attack-vectors-knowledge-base'!$B:$B,$A7,'attack-vectors-knowledge-base'!$D:$D,"Known vulnerability")</f>
        <v>47</v>
      </c>
      <c r="I7" s="2" t="n">
        <f aca="false">COUNTIFS('attack-vectors-knowledge-base'!$B:$B,$A7,'attack-vectors-knowledge-base'!$Z:$Z,"Ja*")</f>
        <v>47</v>
      </c>
    </row>
    <row r="8" customFormat="false" ht="15" hidden="false" customHeight="false" outlineLevel="0" collapsed="false">
      <c r="A8" s="2" t="s">
        <v>861</v>
      </c>
      <c r="B8" s="2" t="n">
        <f aca="false">COUNTIFS('attack-vectors-knowledge-base'!$B:$B,$A8,'attack-vectors-knowledge-base'!$F:$F,B$3)</f>
        <v>1</v>
      </c>
      <c r="C8" s="2" t="n">
        <f aca="false">COUNTIFS('attack-vectors-knowledge-base'!$B:$B,$A8,'attack-vectors-knowledge-base'!$F:$F,C$3)</f>
        <v>0</v>
      </c>
      <c r="D8" s="2" t="n">
        <f aca="false">COUNTIFS('attack-vectors-knowledge-base'!$B:$B,$A8,'attack-vectors-knowledge-base'!$F:$F,D$3)</f>
        <v>6</v>
      </c>
      <c r="E8" s="2" t="n">
        <f aca="false">COUNTIFS('attack-vectors-knowledge-base'!$B:$B,$A8,'attack-vectors-knowledge-base'!$F:$F,E$3)</f>
        <v>27</v>
      </c>
      <c r="F8" s="2" t="n">
        <f aca="false">COUNTIFS('attack-vectors-knowledge-base'!$B:$B,$A8,'attack-vectors-knowledge-base'!$F:$F,F$3)</f>
        <v>4</v>
      </c>
      <c r="G8" s="5" t="n">
        <f aca="false">SUM(B8:F8)</f>
        <v>38</v>
      </c>
      <c r="H8" s="2" t="n">
        <f aca="false">COUNTIFS('attack-vectors-knowledge-base'!$B:$B,$A8,'attack-vectors-knowledge-base'!$D:$D,"Known vulnerability")</f>
        <v>11</v>
      </c>
      <c r="I8" s="2" t="n">
        <f aca="false">COUNTIFS('attack-vectors-knowledge-base'!$B:$B,$A8,'attack-vectors-knowledge-base'!$Z:$Z,"Ja*")</f>
        <v>8</v>
      </c>
    </row>
    <row r="9" customFormat="false" ht="15" hidden="false" customHeight="false" outlineLevel="0" collapsed="false">
      <c r="A9" s="2" t="s">
        <v>1459</v>
      </c>
      <c r="B9" s="2" t="n">
        <f aca="false">COUNTIFS('attack-vectors-knowledge-base'!$B:$B,$A9,'attack-vectors-knowledge-base'!$F:$F,B$3)</f>
        <v>1</v>
      </c>
      <c r="C9" s="2" t="n">
        <f aca="false">COUNTIFS('attack-vectors-knowledge-base'!$B:$B,$A9,'attack-vectors-knowledge-base'!$F:$F,C$3)</f>
        <v>0</v>
      </c>
      <c r="D9" s="2" t="n">
        <f aca="false">COUNTIFS('attack-vectors-knowledge-base'!$B:$B,$A9,'attack-vectors-knowledge-base'!$F:$F,D$3)</f>
        <v>3</v>
      </c>
      <c r="E9" s="2" t="n">
        <f aca="false">COUNTIFS('attack-vectors-knowledge-base'!$B:$B,$A9,'attack-vectors-knowledge-base'!$F:$F,E$3)</f>
        <v>18</v>
      </c>
      <c r="F9" s="2" t="n">
        <f aca="false">COUNTIFS('attack-vectors-knowledge-base'!$B:$B,$A9,'attack-vectors-knowledge-base'!$F:$F,F$3)</f>
        <v>4</v>
      </c>
      <c r="G9" s="5" t="n">
        <f aca="false">SUM(B9:F9)</f>
        <v>26</v>
      </c>
      <c r="H9" s="2" t="n">
        <f aca="false">COUNTIFS('attack-vectors-knowledge-base'!$B:$B,$A9,'attack-vectors-knowledge-base'!$D:$D,"Known vulnerability")</f>
        <v>7</v>
      </c>
      <c r="I9" s="2" t="n">
        <f aca="false">COUNTIFS('attack-vectors-knowledge-base'!$B:$B,$A9,'attack-vectors-knowledge-base'!$Z:$Z,"Ja*")</f>
        <v>3</v>
      </c>
    </row>
    <row r="10" customFormat="false" ht="15" hidden="false" customHeight="false" outlineLevel="0" collapsed="false">
      <c r="A10" s="2" t="s">
        <v>1667</v>
      </c>
      <c r="B10" s="2" t="n">
        <f aca="false">COUNTIFS('attack-vectors-knowledge-base'!$B:$B,$A10,'attack-vectors-knowledge-base'!$F:$F,B$3)</f>
        <v>0</v>
      </c>
      <c r="C10" s="2" t="n">
        <f aca="false">COUNTIFS('attack-vectors-knowledge-base'!$B:$B,$A10,'attack-vectors-knowledge-base'!$F:$F,C$3)</f>
        <v>1</v>
      </c>
      <c r="D10" s="2" t="n">
        <f aca="false">COUNTIFS('attack-vectors-knowledge-base'!$B:$B,$A10,'attack-vectors-knowledge-base'!$F:$F,D$3)</f>
        <v>8</v>
      </c>
      <c r="E10" s="2" t="n">
        <f aca="false">COUNTIFS('attack-vectors-knowledge-base'!$B:$B,$A10,'attack-vectors-knowledge-base'!$F:$F,E$3)</f>
        <v>2</v>
      </c>
      <c r="F10" s="2" t="n">
        <f aca="false">COUNTIFS('attack-vectors-knowledge-base'!$B:$B,$A10,'attack-vectors-knowledge-base'!$F:$F,F$3)</f>
        <v>0</v>
      </c>
      <c r="G10" s="5" t="n">
        <f aca="false">SUM(B10:F10)</f>
        <v>11</v>
      </c>
      <c r="H10" s="2" t="n">
        <f aca="false">COUNTIFS('attack-vectors-knowledge-base'!$B:$B,$A10,'attack-vectors-knowledge-base'!$D:$D,"Known vulnerability")</f>
        <v>0</v>
      </c>
      <c r="I10" s="2" t="n">
        <f aca="false">COUNTIFS('attack-vectors-knowledge-base'!$B:$B,$A10,'attack-vectors-knowledge-base'!$Z:$Z,"Ja*")</f>
        <v>0</v>
      </c>
    </row>
    <row r="11" customFormat="false" ht="15" hidden="false" customHeight="false" outlineLevel="0" collapsed="false">
      <c r="A11" s="2" t="s">
        <v>1779</v>
      </c>
      <c r="B11" s="2" t="n">
        <f aca="false">COUNTIFS('attack-vectors-knowledge-base'!$B:$B,$A11,'attack-vectors-knowledge-base'!$F:$F,B$3)</f>
        <v>0</v>
      </c>
      <c r="C11" s="2" t="n">
        <f aca="false">COUNTIFS('attack-vectors-knowledge-base'!$B:$B,$A11,'attack-vectors-knowledge-base'!$F:$F,C$3)</f>
        <v>1</v>
      </c>
      <c r="D11" s="2" t="n">
        <f aca="false">COUNTIFS('attack-vectors-knowledge-base'!$B:$B,$A11,'attack-vectors-knowledge-base'!$F:$F,D$3)</f>
        <v>2</v>
      </c>
      <c r="E11" s="2" t="n">
        <f aca="false">COUNTIFS('attack-vectors-knowledge-base'!$B:$B,$A11,'attack-vectors-knowledge-base'!$F:$F,E$3)</f>
        <v>6</v>
      </c>
      <c r="F11" s="2" t="n">
        <f aca="false">COUNTIFS('attack-vectors-knowledge-base'!$B:$B,$A11,'attack-vectors-knowledge-base'!$F:$F,F$3)</f>
        <v>0</v>
      </c>
      <c r="G11" s="5" t="n">
        <f aca="false">SUM(B11:F11)</f>
        <v>9</v>
      </c>
      <c r="H11" s="2" t="n">
        <f aca="false">COUNTIFS('attack-vectors-knowledge-base'!$B:$B,$A11,'attack-vectors-knowledge-base'!$D:$D,"Known vulnerability")</f>
        <v>0</v>
      </c>
      <c r="I11" s="2" t="n">
        <f aca="false">COUNTIFS('attack-vectors-knowledge-base'!$B:$B,$A11,'attack-vectors-knowledge-base'!$Z:$Z,"Ja*")</f>
        <v>0</v>
      </c>
    </row>
    <row r="12" customFormat="false" ht="15" hidden="false" customHeight="false" outlineLevel="0" collapsed="false">
      <c r="A12" s="2" t="s">
        <v>1859</v>
      </c>
      <c r="B12" s="2" t="n">
        <f aca="false">COUNTIFS('attack-vectors-knowledge-base'!$B:$B,$A12,'attack-vectors-knowledge-base'!$F:$F,B$3)</f>
        <v>0</v>
      </c>
      <c r="C12" s="2" t="n">
        <f aca="false">COUNTIFS('attack-vectors-knowledge-base'!$B:$B,$A12,'attack-vectors-knowledge-base'!$F:$F,C$3)</f>
        <v>0</v>
      </c>
      <c r="D12" s="2" t="n">
        <f aca="false">COUNTIFS('attack-vectors-knowledge-base'!$B:$B,$A12,'attack-vectors-knowledge-base'!$F:$F,D$3)</f>
        <v>4</v>
      </c>
      <c r="E12" s="2" t="n">
        <f aca="false">COUNTIFS('attack-vectors-knowledge-base'!$B:$B,$A12,'attack-vectors-knowledge-base'!$F:$F,E$3)</f>
        <v>11</v>
      </c>
      <c r="F12" s="2" t="n">
        <f aca="false">COUNTIFS('attack-vectors-knowledge-base'!$B:$B,$A12,'attack-vectors-knowledge-base'!$F:$F,F$3)</f>
        <v>1</v>
      </c>
      <c r="G12" s="5" t="n">
        <f aca="false">SUM(B12:F12)</f>
        <v>16</v>
      </c>
      <c r="H12" s="2" t="n">
        <f aca="false">COUNTIFS('attack-vectors-knowledge-base'!$B:$B,$A12,'attack-vectors-knowledge-base'!$D:$D,"Known vulnerability")</f>
        <v>5</v>
      </c>
      <c r="I12" s="2" t="n">
        <f aca="false">COUNTIFS('attack-vectors-knowledge-base'!$B:$B,$A12,'attack-vectors-knowledge-base'!$Z:$Z,"Ja*")</f>
        <v>5</v>
      </c>
    </row>
    <row r="13" customFormat="false" ht="15" hidden="false" customHeight="false" outlineLevel="0" collapsed="false">
      <c r="A13" s="2" t="s">
        <v>1967</v>
      </c>
      <c r="B13" s="2" t="n">
        <f aca="false">COUNTIFS('attack-vectors-knowledge-base'!$B:$B,$A13,'attack-vectors-knowledge-base'!$F:$F,B$3)</f>
        <v>0</v>
      </c>
      <c r="C13" s="2" t="n">
        <f aca="false">COUNTIFS('attack-vectors-knowledge-base'!$B:$B,$A13,'attack-vectors-knowledge-base'!$F:$F,C$3)</f>
        <v>1</v>
      </c>
      <c r="D13" s="2" t="n">
        <f aca="false">COUNTIFS('attack-vectors-knowledge-base'!$B:$B,$A13,'attack-vectors-knowledge-base'!$F:$F,D$3)</f>
        <v>7</v>
      </c>
      <c r="E13" s="2" t="n">
        <f aca="false">COUNTIFS('attack-vectors-knowledge-base'!$B:$B,$A13,'attack-vectors-knowledge-base'!$F:$F,E$3)</f>
        <v>1</v>
      </c>
      <c r="F13" s="2" t="n">
        <f aca="false">COUNTIFS('attack-vectors-knowledge-base'!$B:$B,$A13,'attack-vectors-knowledge-base'!$F:$F,F$3)</f>
        <v>0</v>
      </c>
      <c r="G13" s="5" t="n">
        <f aca="false">SUM(B13:F13)</f>
        <v>9</v>
      </c>
      <c r="H13" s="2" t="n">
        <f aca="false">COUNTIFS('attack-vectors-knowledge-base'!$B:$B,$A13,'attack-vectors-knowledge-base'!$D:$D,"Known vulnerability")</f>
        <v>0</v>
      </c>
      <c r="I13" s="2" t="n">
        <f aca="false">COUNTIFS('attack-vectors-knowledge-base'!$B:$B,$A13,'attack-vectors-knowledge-base'!$Z:$Z,"Ja*")</f>
        <v>0</v>
      </c>
    </row>
    <row r="14" customFormat="false" ht="15" hidden="false" customHeight="false" outlineLevel="0" collapsed="false">
      <c r="A14" s="2" t="s">
        <v>2046</v>
      </c>
      <c r="B14" s="2" t="n">
        <f aca="false">COUNTIFS('attack-vectors-knowledge-base'!$B:$B,$A14,'attack-vectors-knowledge-base'!$F:$F,B$3)</f>
        <v>0</v>
      </c>
      <c r="C14" s="2" t="n">
        <f aca="false">COUNTIFS('attack-vectors-knowledge-base'!$B:$B,$A14,'attack-vectors-knowledge-base'!$F:$F,C$3)</f>
        <v>0</v>
      </c>
      <c r="D14" s="2" t="n">
        <f aca="false">COUNTIFS('attack-vectors-knowledge-base'!$B:$B,$A14,'attack-vectors-knowledge-base'!$F:$F,D$3)</f>
        <v>0</v>
      </c>
      <c r="E14" s="2" t="n">
        <f aca="false">COUNTIFS('attack-vectors-knowledge-base'!$B:$B,$A14,'attack-vectors-knowledge-base'!$F:$F,E$3)</f>
        <v>16</v>
      </c>
      <c r="F14" s="2" t="n">
        <f aca="false">COUNTIFS('attack-vectors-knowledge-base'!$B:$B,$A14,'attack-vectors-knowledge-base'!$F:$F,F$3)</f>
        <v>1</v>
      </c>
      <c r="G14" s="5" t="n">
        <f aca="false">SUM(B14:F14)</f>
        <v>17</v>
      </c>
      <c r="H14" s="2" t="n">
        <f aca="false">COUNTIFS('attack-vectors-knowledge-base'!$B:$B,$A14,'attack-vectors-knowledge-base'!$D:$D,"Known vulnerability")</f>
        <v>10</v>
      </c>
      <c r="I14" s="2" t="n">
        <f aca="false">COUNTIFS('attack-vectors-knowledge-base'!$B:$B,$A14,'attack-vectors-knowledge-base'!$Z:$Z,"Ja*")</f>
        <v>10</v>
      </c>
    </row>
    <row r="15" customFormat="false" ht="15" hidden="false" customHeight="false" outlineLevel="0" collapsed="false">
      <c r="A15" s="2" t="s">
        <v>2129</v>
      </c>
      <c r="B15" s="2" t="n">
        <f aca="false">COUNTIFS('attack-vectors-knowledge-base'!$B:$B,$A15,'attack-vectors-knowledge-base'!$F:$F,B$3)</f>
        <v>0</v>
      </c>
      <c r="C15" s="2" t="n">
        <f aca="false">COUNTIFS('attack-vectors-knowledge-base'!$B:$B,$A15,'attack-vectors-knowledge-base'!$F:$F,C$3)</f>
        <v>0</v>
      </c>
      <c r="D15" s="2" t="n">
        <f aca="false">COUNTIFS('attack-vectors-knowledge-base'!$B:$B,$A15,'attack-vectors-knowledge-base'!$F:$F,D$3)</f>
        <v>3</v>
      </c>
      <c r="E15" s="2" t="n">
        <f aca="false">COUNTIFS('attack-vectors-knowledge-base'!$B:$B,$A15,'attack-vectors-knowledge-base'!$F:$F,E$3)</f>
        <v>6</v>
      </c>
      <c r="F15" s="2" t="n">
        <f aca="false">COUNTIFS('attack-vectors-knowledge-base'!$B:$B,$A15,'attack-vectors-knowledge-base'!$F:$F,F$3)</f>
        <v>9</v>
      </c>
      <c r="G15" s="5" t="n">
        <f aca="false">SUM(B15:F15)</f>
        <v>18</v>
      </c>
      <c r="H15" s="2" t="n">
        <f aca="false">COUNTIFS('attack-vectors-knowledge-base'!$B:$B,$A15,'attack-vectors-knowledge-base'!$D:$D,"Known vulnerability")</f>
        <v>11</v>
      </c>
      <c r="I15" s="2" t="n">
        <f aca="false">COUNTIFS('attack-vectors-knowledge-base'!$B:$B,$A15,'attack-vectors-knowledge-base'!$Z:$Z,"Ja*")</f>
        <v>6</v>
      </c>
    </row>
    <row r="16" customFormat="false" ht="15" hidden="false" customHeight="false" outlineLevel="0" collapsed="false">
      <c r="A16" s="6" t="s">
        <v>4475</v>
      </c>
      <c r="B16" s="6" t="n">
        <f aca="false">SUM(B4:B15)</f>
        <v>4</v>
      </c>
      <c r="C16" s="6" t="n">
        <f aca="false">SUM(C4:C15)</f>
        <v>12</v>
      </c>
      <c r="D16" s="6" t="n">
        <f aca="false">SUM(D4:D15)</f>
        <v>75</v>
      </c>
      <c r="E16" s="6" t="n">
        <f aca="false">SUM(E4:E15)</f>
        <v>140</v>
      </c>
      <c r="F16" s="6" t="n">
        <f aca="false">SUM(F4:F15)</f>
        <v>118</v>
      </c>
      <c r="G16" s="6" t="n">
        <f aca="false">SUM(G4:G15)</f>
        <v>349</v>
      </c>
      <c r="H16" s="6" t="n">
        <f aca="false">SUM(H4:H15)</f>
        <v>154</v>
      </c>
      <c r="I16" s="6" t="n">
        <f aca="false">SUM(I4:I15)</f>
        <v>137</v>
      </c>
    </row>
    <row r="18" customFormat="false" ht="15" hidden="false" customHeight="false" outlineLevel="0" collapsed="false">
      <c r="A18" s="5" t="s">
        <v>4478</v>
      </c>
      <c r="B18" s="2" t="n">
        <f aca="false">COUNTA('attack-vectors-knowledge-base'!$A:$A)-1</f>
        <v>349</v>
      </c>
    </row>
    <row r="19" customFormat="false" ht="15" hidden="false" customHeight="false" outlineLevel="0" collapsed="false">
      <c r="A19" s="5" t="s">
        <v>4479</v>
      </c>
      <c r="B19" s="2" t="n">
        <f aca="false">SUMPRODUCT(--(LEFT('attack-vectors-knowledge-base'!$A$2:$A$2000,4)="CVE-"))</f>
        <v>154</v>
      </c>
    </row>
    <row r="20" customFormat="false" ht="15" hidden="false" customHeight="false" outlineLevel="0" collapsed="false">
      <c r="A20" s="5" t="s">
        <v>4480</v>
      </c>
      <c r="B20" s="2" t="n">
        <f aca="false">SUMPRODUCT(--(LEFT('attack-vectors-knowledge-base'!$Z$2:$Z$2000,2)="Ja"))</f>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2026-10-09T10:29:13Z</dcterms:created>
  <dc:creator>openpyxl</dc:creator>
  <dc:description/>
  <dc:language>en-US</dc:language>
  <cp:lastModifiedBy/>
  <dcterms:modified xsi:type="dcterms:W3CDTF">2026-10-09T10:29:13Z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