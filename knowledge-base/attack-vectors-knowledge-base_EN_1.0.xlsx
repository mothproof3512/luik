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ttack-vectors-knowledge-base" sheetId="1" state="visible" r:id="rId3"/>
    <sheet name="Legend" sheetId="2" state="visible" r:id="rId4"/>
    <sheet name="Changelog" sheetId="3" state="visible" r:id="rId5"/>
    <sheet name="Overview" sheetId="4" state="visible" r:id="rId6"/>
  </sheets>
  <definedNames>
    <definedName function="false" hidden="true" localSheetId="0" name="_xlnm._FilterDatabase" vbProcedure="false">'attack-vectors-knowledge-base'!$A$1:$AE$350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<sst xmlns="http://schemas.openxmlformats.org/spreadsheetml/2006/main" count="7916" uniqueCount="4485">
  <si>
    <t xml:space="preserve">ID</t>
  </si>
  <si>
    <t xml:space="preserve">Scope</t>
  </si>
  <si>
    <t xml:space="preserve">Vector</t>
  </si>
  <si>
    <t xml:space="preserve">Category</t>
  </si>
  <si>
    <t xml:space="preserve">Kill_chain_phase</t>
  </si>
  <si>
    <t xml:space="preserve">Severity_default</t>
  </si>
  <si>
    <t xml:space="preserve">Description</t>
  </si>
  <si>
    <t xml:space="preserve">Impact</t>
  </si>
  <si>
    <t xml:space="preserve">Test_approach</t>
  </si>
  <si>
    <t xml:space="preserve">Remediation</t>
  </si>
  <si>
    <t xml:space="preserve">Detection_note</t>
  </si>
  <si>
    <t xml:space="preserve">OWASP_Top10_2025</t>
  </si>
  <si>
    <t xml:space="preserve">OWASP_API_2023</t>
  </si>
  <si>
    <t xml:space="preserve">WSTG</t>
  </si>
  <si>
    <t xml:space="preserve">ASVS_5.0</t>
  </si>
  <si>
    <t xml:space="preserve">MITRE_ATTACK</t>
  </si>
  <si>
    <t xml:space="preserve">CWE</t>
  </si>
  <si>
    <t xml:space="preserve">PayloadsAllTheThings</t>
  </si>
  <si>
    <t xml:space="preserve">OSCP_plus</t>
  </si>
  <si>
    <t xml:space="preserve">CISSP_domain</t>
  </si>
  <si>
    <t xml:space="preserve">Evidence</t>
  </si>
  <si>
    <t xml:space="preserve">CVSS_score</t>
  </si>
  <si>
    <t xml:space="preserve">CVSS_vector</t>
  </si>
  <si>
    <t xml:space="preserve">Affected_versions</t>
  </si>
  <si>
    <t xml:space="preserve">Fixed_in</t>
  </si>
  <si>
    <t xml:space="preserve">CISA_KEV</t>
  </si>
  <si>
    <t xml:space="preserve">Exploit_public</t>
  </si>
  <si>
    <t xml:space="preserve">Related_IDs</t>
  </si>
  <si>
    <t xml:space="preserve">Other_mapping</t>
  </si>
  <si>
    <t xml:space="preserve">References</t>
  </si>
  <si>
    <t xml:space="preserve">Last_updated</t>
  </si>
  <si>
    <t xml:space="preserve">AV-WEB-01</t>
  </si>
  <si>
    <t xml:space="preserve">Web application</t>
  </si>
  <si>
    <t xml:space="preserve">Broken access control / IDOR</t>
  </si>
  <si>
    <t xml:space="preserve">Authorization</t>
  </si>
  <si>
    <t xml:space="preserve">Privilege escalation</t>
  </si>
  <si>
    <t xml:space="preserve">High</t>
  </si>
  <si>
    <t xml:space="preserve">Object references without a server-side authorization check allow access to other users' data.</t>
  </si>
  <si>
    <t xml:space="preserve">Unauthorized access to or manipulation of someone else's records.</t>
  </si>
  <si>
    <t xml:space="preserve">Swap object identifiers and roles and check whether authorization is enforced server-side (see WSTG-ATHZ).</t>
  </si>
  <si>
    <t xml:space="preserve">Enforce authorization centrally per object and per function; use indirect references.</t>
  </si>
  <si>
    <t xml:space="preserve">Log and alert on access to objects outside the user's scope.</t>
  </si>
  <si>
    <t xml:space="preserve">A01:2025</t>
  </si>
  <si>
    <t xml:space="preserve">API1:2023</t>
  </si>
  <si>
    <t xml:space="preserve">WSTG-ATHZ-04</t>
  </si>
  <si>
    <t xml:space="preserve">V8</t>
  </si>
  <si>
    <t xml:space="preserve">T1078</t>
  </si>
  <si>
    <t xml:space="preserve">CWE-639, CWE-284</t>
  </si>
  <si>
    <t xml:space="preserve">Insecure Direct Object References</t>
  </si>
  <si>
    <t xml:space="preserve">Web attacks</t>
  </si>
  <si>
    <t xml:space="preserve">D5</t>
  </si>
  <si>
    <t xml:space="preserve">AV-API-01</t>
  </si>
  <si>
    <t xml:space="preserve">https://owasp.org/www-project-web-security-testing-guide/latest/4-Web_Application_Security_Testing/05-Authorization_Testing/04-Testing_for_Insecure_Direct_Object_References</t>
  </si>
  <si>
    <t xml:space="preserve">2026-10-09</t>
  </si>
  <si>
    <t xml:space="preserve">AV-WEB-02</t>
  </si>
  <si>
    <t xml:space="preserve">Vertical privilege escalation</t>
  </si>
  <si>
    <t xml:space="preserve">A lower-privileged user reaches functions or data intended for higher roles.</t>
  </si>
  <si>
    <t xml:space="preserve">Takeover of admin functionality or sensitive actions.</t>
  </si>
  <si>
    <t xml:space="preserve">Access admin endpoints with a user account and check role enforcement (WSTG-ATHZ).</t>
  </si>
  <si>
    <t xml:space="preserve">Deny-by-default, role check on every function, no reliance on hidden UI.</t>
  </si>
  <si>
    <t xml:space="preserve">Alert on admin actions by non-admin accounts.</t>
  </si>
  <si>
    <t xml:space="preserve">API5:2023</t>
  </si>
  <si>
    <t xml:space="preserve">WSTG-ATHZ-02, WSTG-ATHZ-03</t>
  </si>
  <si>
    <t xml:space="preserve">T1068, T1078</t>
  </si>
  <si>
    <t xml:space="preserve">CWE-269</t>
  </si>
  <si>
    <t xml:space="preserve">Privilege Escalation</t>
  </si>
  <si>
    <t xml:space="preserve">AV-API-05, CVE-2025-29927, CVE-2023-22515</t>
  </si>
  <si>
    <t xml:space="preserve">AV-WEB-03</t>
  </si>
  <si>
    <t xml:space="preserve">SQL injection</t>
  </si>
  <si>
    <t xml:space="preserve">Injection</t>
  </si>
  <si>
    <t xml:space="preserve">Execution</t>
  </si>
  <si>
    <t xml:space="preserve">Untrusted input is interpreted as SQL, making queries manipulable.</t>
  </si>
  <si>
    <t xml:space="preserve">Reading, modifying or deleting database contents; sometimes code execution.</t>
  </si>
  <si>
    <t xml:space="preserve">Test input fields for injection via anomalous behavior and error messages; confirm with a review for parameterized queries (WSTG-INPV).</t>
  </si>
  <si>
    <t xml:space="preserve">Parameterized queries / prepared statements; least-privilege DB accounts.</t>
  </si>
  <si>
    <t xml:space="preserve">WAF and DB anomaly detection for unusual query patterns.</t>
  </si>
  <si>
    <t xml:space="preserve">A05:2025</t>
  </si>
  <si>
    <t xml:space="preserve">WSTG-INPV-05</t>
  </si>
  <si>
    <t xml:space="preserve">V1, V2</t>
  </si>
  <si>
    <t xml:space="preserve">T1190</t>
  </si>
  <si>
    <t xml:space="preserve">CWE-89</t>
  </si>
  <si>
    <t xml:space="preserve">SQL Injection</t>
  </si>
  <si>
    <t xml:space="preserve">D8</t>
  </si>
  <si>
    <t xml:space="preserve">AV-WEB-36, CVE-2023-34362, CVE-2026-9082, CVE-2026-72898</t>
  </si>
  <si>
    <t xml:space="preserve">AV-WEB-04</t>
  </si>
  <si>
    <t xml:space="preserve">Command injection</t>
  </si>
  <si>
    <t xml:space="preserve">Critical</t>
  </si>
  <si>
    <t xml:space="preserve">Input reaches an OS command interpreter and allows execution of system commands.</t>
  </si>
  <si>
    <t xml:space="preserve">Execution of commands on the host, potentially full compromise.</t>
  </si>
  <si>
    <t xml:space="preserve">Identify functions that invoke OS commands and check whether input is sanitized (WSTG-INPV).</t>
  </si>
  <si>
    <t xml:space="preserve">Avoid shell calls; use safe APIs and strict allowlists.</t>
  </si>
  <si>
    <t xml:space="preserve">Monitor for unexpected child processes of web processes.</t>
  </si>
  <si>
    <t xml:space="preserve">WSTG-INPV-12</t>
  </si>
  <si>
    <t xml:space="preserve">V1</t>
  </si>
  <si>
    <t xml:space="preserve">T1190, T1059</t>
  </si>
  <si>
    <t xml:space="preserve">CWE-78</t>
  </si>
  <si>
    <t xml:space="preserve">Command Injection</t>
  </si>
  <si>
    <t xml:space="preserve">AV-HOST-02, CVE-2024-4577, CVE-2014-6271, CVE-2024-3400</t>
  </si>
  <si>
    <t xml:space="preserve">AV-WEB-05</t>
  </si>
  <si>
    <t xml:space="preserve">Reflected XSS</t>
  </si>
  <si>
    <t xml:space="preserve">Injection / client-side</t>
  </si>
  <si>
    <t xml:space="preserve">Medium</t>
  </si>
  <si>
    <t xml:space="preserve">Unencoded input is reflected directly in the response and executed in the browser.</t>
  </si>
  <si>
    <t xml:space="preserve">Script execution in the victim's context; session theft, phishing.</t>
  </si>
  <si>
    <t xml:space="preserve">Check whether reflected input is encoded correctly for its context (WSTG-CLNT).</t>
  </si>
  <si>
    <t xml:space="preserve">Output encoding per context; Content Security Policy as an additional layer.</t>
  </si>
  <si>
    <t xml:space="preserve">Log CSP report endpoints and anomalous URL parameters.</t>
  </si>
  <si>
    <t xml:space="preserve">WSTG-INPV-01</t>
  </si>
  <si>
    <t xml:space="preserve">V1, V3</t>
  </si>
  <si>
    <t xml:space="preserve">T1059.007, T1539</t>
  </si>
  <si>
    <t xml:space="preserve">CWE-79</t>
  </si>
  <si>
    <t xml:space="preserve">XSS Injection</t>
  </si>
  <si>
    <t xml:space="preserve">AV-WEB-41, AV-WEB-42, AV-WEB-19</t>
  </si>
  <si>
    <t xml:space="preserve">AV-WEB-06</t>
  </si>
  <si>
    <t xml:space="preserve">Stored XSS</t>
  </si>
  <si>
    <t xml:space="preserve">Malicious input is stored and later displayed unencoded to other users.</t>
  </si>
  <si>
    <t xml:space="preserve">Wide reach; script runs for every visitor of the affected page.</t>
  </si>
  <si>
    <t xml:space="preserve">Submit marked input and check the encoding when it is displayed elsewhere (WSTG-CLNT).</t>
  </si>
  <si>
    <t xml:space="preserve">Output encoding and input sanitization; CSP.</t>
  </si>
  <si>
    <t xml:space="preserve">Monitor content integrity and CSP violations.</t>
  </si>
  <si>
    <t xml:space="preserve">WSTG-INPV-02</t>
  </si>
  <si>
    <t xml:space="preserve">AV-WEB-41, AV-WEB-05</t>
  </si>
  <si>
    <t xml:space="preserve">AV-WEB-07</t>
  </si>
  <si>
    <t xml:space="preserve">Server-side request forgery (SSRF)</t>
  </si>
  <si>
    <t xml:space="preserve">Access control</t>
  </si>
  <si>
    <t xml:space="preserve">Discovery</t>
  </si>
  <si>
    <t xml:space="preserve">The server is induced to access internal or unintended destinations.</t>
  </si>
  <si>
    <t xml:space="preserve">Access to internal services, metadata endpoints and network reconnaissance.</t>
  </si>
  <si>
    <t xml:space="preserve">Check whether user-controlled URLs are validated server-side against an allowlist (WSTG-INPV).</t>
  </si>
  <si>
    <t xml:space="preserve">Allowlist for destinations; block internal ranges and metadata IPs.</t>
  </si>
  <si>
    <t xml:space="preserve">Egress filtering and alerting on internal calls from app servers.</t>
  </si>
  <si>
    <t xml:space="preserve">WSTG-INPV-19</t>
  </si>
  <si>
    <t xml:space="preserve">V4</t>
  </si>
  <si>
    <t xml:space="preserve">CWE-918</t>
  </si>
  <si>
    <t xml:space="preserve">Server Side Request Forgery</t>
  </si>
  <si>
    <t xml:space="preserve">AV-API-07, AV-CLD-05, CVE-2021-26855, CVE-2026-64849</t>
  </si>
  <si>
    <t xml:space="preserve">AV-WEB-08</t>
  </si>
  <si>
    <t xml:space="preserve">XML external entity (XXE)</t>
  </si>
  <si>
    <t xml:space="preserve">An XML parser processes external entities and allows file or network access.</t>
  </si>
  <si>
    <t xml:space="preserve">Reading local files, SSRF and denial of service.</t>
  </si>
  <si>
    <t xml:space="preserve">Check whether XML parsers disable external entities and DTDs (WSTG-INPV).</t>
  </si>
  <si>
    <t xml:space="preserve">Disable DTD/external entity processing in the parser.</t>
  </si>
  <si>
    <t xml:space="preserve">Alert on outbound calls from XML-processing components.</t>
  </si>
  <si>
    <t xml:space="preserve">WSTG-INPV-07</t>
  </si>
  <si>
    <t xml:space="preserve">CWE-611</t>
  </si>
  <si>
    <t xml:space="preserve">XXE Injection</t>
  </si>
  <si>
    <t xml:space="preserve">AV-WEB-31</t>
  </si>
  <si>
    <t xml:space="preserve">AV-WEB-09</t>
  </si>
  <si>
    <t xml:space="preserve">Insecure deserialization</t>
  </si>
  <si>
    <t xml:space="preserve">Integrity</t>
  </si>
  <si>
    <t xml:space="preserve">Untrusted serialized data is processed without an integrity check.</t>
  </si>
  <si>
    <t xml:space="preserve">Object injection up to and including remote code execution.</t>
  </si>
  <si>
    <t xml:space="preserve">Identify deserialization points and check for integrity/type checks (WSTG-INPV).</t>
  </si>
  <si>
    <t xml:space="preserve">Avoid native deserialization of untrusted data; use signed formats.</t>
  </si>
  <si>
    <t xml:space="preserve">Monitor for deserialization errors and unexpected object types.</t>
  </si>
  <si>
    <t xml:space="preserve">A08:2025</t>
  </si>
  <si>
    <t xml:space="preserve">WSTG-INPV (no specific test)</t>
  </si>
  <si>
    <t xml:space="preserve">CWE-502</t>
  </si>
  <si>
    <t xml:space="preserve">Insecure Deserialization</t>
  </si>
  <si>
    <t xml:space="preserve">CVE-2025-53770, CVE-2025-55182, CVE-2023-46604, CVE-2019-18935, CVE-2025-59287</t>
  </si>
  <si>
    <t xml:space="preserve">AV-WEB-10</t>
  </si>
  <si>
    <t xml:space="preserve">Unrestricted file upload</t>
  </si>
  <si>
    <t xml:space="preserve">File handling</t>
  </si>
  <si>
    <t xml:space="preserve">Uploads are insufficiently validated for type, content and storage location.</t>
  </si>
  <si>
    <t xml:space="preserve">Placement of executable files; possible code execution.</t>
  </si>
  <si>
    <t xml:space="preserve">Check server-side validation of type/content and whether storage is outside the webroot (WSTG-BUSL/INPV).</t>
  </si>
  <si>
    <t xml:space="preserve">Validate content, rename files, store outside the webroot, block execution.</t>
  </si>
  <si>
    <t xml:space="preserve">Monitor upload directories for executable files.</t>
  </si>
  <si>
    <t xml:space="preserve">WSTG-BUSL-08, WSTG-BUSL-09</t>
  </si>
  <si>
    <t xml:space="preserve">V5</t>
  </si>
  <si>
    <t xml:space="preserve">T1190, T1505.003</t>
  </si>
  <si>
    <t xml:space="preserve">CWE-434</t>
  </si>
  <si>
    <t xml:space="preserve">Upload Insecure Files</t>
  </si>
  <si>
    <t xml:space="preserve">CVE-2025-31324, CVE-2020-14008, CVE-2021-21972</t>
  </si>
  <si>
    <t xml:space="preserve">AV-WEB-11</t>
  </si>
  <si>
    <t xml:space="preserve">Path traversal / LFI / RFI</t>
  </si>
  <si>
    <t xml:space="preserve">Path manipulation gives access to files outside the intended directory.</t>
  </si>
  <si>
    <t xml:space="preserve">Reading sensitive files; sometimes inclusion and execution.</t>
  </si>
  <si>
    <t xml:space="preserve">Check whether file paths are normalized and restricted server-side (WSTG-ATHZ).</t>
  </si>
  <si>
    <t xml:space="preserve">Canonicalize paths, use allowlists, avoid user input in paths.</t>
  </si>
  <si>
    <t xml:space="preserve">Alert on traversal patterns in file requests.</t>
  </si>
  <si>
    <t xml:space="preserve">WSTG-ATHZ-01</t>
  </si>
  <si>
    <t xml:space="preserve">T1190, T1083</t>
  </si>
  <si>
    <t xml:space="preserve">CWE-22, CWE-98</t>
  </si>
  <si>
    <t xml:space="preserve">Directory Traversal / File Inclusion</t>
  </si>
  <si>
    <t xml:space="preserve">CVE-2021-41773, CVE-2021-43798, CVE-2018-13379, CVE-2019-19781</t>
  </si>
  <si>
    <t xml:space="preserve">AV-WEB-12</t>
  </si>
  <si>
    <t xml:space="preserve">Authentication weaknesses</t>
  </si>
  <si>
    <t xml:space="preserve">Authentication</t>
  </si>
  <si>
    <t xml:space="preserve">Credential access</t>
  </si>
  <si>
    <t xml:space="preserve">Weak login mechanisms allow brute force, credential stuffing or bypass.</t>
  </si>
  <si>
    <t xml:space="preserve">Account takeover and unauthorized access.</t>
  </si>
  <si>
    <t xml:space="preserve">Check lockout, rate limiting, MFA and reset flows (WSTG-ATHN).</t>
  </si>
  <si>
    <t xml:space="preserve">Strong MFA, rate limiting, secure reset flows, credential screening.</t>
  </si>
  <si>
    <t xml:space="preserve">Alert on login anomalies and spikes in failed logins.</t>
  </si>
  <si>
    <t xml:space="preserve">A07:2025</t>
  </si>
  <si>
    <t xml:space="preserve">API2:2023</t>
  </si>
  <si>
    <t xml:space="preserve">WSTG-ATHN-03, WSTG-ATHN-07, WSTG-ATHN-09</t>
  </si>
  <si>
    <t xml:space="preserve">V6</t>
  </si>
  <si>
    <t xml:space="preserve">T1110, T1078</t>
  </si>
  <si>
    <t xml:space="preserve">CWE-307, CWE-521</t>
  </si>
  <si>
    <t xml:space="preserve">Account Takeover</t>
  </si>
  <si>
    <t xml:space="preserve">AV-WEB-43, AV-WEB-44, AV-WEB-45, AV-WEB-46, AV-API-02</t>
  </si>
  <si>
    <t xml:space="preserve">AV-WEB-13</t>
  </si>
  <si>
    <t xml:space="preserve">Session management flaws</t>
  </si>
  <si>
    <t xml:space="preserve">Session</t>
  </si>
  <si>
    <t xml:space="preserve">Weak session tokens, fixation or missing invalidation undermine session security.</t>
  </si>
  <si>
    <t xml:space="preserve">Session hijacking and persistent unauthorized access.</t>
  </si>
  <si>
    <t xml:space="preserve">Check token entropy, rotation at login, and logout/timeout invalidation (WSTG-SESS).</t>
  </si>
  <si>
    <t xml:space="preserve">Secure cookie attributes, rotation after auth, correct invalidation.</t>
  </si>
  <si>
    <t xml:space="preserve">Detect concurrent use of sessions from multiple locations.</t>
  </si>
  <si>
    <t xml:space="preserve">WSTG-SESS-01, WSTG-SESS-03, WSTG-SESS-06, WSTG-SESS-07</t>
  </si>
  <si>
    <t xml:space="preserve">V7</t>
  </si>
  <si>
    <t xml:space="preserve">T1539, T1550.004</t>
  </si>
  <si>
    <t xml:space="preserve">CWE-384, CWE-613</t>
  </si>
  <si>
    <t xml:space="preserve">Session Management</t>
  </si>
  <si>
    <t xml:space="preserve">AV-WEB-47, AV-WEB-53, CVE-2023-4966</t>
  </si>
  <si>
    <t xml:space="preserve">AV-WEB-14</t>
  </si>
  <si>
    <t xml:space="preserve">JWT / token weaknesses</t>
  </si>
  <si>
    <t xml:space="preserve">Session / tokens</t>
  </si>
  <si>
    <t xml:space="preserve">Incorrect validation of self-contained tokens (e.g. alg confusion, weak keys).</t>
  </si>
  <si>
    <t xml:space="preserve">Forgery of identity and privileges.</t>
  </si>
  <si>
    <t xml:space="preserve">Check signature validation, algorithm allowlist and claim verification (WSTG-SESS).</t>
  </si>
  <si>
    <t xml:space="preserve">Validate signature and alg strictly; short lifetime; strong keys.</t>
  </si>
  <si>
    <t xml:space="preserve">Alert on tokens with an unexpected alg or issuer.</t>
  </si>
  <si>
    <t xml:space="preserve">WSTG-SESS-10</t>
  </si>
  <si>
    <t xml:space="preserve">V9</t>
  </si>
  <si>
    <t xml:space="preserve">T1606</t>
  </si>
  <si>
    <t xml:space="preserve">CWE-347</t>
  </si>
  <si>
    <t xml:space="preserve">JSON Web Token</t>
  </si>
  <si>
    <t xml:space="preserve">AV-WEB-30, CVE-2026-5430</t>
  </si>
  <si>
    <t xml:space="preserve">AV-WEB-15</t>
  </si>
  <si>
    <t xml:space="preserve">Cross-site request forgery (CSRF)</t>
  </si>
  <si>
    <t xml:space="preserve">Client-side</t>
  </si>
  <si>
    <t xml:space="preserve">An authenticated user unknowingly performs a state-changing request.</t>
  </si>
  <si>
    <t xml:space="preserve">Unwanted actions on behalf of the victim.</t>
  </si>
  <si>
    <t xml:space="preserve">Check anti-CSRF tokens and SameSite cookie policy on state-changing endpoints (WSTG-SESS).</t>
  </si>
  <si>
    <t xml:space="preserve">Anti-CSRF tokens, SameSite cookies, re-authentication for sensitive actions.</t>
  </si>
  <si>
    <t xml:space="preserve">Detect state changes without the expected token/origin.</t>
  </si>
  <si>
    <t xml:space="preserve">WSTG-SESS-05</t>
  </si>
  <si>
    <t xml:space="preserve">V3</t>
  </si>
  <si>
    <t xml:space="preserve">CWE-352</t>
  </si>
  <si>
    <t xml:space="preserve">CSRF Injection</t>
  </si>
  <si>
    <t xml:space="preserve">AV-WEB-33, AV-WEB-47</t>
  </si>
  <si>
    <t xml:space="preserve">AV-WEB-16</t>
  </si>
  <si>
    <t xml:space="preserve">Server-side template injection (SSTI)</t>
  </si>
  <si>
    <t xml:space="preserve">Input is evaluated by a template engine instead of being treated as data.</t>
  </si>
  <si>
    <t xml:space="preserve">Template evaluation up to and including code execution.</t>
  </si>
  <si>
    <t xml:space="preserve">Check whether user input stays outside the template context (WSTG-INPV).</t>
  </si>
  <si>
    <t xml:space="preserve">Treat input as data; use logic-less templates; sandbox.</t>
  </si>
  <si>
    <t xml:space="preserve">Monitor template errors and unexpected evaluations.</t>
  </si>
  <si>
    <t xml:space="preserve">WSTG-INPV-18</t>
  </si>
  <si>
    <t xml:space="preserve">CWE-1336</t>
  </si>
  <si>
    <t xml:space="preserve">Server Side Template Injection</t>
  </si>
  <si>
    <t xml:space="preserve">AV-WEB-39, CVE-2023-22527, CVE-2026-75650</t>
  </si>
  <si>
    <t xml:space="preserve">AV-WEB-17</t>
  </si>
  <si>
    <t xml:space="preserve">Open redirect</t>
  </si>
  <si>
    <t xml:space="preserve">Input validation</t>
  </si>
  <si>
    <t xml:space="preserve">Initial access</t>
  </si>
  <si>
    <t xml:space="preserve">Low</t>
  </si>
  <si>
    <t xml:space="preserve">Unvalidated redirect parameters send users to external destinations.</t>
  </si>
  <si>
    <t xml:space="preserve">Phishing and bypass of origin trust.</t>
  </si>
  <si>
    <t xml:space="preserve">Check whether redirect targets are validated against an allowlist (WSTG-CLNT).</t>
  </si>
  <si>
    <t xml:space="preserve">Allowlist of redirect targets; avoid user-controlled URLs.</t>
  </si>
  <si>
    <t xml:space="preserve">Log redirects to external domains.</t>
  </si>
  <si>
    <t xml:space="preserve">WSTG-CLNT-04</t>
  </si>
  <si>
    <t xml:space="preserve">V2</t>
  </si>
  <si>
    <t xml:space="preserve">T1566.002</t>
  </si>
  <si>
    <t xml:space="preserve">CWE-601</t>
  </si>
  <si>
    <t xml:space="preserve">Open Redirect</t>
  </si>
  <si>
    <t xml:space="preserve">AV-WEB-30</t>
  </si>
  <si>
    <t xml:space="preserve">AV-WEB-18</t>
  </si>
  <si>
    <t xml:space="preserve">Security misconfiguration</t>
  </si>
  <si>
    <t xml:space="preserve">Configuration</t>
  </si>
  <si>
    <t xml:space="preserve">Reconnaissance</t>
  </si>
  <si>
    <t xml:space="preserve">Default settings, unnecessary features or exposed management interfaces.</t>
  </si>
  <si>
    <t xml:space="preserve">Varies, from information leakage to direct compromise.</t>
  </si>
  <si>
    <t xml:space="preserve">Check hardening, default credentials and exposed interfaces (WSTG-CONF).</t>
  </si>
  <si>
    <t xml:space="preserve">Hardening baselines, remove defaults, minimize features.</t>
  </si>
  <si>
    <t xml:space="preserve">Config drift detection and periodic hardening scans.</t>
  </si>
  <si>
    <t xml:space="preserve">A02:2025</t>
  </si>
  <si>
    <t xml:space="preserve">WSTG-CONF-02, WSTG-CONF-05</t>
  </si>
  <si>
    <t xml:space="preserve">V13</t>
  </si>
  <si>
    <t xml:space="preserve">T1592</t>
  </si>
  <si>
    <t xml:space="preserve">CWE-16, CWE-1188</t>
  </si>
  <si>
    <t xml:space="preserve">Methodology and Resources</t>
  </si>
  <si>
    <t xml:space="preserve">Enumeration</t>
  </si>
  <si>
    <t xml:space="preserve">D3</t>
  </si>
  <si>
    <t xml:space="preserve">AV-WEB-48, AV-WEB-49, AV-EXT-07</t>
  </si>
  <si>
    <t xml:space="preserve">AV-WEB-19</t>
  </si>
  <si>
    <t xml:space="preserve">Missing security headers</t>
  </si>
  <si>
    <t xml:space="preserve">Missing headers (CSP, HSTS, X-Frame-Options) weaken browser defenses.</t>
  </si>
  <si>
    <t xml:space="preserve">Greater likelihood of XSS, clickjacking and downgrade.</t>
  </si>
  <si>
    <t xml:space="preserve">Check the presence and correctness of security headers (WSTG-CONF).</t>
  </si>
  <si>
    <t xml:space="preserve">Set CSP, HSTS, X-Content-Type-Options and frame-ancestors.</t>
  </si>
  <si>
    <t xml:space="preserve">Periodic header scans in CI.</t>
  </si>
  <si>
    <t xml:space="preserve">WSTG-CONF-07, WSTG-CONF-12</t>
  </si>
  <si>
    <t xml:space="preserve">CWE-693</t>
  </si>
  <si>
    <t xml:space="preserve">AV-WEB-27, AV-WEB-47</t>
  </si>
  <si>
    <t xml:space="preserve">AV-WEB-20</t>
  </si>
  <si>
    <t xml:space="preserve">Cryptographic failures / weak TLS</t>
  </si>
  <si>
    <t xml:space="preserve">Cryptography</t>
  </si>
  <si>
    <t xml:space="preserve">Weak algorithms, outdated TLS or poor key management.</t>
  </si>
  <si>
    <t xml:space="preserve">Exposure or manipulation of sensitive data in transit or at rest.</t>
  </si>
  <si>
    <t xml:space="preserve">Check TLS config, algorithm choice and key management (WSTG-CRYP).</t>
  </si>
  <si>
    <t xml:space="preserve">Modern TLS, strong suites, correct key management and crypto agility.</t>
  </si>
  <si>
    <t xml:space="preserve">Monitor for outdated protocol versions and cipher downgrades.</t>
  </si>
  <si>
    <t xml:space="preserve">A04:2025</t>
  </si>
  <si>
    <t xml:space="preserve">WSTG-CRYP-01, WSTG-CRYP-04</t>
  </si>
  <si>
    <t xml:space="preserve">V11, V12</t>
  </si>
  <si>
    <t xml:space="preserve">T1557, T1040</t>
  </si>
  <si>
    <t xml:space="preserve">CWE-327</t>
  </si>
  <si>
    <t xml:space="preserve">AV-NET-18, CVE-2014-0160</t>
  </si>
  <si>
    <t xml:space="preserve">AV-WEB-21</t>
  </si>
  <si>
    <t xml:space="preserve">Sensitive data exposure</t>
  </si>
  <si>
    <t xml:space="preserve">Data protection</t>
  </si>
  <si>
    <t xml:space="preserve">Collection</t>
  </si>
  <si>
    <t xml:space="preserve">Sensitive data is insufficiently protected or unnecessarily exposed.</t>
  </si>
  <si>
    <t xml:space="preserve">Data breach and privacy violation.</t>
  </si>
  <si>
    <t xml:space="preserve">Check data classification, encryption and minimization in responses (WSTG-ATHZ/CONF).</t>
  </si>
  <si>
    <t xml:space="preserve">Classify data, encrypt at rest/in transit, minimize fields.</t>
  </si>
  <si>
    <t xml:space="preserve">DLP and monitoring for unusual data egress.</t>
  </si>
  <si>
    <t xml:space="preserve">WSTG-CRYP-03, WSTG-INFO-05</t>
  </si>
  <si>
    <t xml:space="preserve">V14</t>
  </si>
  <si>
    <t xml:space="preserve">T1005, T1213</t>
  </si>
  <si>
    <t xml:space="preserve">CWE-200</t>
  </si>
  <si>
    <t xml:space="preserve">D2</t>
  </si>
  <si>
    <t xml:space="preserve">AV-WEB-48, AV-WEB-53</t>
  </si>
  <si>
    <t xml:space="preserve">AV-WEB-22</t>
  </si>
  <si>
    <t xml:space="preserve">Business logic flaws</t>
  </si>
  <si>
    <t xml:space="preserve">Business logic</t>
  </si>
  <si>
    <t xml:space="preserve">Legitimate functionality is exploited in unintended ways (e.g. workflow bypass, race conditions).</t>
  </si>
  <si>
    <t xml:space="preserve">Fraud, bypass of limits and integrity damage.</t>
  </si>
  <si>
    <t xml:space="preserve">Model the intended workflows and test deviating sequences and concurrency (WSTG-BUSL).</t>
  </si>
  <si>
    <t xml:space="preserve">Server-side enforcement of workflow, atomic operations, limits.</t>
  </si>
  <si>
    <t xml:space="preserve">Alert on impossible or overly fast workflow transitions.</t>
  </si>
  <si>
    <t xml:space="preserve">A06:2025</t>
  </si>
  <si>
    <t xml:space="preserve">WSTG-BUSL-01, WSTG-BUSL-06</t>
  </si>
  <si>
    <t xml:space="preserve">CWE-840</t>
  </si>
  <si>
    <t xml:space="preserve">AV-WEB-34, AV-API-06</t>
  </si>
  <si>
    <t xml:space="preserve">AV-WEB-23</t>
  </si>
  <si>
    <t xml:space="preserve">Vulnerable &amp; outdated components</t>
  </si>
  <si>
    <t xml:space="preserve">Supply chain</t>
  </si>
  <si>
    <t xml:space="preserve">Outdated libraries or frameworks with known vulnerabilities.</t>
  </si>
  <si>
    <t xml:space="preserve">Exploitation of known CVEs in dependencies.</t>
  </si>
  <si>
    <t xml:space="preserve">Inventory dependencies and compare versions against known advisories (WSTG-CONF).</t>
  </si>
  <si>
    <t xml:space="preserve">SBOM, dependency scanning, timely patching.</t>
  </si>
  <si>
    <t xml:space="preserve">Continuous SCA and version monitoring in the pipeline.</t>
  </si>
  <si>
    <t xml:space="preserve">A03:2025</t>
  </si>
  <si>
    <t xml:space="preserve">WSTG-INFO-02, WSTG-INFO-08</t>
  </si>
  <si>
    <t xml:space="preserve">V15</t>
  </si>
  <si>
    <t xml:space="preserve">CWE-1104</t>
  </si>
  <si>
    <t xml:space="preserve">CVE-2021-44228, CVE-2022-22965, CVE-2017-5638, AV-CLD-19, AV-NET-21</t>
  </si>
  <si>
    <t xml:space="preserve">AV-WEB-24</t>
  </si>
  <si>
    <t xml:space="preserve">Improper error handling</t>
  </si>
  <si>
    <t xml:space="preserve">Error handling</t>
  </si>
  <si>
    <t xml:space="preserve">Verbose errors leak details or the application fails open instead of closed.</t>
  </si>
  <si>
    <t xml:space="preserve">Information leakage and bypass of controls on exceptions.</t>
  </si>
  <si>
    <t xml:space="preserve">Force error conditions and assess leakage and fail-open behavior (WSTG-ERRH).</t>
  </si>
  <si>
    <t xml:space="preserve">Generic error pages, fail-closed design, structured logging.</t>
  </si>
  <si>
    <t xml:space="preserve">Monitor for stack traces in responses.</t>
  </si>
  <si>
    <t xml:space="preserve">A10:2025</t>
  </si>
  <si>
    <t xml:space="preserve">WSTG-ERRH-01, WSTG-ERRH-02</t>
  </si>
  <si>
    <t xml:space="preserve">V16</t>
  </si>
  <si>
    <t xml:space="preserve">CWE-209</t>
  </si>
  <si>
    <t xml:space="preserve">AV-WEB-48</t>
  </si>
  <si>
    <t xml:space="preserve">AV-WEB-25</t>
  </si>
  <si>
    <t xml:space="preserve">HTTP request smuggling / desync</t>
  </si>
  <si>
    <t xml:space="preserve">Front-end (proxy/load balancer) and back-end interpret Content-Length/Transfer-Encoding (or HTTP/2 downgrade) differently, allowing an attacker to smuggle a second request into the connection.</t>
  </si>
  <si>
    <t xml:space="preserve">Bypass of front-end security controls, hijacking of other users' requests, cache poisoning and sometimes account takeover.</t>
  </si>
  <si>
    <t xml:space="preserve">Test CL.TE, TE.CL and H2.CL desync with timing-based probes on the front-end; confirm only with non-destructive payloads and per the RoE (WSTG-INPV-15).</t>
  </si>
  <si>
    <t xml:space="preserve">Use end-to-end HTTP/2 or normalize ambiguous requests on the front-end; reject requests with both CL and TE; close back-end connections after every request; patch proxy/web server.</t>
  </si>
  <si>
    <t xml:space="preserve">Alert on 400/timeout spikes and on requests with conflicting CL/TE headers at the edge.</t>
  </si>
  <si>
    <t xml:space="preserve">WSTG-INPV-15</t>
  </si>
  <si>
    <t xml:space="preserve">V4, V13</t>
  </si>
  <si>
    <t xml:space="preserve">CWE-444</t>
  </si>
  <si>
    <t xml:space="preserve">Request Smuggling</t>
  </si>
  <si>
    <t xml:space="preserve">https://portswigger.net/web-security/request-smuggling</t>
  </si>
  <si>
    <t xml:space="preserve">AV-WEB-26</t>
  </si>
  <si>
    <t xml:space="preserve">CORS misconfiguration</t>
  </si>
  <si>
    <t xml:space="preserve">Access-Control-Allow-Origin reflects arbitrary or null origins (often combined with Allow-Credentials: true), allowing a malicious site to read authenticated responses.</t>
  </si>
  <si>
    <t xml:space="preserve">Cross-origin theft of sensitive data and CSRF-like actions on behalf of the victim.</t>
  </si>
  <si>
    <t xml:space="preserve">Send requests with deviating Origin headers (arbitrary, null, subdomain variants) and check ACAO/ACAC in the response (WSTG-CLNT-07).</t>
  </si>
  <si>
    <t xml:space="preserve">Strict allowlist of origins; never reflect the Origin header with credentials; no wildcard on authenticated endpoints.</t>
  </si>
  <si>
    <t xml:space="preserve">Log and review Origin headers on authenticated endpoints; periodic header scan in CI.</t>
  </si>
  <si>
    <t xml:space="preserve">API8:2023</t>
  </si>
  <si>
    <t xml:space="preserve">WSTG-CLNT-07</t>
  </si>
  <si>
    <t xml:space="preserve">CWE-942</t>
  </si>
  <si>
    <t xml:space="preserve">CORS Misconfiguration</t>
  </si>
  <si>
    <t xml:space="preserve">https://portswigger.net/web-security/cors</t>
  </si>
  <si>
    <t xml:space="preserve">AV-WEB-27</t>
  </si>
  <si>
    <t xml:space="preserve">Clickjacking / UI redressing</t>
  </si>
  <si>
    <t xml:space="preserve">Pages with state-changing functionality can be loaded in an (invisible) frame on an attacker's domain due to missing frame-ancestors/X-Frame-Options.</t>
  </si>
  <si>
    <t xml:space="preserve">User unintentionally performs actions (e.g. changing settings, confirming transactions).</t>
  </si>
  <si>
    <t xml:space="preserve">Check CSP frame-ancestors and X-Frame-Options on sensitive pages and create a framing PoC (WSTG-CLNT-09).</t>
  </si>
  <si>
    <t xml:space="preserve">Content-Security-Policy: frame-ancestors 'none' or an allowlist; X-Frame-Options as fallback; re-authentication for sensitive actions.</t>
  </si>
  <si>
    <t xml:space="preserve">Header scan in CI; CSP violation reporting.</t>
  </si>
  <si>
    <t xml:space="preserve">WSTG-CLNT-09</t>
  </si>
  <si>
    <t xml:space="preserve">CWE-1021</t>
  </si>
  <si>
    <t xml:space="preserve">Clickjacking</t>
  </si>
  <si>
    <t xml:space="preserve">https://cheatsheetseries.owasp.org/cheatsheets/Clickjacking_Defense_Cheat_Sheet.html</t>
  </si>
  <si>
    <t xml:space="preserve">AV-WEB-28</t>
  </si>
  <si>
    <t xml:space="preserve">Subdomain takeover (dangling DNS)</t>
  </si>
  <si>
    <t xml:space="preserve">A CNAME/A record points to a no-longer-claimed external service (cloud storage, SaaS, CDN), allowing an attacker to claim the destination and serve content under the trusted domain.</t>
  </si>
  <si>
    <t xml:space="preserve">Phishing under the organization's own domain, cookie theft for parent-domain cookies, bypass of CSP/CORS trust.</t>
  </si>
  <si>
    <t xml:space="preserve">Enumerate subdomains and check DNS records for references to unclaimed services (fingerprints per provider) (WSTG-CONF-10).</t>
  </si>
  <si>
    <t xml:space="preserve">Remove orphaned DNS records during decommissioning; inventory DNS periodically; claim resources before DNS is created.</t>
  </si>
  <si>
    <t xml:space="preserve">Periodic DNS inventory and monitoring for CNAMEs to external services without an active resource.</t>
  </si>
  <si>
    <t xml:space="preserve">WSTG-CONF-10</t>
  </si>
  <si>
    <t xml:space="preserve">T1584.001</t>
  </si>
  <si>
    <t xml:space="preserve">CWE-284</t>
  </si>
  <si>
    <t xml:space="preserve">Methodology and Resources - Subdomains Enumeration</t>
  </si>
  <si>
    <t xml:space="preserve">D4</t>
  </si>
  <si>
    <t xml:space="preserve">AV-EXT-04</t>
  </si>
  <si>
    <t xml:space="preserve">https://github.com/EdOverflow/can-i-take-over-xyz</t>
  </si>
  <si>
    <t xml:space="preserve">AV-WEB-29</t>
  </si>
  <si>
    <t xml:space="preserve">Host header injection / password reset poisoning</t>
  </si>
  <si>
    <t xml:space="preserve">The application uses the Host or X-Forwarded-Host header to build absolute URLs (e.g. in password reset emails), allowing an attacker to inject links to their own domain.</t>
  </si>
  <si>
    <t xml:space="preserve">Theft of reset tokens and account takeover; cache poisoning and SSRF-like routing.</t>
  </si>
  <si>
    <t xml:space="preserve">Manipulate Host/X-Forwarded-Host and check whether generated links, redirects or cache keys adopt the value (WSTG-INPV-17).</t>
  </si>
  <si>
    <t xml:space="preserve">Use a configured canonical hostname; validate Host against an allowlist; ignore X-Forwarded-Host unless from a trusted proxy.</t>
  </si>
  <si>
    <t xml:space="preserve">Alert on requests with unknown Host values at the edge.</t>
  </si>
  <si>
    <t xml:space="preserve">WSTG-INPV-17</t>
  </si>
  <si>
    <t xml:space="preserve">V2, V4</t>
  </si>
  <si>
    <t xml:space="preserve">CWE-644, CWE-20</t>
  </si>
  <si>
    <t xml:space="preserve">AV-WEB-45</t>
  </si>
  <si>
    <t xml:space="preserve">https://portswigger.net/web-security/host-header</t>
  </si>
  <si>
    <t xml:space="preserve">OAuth 2.0 / OIDC misconfiguration</t>
  </si>
  <si>
    <t xml:space="preserve">Weak redirect_uri validation, missing state/PKCE, implicit flow or overly broad scopes enable theft of authorization codes or access tokens.</t>
  </si>
  <si>
    <t xml:space="preserve">Account takeover via token theft or login CSRF; access to APIs on behalf of the victim.</t>
  </si>
  <si>
    <t xml:space="preserve">Test redirect_uri variants (path/subdomain/open redirect), absence of state/nonce/PKCE, token leakage via Referer and scope escalation (WSTG-ATHZ-05).</t>
  </si>
  <si>
    <t xml:space="preserve">Exact redirect_uri matching, authorization code flow with PKCE, mandatory state/nonce, short token lifetime, scope minimization.</t>
  </si>
  <si>
    <t xml:space="preserve">Alert on authorization requests with a deviating redirect_uri or unusual client/scopes.</t>
  </si>
  <si>
    <t xml:space="preserve">WSTG-ATHZ-05</t>
  </si>
  <si>
    <t xml:space="preserve">V10</t>
  </si>
  <si>
    <t xml:space="preserve">T1528, T1550.001</t>
  </si>
  <si>
    <t xml:space="preserve">CWE-601, CWE-287</t>
  </si>
  <si>
    <t xml:space="preserve">OAuth Misconfiguration</t>
  </si>
  <si>
    <t xml:space="preserve">AV-WEB-17, AV-CLD-10</t>
  </si>
  <si>
    <t xml:space="preserve">https://portswigger.net/web-security/oauth</t>
  </si>
  <si>
    <t xml:space="preserve">SAML / SSO implementation flaws</t>
  </si>
  <si>
    <t xml:space="preserve">Incorrect validation of SAML responses (signature wrapping, missing/weak signature check, XXE in assertions, missing audience/recipient check) allows identity forgery.</t>
  </si>
  <si>
    <t xml:space="preserve">Impersonation of arbitrary users including administrators at the service provider.</t>
  </si>
  <si>
    <t xml:space="preserve">Manipulate SAML responses (remove/replace signature, XSW, attribute modification, replay) and check whether the SP rejects the assertion.</t>
  </si>
  <si>
    <t xml:space="preserve">Use a maintained SAML library, validate the signature on the assertion and response, check audience/recipient/NotOnOrAfter, disable DTD processing.</t>
  </si>
  <si>
    <t xml:space="preserve">Alert on SAML responses with signature errors or a deviating issuer/audience.</t>
  </si>
  <si>
    <t xml:space="preserve">WSTG-ATHN-04</t>
  </si>
  <si>
    <t xml:space="preserve">V6, V9</t>
  </si>
  <si>
    <t xml:space="preserve">T1606.002</t>
  </si>
  <si>
    <t xml:space="preserve">CWE-347, CWE-287</t>
  </si>
  <si>
    <t xml:space="preserve">SAML Injection</t>
  </si>
  <si>
    <t xml:space="preserve">CVE-2022-47966</t>
  </si>
  <si>
    <t xml:space="preserve">https://cheatsheetseries.owasp.org/cheatsheets/SAML_Security_Cheat_Sheet.html</t>
  </si>
  <si>
    <t xml:space="preserve">AV-WEB-32</t>
  </si>
  <si>
    <t xml:space="preserve">GraphQL-specific weaknesses</t>
  </si>
  <si>
    <t xml:space="preserve">Introspection in production, missing authorization per resolver, batching/aliasing without limits and deep queries enable information leakage, brute force and DoS.</t>
  </si>
  <si>
    <t xml:space="preserve">Exposure of schema and data, bypass of rate limiting, resource exhaustion.</t>
  </si>
  <si>
    <t xml:space="preserve">Check introspection, per-field authorization, query depth/complexity limits and batching abuse (WSTG-APIT-01).</t>
  </si>
  <si>
    <t xml:space="preserve">Introspection off in production, authorization in the resolver layer, depth/complexity/cost limits, limit batching and aliasing.</t>
  </si>
  <si>
    <t xml:space="preserve">Monitor for introspection queries and unusually complex/large queries.</t>
  </si>
  <si>
    <t xml:space="preserve">API4:2023, API8:2023</t>
  </si>
  <si>
    <t xml:space="preserve">WSTG-APIT-01</t>
  </si>
  <si>
    <t xml:space="preserve">CWE-200, CWE-770</t>
  </si>
  <si>
    <t xml:space="preserve">GraphQL Injection</t>
  </si>
  <si>
    <t xml:space="preserve">AV-API-04</t>
  </si>
  <si>
    <t xml:space="preserve">https://cheatsheetseries.owasp.org/cheatsheets/GraphQL_Cheat_Sheet.html</t>
  </si>
  <si>
    <t xml:space="preserve">AV-WEB-33</t>
  </si>
  <si>
    <t xml:space="preserve">WebSocket weaknesses (CSWSH, missing auth)</t>
  </si>
  <si>
    <t xml:space="preserve">WebSocket handshakes without Origin validation or without (re-)authentication allow cross-site WebSocket hijacking and unauthorized messages; messages are often not validated.</t>
  </si>
  <si>
    <t xml:space="preserve">Reading and sending messages on behalf of the victim; injection via unprotected message processing.</t>
  </si>
  <si>
    <t xml:space="preserve">Test the handshake with a foreign Origin and without a session cookie; fuzz message content for injection (WSTG-CLNT-10).</t>
  </si>
  <si>
    <t xml:space="preserve">Validate Origin, use tokens in the handshake, apply the same authorization and input validation as on HTTP endpoints, use wss://.</t>
  </si>
  <si>
    <t xml:space="preserve">Log handshakes with an unknown Origin; monitor message volume per session.</t>
  </si>
  <si>
    <t xml:space="preserve">WSTG-CLNT-10</t>
  </si>
  <si>
    <t xml:space="preserve">V3, V4</t>
  </si>
  <si>
    <t xml:space="preserve">CWE-1385, CWE-346</t>
  </si>
  <si>
    <t xml:space="preserve">Web Sockets</t>
  </si>
  <si>
    <t xml:space="preserve">https://portswigger.net/web-security/websockets</t>
  </si>
  <si>
    <t xml:space="preserve">AV-WEB-34</t>
  </si>
  <si>
    <t xml:space="preserve">Race conditions / TOCTOU</t>
  </si>
  <si>
    <t xml:space="preserve">Concurrent requests on non-atomic operations (vouchers, balance, limits, OTP attempts, registration) allow limits to be exceeded or checks to be bypassed.</t>
  </si>
  <si>
    <t xml:space="preserve">Financial fraud, double payout, bypass of rate limits and one-time actions.</t>
  </si>
  <si>
    <t xml:space="preserve">Send parallel requests (single-packet/last-byte-sync) to limit-bound functions and compare the final state with the expected limit (WSTG-BUSL-05).</t>
  </si>
  <si>
    <t xml:space="preserve">Atomic database operations/locks, idempotency keys, server-side state machine, unique constraints.</t>
  </si>
  <si>
    <t xml:space="preserve">Alert on multiple successful transactions within milliseconds for the same entity.</t>
  </si>
  <si>
    <t xml:space="preserve">API6:2023</t>
  </si>
  <si>
    <t xml:space="preserve">WSTG-BUSL-05</t>
  </si>
  <si>
    <t xml:space="preserve">CWE-362, CWE-367</t>
  </si>
  <si>
    <t xml:space="preserve">Race Condition</t>
  </si>
  <si>
    <t xml:space="preserve">https://portswigger.net/web-security/race-conditions</t>
  </si>
  <si>
    <t xml:space="preserve">AV-WEB-35</t>
  </si>
  <si>
    <t xml:space="preserve">Web cache poisoning / cache deception</t>
  </si>
  <si>
    <t xml:space="preserve">Unkeyed input (headers, parameters, path normalization) influences cached responses, or sensitive personal responses are cached under a static-looking path.</t>
  </si>
  <si>
    <t xml:space="preserve">Spread of XSS/redirects to all visitors, or exposure of personal data via the cache.</t>
  </si>
  <si>
    <t xml:space="preserve">Identify cache behavior (headers, keys) and test unkeyed inputs and path confusion (/account/x.css) for cacheability.</t>
  </si>
  <si>
    <t xml:space="preserve">Cache only explicitly static content, normalize path/parameters consistently on CDN and origin, set Cache-Control: no-store on personal responses.</t>
  </si>
  <si>
    <t xml:space="preserve">Monitor cache hit ratios and anomalous cache keys; alert on cached responses with Set-Cookie.</t>
  </si>
  <si>
    <t xml:space="preserve">WSTG-CONF-13</t>
  </si>
  <si>
    <t xml:space="preserve">V3, V13</t>
  </si>
  <si>
    <t xml:space="preserve">CWE-444, CWE-524</t>
  </si>
  <si>
    <t xml:space="preserve">Web Cache Deception</t>
  </si>
  <si>
    <t xml:space="preserve">https://portswigger.net/web-security/web-cache-poisoning</t>
  </si>
  <si>
    <t xml:space="preserve">AV-WEB-36</t>
  </si>
  <si>
    <t xml:space="preserve">NoSQL injection</t>
  </si>
  <si>
    <t xml:space="preserve">Input is included unfiltered in NoSQL queries (MongoDB operators such as $ne/$regex/$where, JSON objects).</t>
  </si>
  <si>
    <t xml:space="preserve">Authentication bypass, reading of collections, sometimes server-side JavaScript execution.</t>
  </si>
  <si>
    <t xml:space="preserve">Inject operator objects and JSON type changes into parameters/bodies and observe behavioral deviations (WSTG-INPV-05).</t>
  </si>
  <si>
    <t xml:space="preserve">Strict schema/type validation, forbid operator keys in input, use parameterized query builders, disable server-side JS.</t>
  </si>
  <si>
    <t xml:space="preserve">Alert on query operators in request bodies and on anomalous query patterns in the database.</t>
  </si>
  <si>
    <t xml:space="preserve">CWE-943</t>
  </si>
  <si>
    <t xml:space="preserve">NoSQL Injection</t>
  </si>
  <si>
    <t xml:space="preserve">https://cheatsheetseries.owasp.org/cheatsheets/Injection_Prevention_Cheat_Sheet.html</t>
  </si>
  <si>
    <t xml:space="preserve">AV-WEB-37</t>
  </si>
  <si>
    <t xml:space="preserve">LDAP / XPath injection</t>
  </si>
  <si>
    <t xml:space="preserve">Input is included without escaping in LDAP filters or XPath expressions (e.g. login forms against AD or XML datastores).</t>
  </si>
  <si>
    <t xml:space="preserve">Authentication bypass, enumeration of directory objects and reading of XML data.</t>
  </si>
  <si>
    <t xml:space="preserve">Inject filter metacharacters (*, (, ), |, &amp;) and XPath booleans and check for deviating results (WSTG-INPV-06, WSTG-INPV-09).</t>
  </si>
  <si>
    <t xml:space="preserve">Escape per context with a library, use allowlists for input, bind with least-privilege service accounts.</t>
  </si>
  <si>
    <t xml:space="preserve">Alert on LDAP queries with unusual filters from the application.</t>
  </si>
  <si>
    <t xml:space="preserve">WSTG-INPV-06, WSTG-INPV-09</t>
  </si>
  <si>
    <t xml:space="preserve">CWE-90, CWE-643</t>
  </si>
  <si>
    <t xml:space="preserve">LDAP Injection</t>
  </si>
  <si>
    <t xml:space="preserve">https://cheatsheetseries.owasp.org/cheatsheets/LDAP_Injection_Prevention_Cheat_Sheet.html</t>
  </si>
  <si>
    <t xml:space="preserve">AV-WEB-38</t>
  </si>
  <si>
    <t xml:space="preserve">CRLF / HTTP header / e-mail header injection</t>
  </si>
  <si>
    <t xml:space="preserve">Line breaks in input are not filtered when building HTTP headers, log lines or email headers (SMTP).</t>
  </si>
  <si>
    <t xml:space="preserve">Response splitting, cookie injection, log pollution, spam/phishing via the organization's own mail server.</t>
  </si>
  <si>
    <t xml:space="preserve">Inject %0d%0a into parameters that end up in headers, redirects or mail fields and check the output (WSTG-INPV-15, WSTG-INPV-10).</t>
  </si>
  <si>
    <t xml:space="preserve">Strip or encode CR/LF, use framework APIs for headers and mail, validate email fields strictly.</t>
  </si>
  <si>
    <t xml:space="preserve">Monitor for unexpected extra headers or anomalous mail volumes from the application.</t>
  </si>
  <si>
    <t xml:space="preserve">WSTG-INPV-15, WSTG-INPV-10</t>
  </si>
  <si>
    <t xml:space="preserve">CWE-113, CWE-93</t>
  </si>
  <si>
    <t xml:space="preserve">CRLF Injection</t>
  </si>
  <si>
    <t xml:space="preserve">https://owasp.org/www-community/vulnerabilities/CRLF_Injection</t>
  </si>
  <si>
    <t xml:space="preserve">AV-WEB-39</t>
  </si>
  <si>
    <t xml:space="preserve">Code injection (eval) / expression language injection</t>
  </si>
  <si>
    <t xml:space="preserve">Input is evaluated by an interpreter or expression language (eval(), OGNL, SpEL, EL, Jinja expressions outside templates).</t>
  </si>
  <si>
    <t xml:space="preserve">Direct code execution on the server; full compromise.</t>
  </si>
  <si>
    <t xml:space="preserve">Inject arithmetic and language-specific expressions into suspicious parameters and check whether they are evaluated (WSTG-INPV-11).</t>
  </si>
  <si>
    <t xml:space="preserve">Avoid dynamic evaluation of input; use safe parsers; sandbox and least privilege.</t>
  </si>
  <si>
    <t xml:space="preserve">Monitor for unexpected child processes and for expression syntax in requests.</t>
  </si>
  <si>
    <t xml:space="preserve">WSTG-INPV-11</t>
  </si>
  <si>
    <t xml:space="preserve">CWE-94, CWE-917</t>
  </si>
  <si>
    <t xml:space="preserve">AV-WEB-16, CVE-2022-26134, CVE-2017-5638</t>
  </si>
  <si>
    <t xml:space="preserve">https://owasp.org/www-community/attacks/Code_Injection</t>
  </si>
  <si>
    <t xml:space="preserve">AV-WEB-40</t>
  </si>
  <si>
    <t xml:space="preserve">Prototype pollution</t>
  </si>
  <si>
    <t xml:space="preserve">Unsafe merge/clone of user input in JavaScript (client- or server-side) allows setting __proto__/constructor properties that affect all objects.</t>
  </si>
  <si>
    <t xml:space="preserve">Client-side XSS via gadgets, server-side logic bypass up to and including RCE in Node.js.</t>
  </si>
  <si>
    <t xml:space="preserve">Inject __proto__[x]=y via query/JSON and check whether properties appear on empty objects; look for gadgets (WSTG-CLNT-01).</t>
  </si>
  <si>
    <t xml:space="preserve">Use Object.create(null)/Map, freeze prototypes, validate keys, update vulnerable libraries.</t>
  </si>
  <si>
    <t xml:space="preserve">SCA for known vulnerable libraries; alert on __proto__/constructor in request bodies.</t>
  </si>
  <si>
    <t xml:space="preserve">WSTG-CLNT-01</t>
  </si>
  <si>
    <t xml:space="preserve">V1, V15</t>
  </si>
  <si>
    <t xml:space="preserve">CWE-1321</t>
  </si>
  <si>
    <t xml:space="preserve">Prototype Pollution</t>
  </si>
  <si>
    <t xml:space="preserve">https://portswigger.net/web-security/prototype-pollution</t>
  </si>
  <si>
    <t xml:space="preserve">AV-WEB-41</t>
  </si>
  <si>
    <t xml:space="preserve">DOM-based XSS</t>
  </si>
  <si>
    <t xml:space="preserve">Client-side JavaScript writes untrusted sources (location, postMessage, storage) to the DOM via dangerous sinks (innerHTML, eval, document.write).</t>
  </si>
  <si>
    <t xml:space="preserve">Script execution in the victim's browser without server-side reflection; often invisible to a WAF.</t>
  </si>
  <si>
    <t xml:space="preserve">Analyze sources and sinks in the client-side code (DOM Invader/manually) and confirm with a PoC payload (WSTG-CLNT-01).</t>
  </si>
  <si>
    <t xml:space="preserve">Use safe DOM APIs (textContent), sanitize with DOMPurify, Trusted Types and a strict CSP.</t>
  </si>
  <si>
    <t xml:space="preserve">CSP violation reporting; client-side telemetry on errors.</t>
  </si>
  <si>
    <t xml:space="preserve">T1059.007</t>
  </si>
  <si>
    <t xml:space="preserve">AV-WEB-05, AV-WEB-06</t>
  </si>
  <si>
    <t xml:space="preserve">https://cheatsheetseries.owasp.org/cheatsheets/DOM_based_XSS_Prevention_Cheat_Sheet.html</t>
  </si>
  <si>
    <t xml:space="preserve">AV-WEB-42</t>
  </si>
  <si>
    <t xml:space="preserve">HTML injection / content spoofing</t>
  </si>
  <si>
    <t xml:space="preserve">Input is rendered as HTML without enabling script execution (e.g. due to CSP or filtering), but does allow forged content, forms and links.</t>
  </si>
  <si>
    <t xml:space="preserve">Phishing within the trusted site, defacement, theft of input via injected forms.</t>
  </si>
  <si>
    <t xml:space="preserve">Inject benign HTML elements (h1, a, form) and check the rendering (WSTG-CLNT-03).</t>
  </si>
  <si>
    <t xml:space="preserve">Context-correct output encoding; sanitize HTML with an allowlist when rich text is needed.</t>
  </si>
  <si>
    <t xml:space="preserve">Content integrity monitoring on user-generated pages.</t>
  </si>
  <si>
    <t xml:space="preserve">WSTG-CLNT-03</t>
  </si>
  <si>
    <t xml:space="preserve">CWE-80</t>
  </si>
  <si>
    <t xml:space="preserve">https://owasp.org/www-project-web-security-testing-guide/latest/4-Web_Application_Security_Testing/11-Client-side_Testing/03-Testing_for_HTML_Injection</t>
  </si>
  <si>
    <t xml:space="preserve">AV-WEB-43</t>
  </si>
  <si>
    <t xml:space="preserve">Username / account enumeration</t>
  </si>
  <si>
    <t xml:space="preserve">Login, registration or reset functions respond differently (message, status code, timing) for existing and non-existing accounts.</t>
  </si>
  <si>
    <t xml:space="preserve">Compilation of valid user lists for password spraying and phishing.</t>
  </si>
  <si>
    <t xml:space="preserve">Compare responses and response times for known and unknown usernames on all auth-related endpoints (WSTG-IDNT-04).</t>
  </si>
  <si>
    <t xml:space="preserve">Generic error messages, constant response times, rate limiting and CAPTCHA on enumeration-sensitive functions.</t>
  </si>
  <si>
    <t xml:space="preserve">Alert on many different usernames from a single source within a short time.</t>
  </si>
  <si>
    <t xml:space="preserve">WSTG-IDNT-04</t>
  </si>
  <si>
    <t xml:space="preserve">T1589.002, T1087</t>
  </si>
  <si>
    <t xml:space="preserve">CWE-204, CWE-203</t>
  </si>
  <si>
    <t xml:space="preserve">AV-NET-06, AV-WEB-12</t>
  </si>
  <si>
    <t xml:space="preserve">https://owasp.org/www-project-web-security-testing-guide/latest/4-Web_Application_Security_Testing/03-Identity_Management_Testing/04-Testing_for_Account_Enumeration_and_Guessable_User_Account</t>
  </si>
  <si>
    <t xml:space="preserve">AV-WEB-44</t>
  </si>
  <si>
    <t xml:space="preserve">Weak password policy</t>
  </si>
  <si>
    <t xml:space="preserve">Short or simple passwords are accepted, no screening against leaked passwords, no restriction on reuse.</t>
  </si>
  <si>
    <t xml:space="preserve">Successful brute force, spraying and credential stuffing.</t>
  </si>
  <si>
    <t xml:space="preserve">Try weak passwords at registration/change and check length, complexity and breach checks (WSTG-ATHN-07).</t>
  </si>
  <si>
    <t xml:space="preserve">Minimum 12-14 characters, screening against breach lists (NIST SP 800-63B), no forced periodic rotation without cause, MFA.</t>
  </si>
  <si>
    <t xml:space="preserve">Periodic audit of password hashes (offline, with permission) and monitoring of spraying.</t>
  </si>
  <si>
    <t xml:space="preserve">WSTG-ATHN-07</t>
  </si>
  <si>
    <t xml:space="preserve">T1110</t>
  </si>
  <si>
    <t xml:space="preserve">CWE-521</t>
  </si>
  <si>
    <t xml:space="preserve">Password attacks</t>
  </si>
  <si>
    <t xml:space="preserve">AV-AD-19, AV-WEB-12</t>
  </si>
  <si>
    <t xml:space="preserve">NIST SP 800-63B</t>
  </si>
  <si>
    <t xml:space="preserve">https://cheatsheetseries.owasp.org/cheatsheets/Authentication_Cheat_Sheet.html</t>
  </si>
  <si>
    <t xml:space="preserve">Insecure password reset / recovery flow</t>
  </si>
  <si>
    <t xml:space="preserve">Reset tokens are predictable, not bound to the user, non-expiring, leak via the Referer/Host header or are not invalidated after use; security questions are guessable.</t>
  </si>
  <si>
    <t xml:space="preserve">Account takeover without knowledge of the current password.</t>
  </si>
  <si>
    <t xml:space="preserve">Analyze token entropy and lifetime, reuse, binding to the account, Host header poisoning and the logic of the flow (WSTG-ATHN-09).</t>
  </si>
  <si>
    <t xml:space="preserve">Cryptographically random, short-lived one-time tokens bound to the account; invalidation after use; notification; no security questions.</t>
  </si>
  <si>
    <t xml:space="preserve">Alert on many reset requests per account or source.</t>
  </si>
  <si>
    <t xml:space="preserve">WSTG-ATHN-09</t>
  </si>
  <si>
    <t xml:space="preserve">T1098</t>
  </si>
  <si>
    <t xml:space="preserve">CWE-640</t>
  </si>
  <si>
    <t xml:space="preserve">AV-WEB-29, CVE-2023-7028</t>
  </si>
  <si>
    <t xml:space="preserve">https://cheatsheetseries.owasp.org/cheatsheets/Forgot_Password_Cheat_Sheet.html</t>
  </si>
  <si>
    <t xml:space="preserve">AV-WEB-46</t>
  </si>
  <si>
    <t xml:space="preserve">MFA bypass / weak MFA implementation</t>
  </si>
  <si>
    <t xml:space="preserve">OTP codes can be guessed (no rate limiting), the MFA step can be skipped (directly to post-auth endpoints), response manipulation results in approval, or MFA is missing on alternative channels (API, legacy).</t>
  </si>
  <si>
    <t xml:space="preserve">Bypass of the second factor and account takeover with only a password.</t>
  </si>
  <si>
    <t xml:space="preserve">Test brute force on OTP, step skipping, response tampering, reusable codes and MFA coverage of all login channels (WSTG-ATHN-11).</t>
  </si>
  <si>
    <t xml:space="preserve">Server-side state machine for the auth flow, rate limiting and lockout on OTP, one-time codes, MFA on all channels, phishing-resistant MFA (FIDO2) where possible.</t>
  </si>
  <si>
    <t xml:space="preserve">Alert on many OTP attempts and on sessions that do not complete the MFA step.</t>
  </si>
  <si>
    <t xml:space="preserve">WSTG-ATHN-11</t>
  </si>
  <si>
    <t xml:space="preserve">T1621, T1111</t>
  </si>
  <si>
    <t xml:space="preserve">CWE-287, CWE-307</t>
  </si>
  <si>
    <t xml:space="preserve">AV-SE-06, AV-SE-07, AV-CLD-09</t>
  </si>
  <si>
    <t xml:space="preserve">https://cheatsheetseries.owasp.org/cheatsheets/Multifactor_Authentication_Cheat_Sheet.html</t>
  </si>
  <si>
    <t xml:space="preserve">AV-WEB-47</t>
  </si>
  <si>
    <t xml:space="preserve">Insecure cookie attributes</t>
  </si>
  <si>
    <t xml:space="preserve">Session cookies lack Secure, HttpOnly or SameSite, have an overly broad Domain/Path or too long a lifetime.</t>
  </si>
  <si>
    <t xml:space="preserve">Greater impact of XSS and network interception; CSRF risk; session theft.</t>
  </si>
  <si>
    <t xml:space="preserve">Inspect Set-Cookie headers of all session and auth cookies for attributes and scope (WSTG-SESS-02).</t>
  </si>
  <si>
    <t xml:space="preserve">Secure; HttpOnly; SameSite=Lax/Strict; __Host- prefix; minimal lifetime and scope.</t>
  </si>
  <si>
    <t xml:space="preserve">Header scan in CI.</t>
  </si>
  <si>
    <t xml:space="preserve">WSTG-SESS-02</t>
  </si>
  <si>
    <t xml:space="preserve">T1539</t>
  </si>
  <si>
    <t xml:space="preserve">CWE-1004, CWE-614, CWE-1275</t>
  </si>
  <si>
    <t xml:space="preserve">https://cheatsheetseries.owasp.org/cheatsheets/Session_Management_Cheat_Sheet.html</t>
  </si>
  <si>
    <t xml:space="preserve">Information disclosure (source maps, backups, .git, directory listing, banners)</t>
  </si>
  <si>
    <t xml:space="preserve">Exposed .git/.svn directories, backup and config files, source maps, directory listing, Swagger/actuator endpoints and detailed version banners leak implementation details or secrets.</t>
  </si>
  <si>
    <t xml:space="preserve">Accelerated exploitation, leakage of credentials/API keys, source code analysis by attackers.</t>
  </si>
  <si>
    <t xml:space="preserve">Fuzz for known paths (.git/HEAD, .env, *.bak, /actuator, /swagger), check listing and banners (WSTG-INFO-02, WSTG-CONF-04, WSTG-CONF-05).</t>
  </si>
  <si>
    <t xml:space="preserve">Remove/block development artifacts and backups from the webroot, disable listing, minimize banners, protect management endpoints.</t>
  </si>
  <si>
    <t xml:space="preserve">Alert on requests for .git/.env/backup patterns; periodic content discovery scan.</t>
  </si>
  <si>
    <t xml:space="preserve">API9:2023</t>
  </si>
  <si>
    <t xml:space="preserve">WSTG-INFO-02, WSTG-CONF-04, WSTG-CONF-05</t>
  </si>
  <si>
    <t xml:space="preserve">V13, V14</t>
  </si>
  <si>
    <t xml:space="preserve">T1592, T1552.001</t>
  </si>
  <si>
    <t xml:space="preserve">CWE-538, CWE-548, CWE-200</t>
  </si>
  <si>
    <t xml:space="preserve">Insecure Source Code Management</t>
  </si>
  <si>
    <t xml:space="preserve">AV-WEB-18, AV-WEB-24</t>
  </si>
  <si>
    <t xml:space="preserve">https://owasp.org/www-project-web-security-testing-guide/latest/4-Web_Application_Security_Testing/02-Configuration_and_Deployment_Management_Testing/04-Review_Old_Backup_and_Unreferenced_Files_for_Sensitive_Information</t>
  </si>
  <si>
    <t xml:space="preserve">AV-WEB-49</t>
  </si>
  <si>
    <t xml:space="preserve">Dangerous HTTP methods / verb tampering</t>
  </si>
  <si>
    <t xml:space="preserve">PUT/DELETE/TRACE/WebDAV are enabled or authorization is only enforced on specific methods, so that a different method bypasses the check.</t>
  </si>
  <si>
    <t xml:space="preserve">Uploading/deleting files, authorization bypass, cross-site tracing.</t>
  </si>
  <si>
    <t xml:space="preserve">Enumerate allowed methods (OPTIONS) and repeat authorized requests with alternative methods/overrides (WSTG-CONF-06, WSTG-INPV-03).</t>
  </si>
  <si>
    <t xml:space="preserve">Restrict methods to what is needed, enforce authorization independently of the method, disable TRACE/WebDAV, block X-HTTP-Method-Override.</t>
  </si>
  <si>
    <t xml:space="preserve">Alert on unusual methods to application endpoints.</t>
  </si>
  <si>
    <t xml:space="preserve">WSTG-CONF-06, WSTG-INPV-03</t>
  </si>
  <si>
    <t xml:space="preserve">CWE-650, CWE-749</t>
  </si>
  <si>
    <t xml:space="preserve">AV-WEB-02, CVE-2025-24813</t>
  </si>
  <si>
    <t xml:space="preserve">https://owasp.org/www-project-web-security-testing-guide/latest/4-Web_Application_Security_Testing/02-Configuration_and_Deployment_Management_Testing/06-Test_HTTP_Methods</t>
  </si>
  <si>
    <t xml:space="preserve">AV-WEB-50</t>
  </si>
  <si>
    <t xml:space="preserve">Insufficient logging &amp; alerting (application)</t>
  </si>
  <si>
    <t xml:space="preserve">Detection</t>
  </si>
  <si>
    <t xml:space="preserve">Defense evasion</t>
  </si>
  <si>
    <t xml:space="preserve">Security-relevant events (logins, failed authorization, input validation errors, admin actions) are not logged, logged incompletely or logged without context and there are no alerts.</t>
  </si>
  <si>
    <t xml:space="preserve">Attacks and abuse remain unnoticed; forensic investigation is limited.</t>
  </si>
  <si>
    <t xml:space="preserve">Perform recognizable actions during the test (failed logins, IDOR attempts, injection) and verify with the client whether these are visible in logging and alerting.</t>
  </si>
  <si>
    <t xml:space="preserve">Log auth, authorization and validation events in a structured way with correlation IDs, centralize in a SIEM, define alerts and retention periods; no sensitive data in logs.</t>
  </si>
  <si>
    <t xml:space="preserve">Measure coverage through purple-team-style verification of test actions in the SIEM.</t>
  </si>
  <si>
    <t xml:space="preserve">A09:2025</t>
  </si>
  <si>
    <t xml:space="preserve">WSTG-CONF (no specific test)</t>
  </si>
  <si>
    <t xml:space="preserve">T1562.008</t>
  </si>
  <si>
    <t xml:space="preserve">CWE-778, CWE-223</t>
  </si>
  <si>
    <t xml:space="preserve">D7</t>
  </si>
  <si>
    <t xml:space="preserve">AV-CLD-08</t>
  </si>
  <si>
    <t xml:space="preserve">https://cheatsheetseries.owasp.org/cheatsheets/Logging_Cheat_Sheet.html</t>
  </si>
  <si>
    <t xml:space="preserve">AV-WEB-51</t>
  </si>
  <si>
    <t xml:space="preserve">Missing integrity controls (SRI, unsigned updates, third-party scripts)</t>
  </si>
  <si>
    <t xml:space="preserve">External scripts/CSS are loaded without Subresource Integrity, auto-update or plugin mechanisms do not verify signatures, and CI/CD artifacts are not signed.</t>
  </si>
  <si>
    <t xml:space="preserve">Supply chain compromise via CDN/third party (e.g. Magecart-like skimming) or via manipulated updates.</t>
  </si>
  <si>
    <t xml:space="preserve">Inventory external resources and check SRI hashes, CSP and signature verification of update/plugin mechanisms.</t>
  </si>
  <si>
    <t xml:space="preserve">SRI and strict CSP for external resources, self-hosting of critical scripts, signed updates/artifacts and verification at installation.</t>
  </si>
  <si>
    <t xml:space="preserve">Monitor changes in third-party scripts; CSP reporting on unknown script sources.</t>
  </si>
  <si>
    <t xml:space="preserve">A08:2025, A03:2025</t>
  </si>
  <si>
    <t xml:space="preserve">WSTG-CLNT-06</t>
  </si>
  <si>
    <t xml:space="preserve">V3, V15</t>
  </si>
  <si>
    <t xml:space="preserve">T1195.001, T1195.002</t>
  </si>
  <si>
    <t xml:space="preserve">CWE-353, CWE-494, CWE-829</t>
  </si>
  <si>
    <t xml:space="preserve">AV-WEB-23, AV-CLD-19</t>
  </si>
  <si>
    <t xml:space="preserve">https://cheatsheetseries.owasp.org/cheatsheets/Third_Party_Javascript_Management_Cheat_Sheet.html</t>
  </si>
  <si>
    <t xml:space="preserve">AV-WEB-52</t>
  </si>
  <si>
    <t xml:space="preserve">postMessage / JSONP / cross-origin messaging weaknesses</t>
  </si>
  <si>
    <t xml:space="preserve">window.postMessage listeners do not validate the origin or process data insecurely; JSONP endpoints or cross-site script inclusion leak data to third parties.</t>
  </si>
  <si>
    <t xml:space="preserve">Cross-origin leakage of tokens/data and DOM XSS via message processing.</t>
  </si>
  <si>
    <t xml:space="preserve">Inventory message listeners and JSONP endpoints in the client code and test origin validation and sink usage (WSTG-CLNT-11, WSTG-CLNT-13).</t>
  </si>
  <si>
    <t xml:space="preserve">Validate event.origin against an allowlist, treat message data as untrusted, replace JSONP with CORS with an allowlist.</t>
  </si>
  <si>
    <t xml:space="preserve">Client-side telemetry; code review in CI for insecure listeners.</t>
  </si>
  <si>
    <t xml:space="preserve">WSTG-CLNT-11, WSTG-CLNT-13</t>
  </si>
  <si>
    <t xml:space="preserve">CWE-346, CWE-79</t>
  </si>
  <si>
    <t xml:space="preserve">AV-WEB-26, AV-WEB-41</t>
  </si>
  <si>
    <t xml:space="preserve">https://portswigger.net/web-security/dom-based/controlling-the-web-message-source</t>
  </si>
  <si>
    <t xml:space="preserve">AV-WEB-53</t>
  </si>
  <si>
    <t xml:space="preserve">Sensitive data in client-side storage</t>
  </si>
  <si>
    <t xml:space="preserve">Access/refresh tokens, PII or secrets are stored in localStorage/sessionStorage/IndexedDB, so that any XSS can read them and they remain persistently on the device.</t>
  </si>
  <si>
    <t xml:space="preserve">Token theft and account takeover in case of XSS or local access.</t>
  </si>
  <si>
    <t xml:space="preserve">Inspect browser storage after logging in and assess the sensitivity and lifetime of stored values (WSTG-CLNT-12).</t>
  </si>
  <si>
    <t xml:space="preserve">Store session tokens in HttpOnly cookies (with SameSite), minimize client-side storage, short token lifetime and refresh rotation.</t>
  </si>
  <si>
    <t xml:space="preserve">Not detectable server-side; audit during code review.</t>
  </si>
  <si>
    <t xml:space="preserve">WSTG-CLNT-12</t>
  </si>
  <si>
    <t xml:space="preserve">V7, V14</t>
  </si>
  <si>
    <t xml:space="preserve">T1539, T1528</t>
  </si>
  <si>
    <t xml:space="preserve">CWE-922, CWE-312</t>
  </si>
  <si>
    <t xml:space="preserve">AV-WEB-14, AV-WEB-47</t>
  </si>
  <si>
    <t xml:space="preserve">https://cheatsheetseries.owasp.org/cheatsheets/HTML5_Security_Cheat_Sheet.html</t>
  </si>
  <si>
    <t xml:space="preserve">API</t>
  </si>
  <si>
    <t xml:space="preserve">Broken object level authorization (BOLA)</t>
  </si>
  <si>
    <t xml:space="preserve">Endpoints with object IDs without an authorization check give access to other users' objects.</t>
  </si>
  <si>
    <t xml:space="preserve">Unauthorized access to data of other users.</t>
  </si>
  <si>
    <t xml:space="preserve">Swap object IDs between accounts and check server-side authorization (WSTG-ATHZ).</t>
  </si>
  <si>
    <t xml:space="preserve">Authorization check on every object per request; unpredictable IDs.</t>
  </si>
  <si>
    <t xml:space="preserve">Alert on access to object IDs outside the scope of the token.</t>
  </si>
  <si>
    <t xml:space="preserve">CWE-639</t>
  </si>
  <si>
    <t xml:space="preserve">AV-API-02</t>
  </si>
  <si>
    <t xml:space="preserve">Broken authentication</t>
  </si>
  <si>
    <t xml:space="preserve">Weak or incorrectly implemented authentication on API endpoints.</t>
  </si>
  <si>
    <t xml:space="preserve">Token compromise and impersonation.</t>
  </si>
  <si>
    <t xml:space="preserve">Check token issuance, validation and endpoint coverage (WSTG-ATHN).</t>
  </si>
  <si>
    <t xml:space="preserve">Strong authentication, correct token validation, MFA where appropriate.</t>
  </si>
  <si>
    <t xml:space="preserve">Monitor for authentication anomalies and token abuse.</t>
  </si>
  <si>
    <t xml:space="preserve">WSTG-ATHN-04, WSTG-ATHN-10</t>
  </si>
  <si>
    <t xml:space="preserve">CWE-287</t>
  </si>
  <si>
    <t xml:space="preserve">AV-WEB-12, AV-WEB-14, AV-API-12</t>
  </si>
  <si>
    <t xml:space="preserve">AV-API-03</t>
  </si>
  <si>
    <t xml:space="preserve">Broken object property level authorization</t>
  </si>
  <si>
    <t xml:space="preserve">Insufficient authorization at property level (excessive data exposure / mass assignment).</t>
  </si>
  <si>
    <t xml:space="preserve">Reading or overwriting of disallowed fields.</t>
  </si>
  <si>
    <t xml:space="preserve">Check whether response and request fields are restricted per role (WSTG-ATHZ).</t>
  </si>
  <si>
    <t xml:space="preserve">Explicit allowlist of fields for reading and writing.</t>
  </si>
  <si>
    <t xml:space="preserve">Monitor for write actions to sensitive properties.</t>
  </si>
  <si>
    <t xml:space="preserve">API3:2023</t>
  </si>
  <si>
    <t xml:space="preserve">WSTG-INPV-20</t>
  </si>
  <si>
    <t xml:space="preserve">CWE-915</t>
  </si>
  <si>
    <t xml:space="preserve">Mass Assignment</t>
  </si>
  <si>
    <t xml:space="preserve">AV-API-11</t>
  </si>
  <si>
    <t xml:space="preserve">Unrestricted resource consumption</t>
  </si>
  <si>
    <t xml:space="preserve">Availability</t>
  </si>
  <si>
    <t xml:space="preserve">Missing limits on requests or resources.</t>
  </si>
  <si>
    <t xml:space="preserve">Denial of service and increased costs.</t>
  </si>
  <si>
    <t xml:space="preserve">Check rate limiting, pagination and resource quotas (WSTG-BUSL).</t>
  </si>
  <si>
    <t xml:space="preserve">Rate limiting, quotas, payload and timeout limits.</t>
  </si>
  <si>
    <t xml:space="preserve">Alert on consumption spikes per client/token.</t>
  </si>
  <si>
    <t xml:space="preserve">API4:2023</t>
  </si>
  <si>
    <t xml:space="preserve">T1499</t>
  </si>
  <si>
    <t xml:space="preserve">CWE-770</t>
  </si>
  <si>
    <t xml:space="preserve">AV-WEB-32, AV-AI-06</t>
  </si>
  <si>
    <t xml:space="preserve">AV-API-05</t>
  </si>
  <si>
    <t xml:space="preserve">Broken function level authorization</t>
  </si>
  <si>
    <t xml:space="preserve">Functions without a role check are reachable by lower roles.</t>
  </si>
  <si>
    <t xml:space="preserve">Access to administrative or privileged functions.</t>
  </si>
  <si>
    <t xml:space="preserve">Access functions with different roles and check enforcement (WSTG-ATHZ).</t>
  </si>
  <si>
    <t xml:space="preserve">Deny-by-default per function; central authorization layer.</t>
  </si>
  <si>
    <t xml:space="preserve">Alert on privileged function calls by low roles.</t>
  </si>
  <si>
    <t xml:space="preserve">CWE-285</t>
  </si>
  <si>
    <t xml:space="preserve">AV-API-06</t>
  </si>
  <si>
    <t xml:space="preserve">Unrestricted access to sensitive business flows</t>
  </si>
  <si>
    <t xml:space="preserve">Sensitive business flows without abuse protection (e.g. bulk purchasing, spam).</t>
  </si>
  <si>
    <t xml:space="preserve">Automated abuse causing business damage.</t>
  </si>
  <si>
    <t xml:space="preserve">Identify sensitive flows and test anti-automation measures (WSTG-BUSL).</t>
  </si>
  <si>
    <t xml:space="preserve">Detect automation, add friction, limit flows.</t>
  </si>
  <si>
    <t xml:space="preserve">Behavioral analysis of flow usage.</t>
  </si>
  <si>
    <t xml:space="preserve">WSTG-BUSL-07</t>
  </si>
  <si>
    <t xml:space="preserve">AV-WEB-22, AV-WEB-34</t>
  </si>
  <si>
    <t xml:space="preserve">AV-API-07</t>
  </si>
  <si>
    <t xml:space="preserve">Server-side request forgery (API)</t>
  </si>
  <si>
    <t xml:space="preserve">API fetches unintended destinations based on user input.</t>
  </si>
  <si>
    <t xml:space="preserve">Internal network access and metadata theft.</t>
  </si>
  <si>
    <t xml:space="preserve">Check server-side validation of user-controlled URLs (WSTG-INPV).</t>
  </si>
  <si>
    <t xml:space="preserve">Allowlist destinations; block internal ranges.</t>
  </si>
  <si>
    <t xml:space="preserve">Egress filtering and alerting on internal calls.</t>
  </si>
  <si>
    <t xml:space="preserve">API7:2023</t>
  </si>
  <si>
    <t xml:space="preserve">AV-WEB-07, AV-CLD-05</t>
  </si>
  <si>
    <t xml:space="preserve">AV-API-08</t>
  </si>
  <si>
    <t xml:space="preserve">Security misconfiguration (API)</t>
  </si>
  <si>
    <t xml:space="preserve">Insecure defaults, CORS errors or missing hardening at API level.</t>
  </si>
  <si>
    <t xml:space="preserve">Varied exposure and access.</t>
  </si>
  <si>
    <t xml:space="preserve">Check CORS, methods, headers and error handling (WSTG-CONF).</t>
  </si>
  <si>
    <t xml:space="preserve">Hardening baseline, strict CORS policy, minimize methods.</t>
  </si>
  <si>
    <t xml:space="preserve">Config scans and CORS monitoring.</t>
  </si>
  <si>
    <t xml:space="preserve">WSTG-CONF-02, WSTG-CLNT-07</t>
  </si>
  <si>
    <t xml:space="preserve">CWE-16</t>
  </si>
  <si>
    <t xml:space="preserve">AV-WEB-26, AV-WEB-18</t>
  </si>
  <si>
    <t xml:space="preserve">AV-API-09</t>
  </si>
  <si>
    <t xml:space="preserve">Improper inventory management</t>
  </si>
  <si>
    <t xml:space="preserve">Unknown, outdated or undocumented API versions and endpoints.</t>
  </si>
  <si>
    <t xml:space="preserve">Attack surface via shadow/legacy endpoints.</t>
  </si>
  <si>
    <t xml:space="preserve">Inventory versions, hosts and endpoints and compare with documentation (WSTG-CONF).</t>
  </si>
  <si>
    <t xml:space="preserve">Up-to-date API inventory, deprecation policy, retirement.</t>
  </si>
  <si>
    <t xml:space="preserve">Monitor traffic to non-inventoried endpoints.</t>
  </si>
  <si>
    <t xml:space="preserve">WSTG-INFO-04, WSTG-CONF-05</t>
  </si>
  <si>
    <t xml:space="preserve">CWE-1059</t>
  </si>
  <si>
    <t xml:space="preserve">AV-EXT-01, AV-EXT-07</t>
  </si>
  <si>
    <t xml:space="preserve">AV-API-10</t>
  </si>
  <si>
    <t xml:space="preserve">Unsafe consumption of APIs</t>
  </si>
  <si>
    <t xml:space="preserve">Data from third-party APIs is processed with too much trust.</t>
  </si>
  <si>
    <t xml:space="preserve">Compromise via upstream services.</t>
  </si>
  <si>
    <t xml:space="preserve">Check validation and isolation of external API responses (WSTG-INPV).</t>
  </si>
  <si>
    <t xml:space="preserve">Validate external data, use timeouts and isolation.</t>
  </si>
  <si>
    <t xml:space="preserve">Monitor anomalous behavior of integrations.</t>
  </si>
  <si>
    <t xml:space="preserve">API10:2023</t>
  </si>
  <si>
    <t xml:space="preserve">T1195</t>
  </si>
  <si>
    <t xml:space="preserve">AV-CLD-19</t>
  </si>
  <si>
    <t xml:space="preserve">Missing input schema validation (type juggling, JSON injection, HPP)</t>
  </si>
  <si>
    <t xml:space="preserve">The API does not validate request bodies against a strict schema: unexpected types (array instead of string), extra fields, duplicate parameters or nested JSON are accepted and passed on to back-end logic.</t>
  </si>
  <si>
    <t xml:space="preserve">Logic bypass (e.g. price/role), injection into downstream systems, crashes (DoS).</t>
  </si>
  <si>
    <t xml:space="preserve">Change types, add unexpected fields, duplicate parameters and compare server-side behavior with the OpenAPI specification (WSTG-INPV-04).</t>
  </si>
  <si>
    <t xml:space="preserve">Strict schema validation (OpenAPI/JSON Schema) with additionalProperties: false, canonicalization of parameters, strongly typed deserialization.</t>
  </si>
  <si>
    <t xml:space="preserve">Alert on schema validation errors and anomalous request structures.</t>
  </si>
  <si>
    <t xml:space="preserve">API3:2023, API8:2023</t>
  </si>
  <si>
    <t xml:space="preserve">WSTG-INPV-04</t>
  </si>
  <si>
    <t xml:space="preserve">CWE-20, CWE-235</t>
  </si>
  <si>
    <t xml:space="preserve">HTTP Parameter Pollution</t>
  </si>
  <si>
    <t xml:space="preserve">https://cheatsheetseries.owasp.org/cheatsheets/REST_Security_Cheat_Sheet.html</t>
  </si>
  <si>
    <t xml:space="preserve">AV-API-12</t>
  </si>
  <si>
    <t xml:space="preserve">Insufficient authentication on internal / machine-to-machine APIs</t>
  </si>
  <si>
    <t xml:space="preserve">Lateral movement</t>
  </si>
  <si>
    <t xml:space="preserve">Internal or service-to-service APIs rely on network location, static shared API keys or missing mTLS, so that any host in the segment (or a leaked key) has full access.</t>
  </si>
  <si>
    <t xml:space="preserve">Lateral movement and data access from a compromised component or via a leaked key.</t>
  </si>
  <si>
    <t xml:space="preserve">Access internal APIs from a different host/pod without credentials or with leaked keys; check key rotation, scoping and mTLS.</t>
  </si>
  <si>
    <t xml:space="preserve">mTLS or short-lived workload identities (SPIFFE/OIDC), per-client scopes, key rotation, network policy as an additional layer.</t>
  </si>
  <si>
    <t xml:space="preserve">Alert on API calls from unexpected workloads/IPs and on use of expired keys.</t>
  </si>
  <si>
    <t xml:space="preserve">WSTG-ATHN-10</t>
  </si>
  <si>
    <t xml:space="preserve">V4, V6</t>
  </si>
  <si>
    <t xml:space="preserve">T1078, T1552</t>
  </si>
  <si>
    <t xml:space="preserve">CWE-306, CWE-798</t>
  </si>
  <si>
    <t xml:space="preserve">API Key Leaks</t>
  </si>
  <si>
    <t xml:space="preserve">AV-CLD-02, AV-NET-15</t>
  </si>
  <si>
    <t xml:space="preserve">https://cheatsheetseries.owasp.org/cheatsheets/Microservices_Security_Cheat_Sheet.html</t>
  </si>
  <si>
    <t xml:space="preserve">AV-NET-01</t>
  </si>
  <si>
    <t xml:space="preserve">Internal network</t>
  </si>
  <si>
    <t xml:space="preserve">Network enumeration &amp; host discovery</t>
  </si>
  <si>
    <t xml:space="preserve">Info</t>
  </si>
  <si>
    <t xml:space="preserve">Discovery of hosts, ports and services within the scope.</t>
  </si>
  <si>
    <t xml:space="preserve">Maps out the attack surface.</t>
  </si>
  <si>
    <t xml:space="preserve">Perform scoped host and service discovery in accordance with the rules of engagement.</t>
  </si>
  <si>
    <t xml:space="preserve">Network segmentation and minimization of exposed services.</t>
  </si>
  <si>
    <t xml:space="preserve">IDS/NDR detection of scan patterns.</t>
  </si>
  <si>
    <t xml:space="preserve">T1046, T1595, T1018</t>
  </si>
  <si>
    <t xml:space="preserve">Network Discovery</t>
  </si>
  <si>
    <t xml:space="preserve">AV-EXT-01, AV-AD-22</t>
  </si>
  <si>
    <t xml:space="preserve">AV-NET-02</t>
  </si>
  <si>
    <t xml:space="preserve">LLMNR/NBT-NS/mDNS poisoning &amp; ADIDNS wildcard abuse</t>
  </si>
  <si>
    <t xml:space="preserve">Adversary-in-the-middle</t>
  </si>
  <si>
    <t xml:space="preserve">Abuse of fallback name resolution (LLMNR, NBT-NS, mDNS) to redirect traffic and capture NetNTLM hashes; if those protocols are disabled, an authenticated user can often still create a wildcard record in AD-integrated DNS with the same effect.</t>
  </si>
  <si>
    <t xml:space="preserve">Interception of authentication material.</t>
  </si>
  <si>
    <t xml:space="preserve">Determine whether legacy name resolution protocols are active in the segment.</t>
  </si>
  <si>
    <t xml:space="preserve">Disable LLMNR/NBT-NS/mDNS via GPO; segment; enforce secure resolution; block creation of wildcard DNS records (ADIDNS) by regular users and enforce SMB/LDAP signing so that relay does not succeed.</t>
  </si>
  <si>
    <t xml:space="preserve">Alert on unexpected responder activity.</t>
  </si>
  <si>
    <t xml:space="preserve">T1557.001</t>
  </si>
  <si>
    <t xml:space="preserve">Active Directory Attack</t>
  </si>
  <si>
    <t xml:space="preserve">Active Directory</t>
  </si>
  <si>
    <t xml:space="preserve">AV-NET-03, AV-NET-10, AV-AD-18, AV-NET-08, CVE-2025-24054</t>
  </si>
  <si>
    <t xml:space="preserve">AV-NET-03</t>
  </si>
  <si>
    <t xml:space="preserve">NTLM relay</t>
  </si>
  <si>
    <t xml:space="preserve">Forwarding intercepted authentication to hosts without signing.</t>
  </si>
  <si>
    <t xml:space="preserve">Authentication as the victim on other systems.</t>
  </si>
  <si>
    <t xml:space="preserve">Check whether SMB/LDAP signing is enforced on target systems.</t>
  </si>
  <si>
    <t xml:space="preserve">Enforce signing, disable legacy, segment.</t>
  </si>
  <si>
    <t xml:space="preserve">Detect authentications with an anomalous source/chain.</t>
  </si>
  <si>
    <t xml:space="preserve">T1557</t>
  </si>
  <si>
    <t xml:space="preserve">AV-NET-08, AV-AD-14, AV-AD-17, AV-NET-10, CVE-2019-1040, CVE-2025-33073, CVE-2024-21410</t>
  </si>
  <si>
    <t xml:space="preserve">AV-NET-04</t>
  </si>
  <si>
    <t xml:space="preserve">Service/version exploitation (unpatched)</t>
  </si>
  <si>
    <t xml:space="preserve">Exploitation</t>
  </si>
  <si>
    <t xml:space="preserve">Known vulnerabilities in unpatched network services.</t>
  </si>
  <si>
    <t xml:space="preserve">Access to or control of the host.</t>
  </si>
  <si>
    <t xml:space="preserve">Identify versions and compare with known advisories within scope.</t>
  </si>
  <si>
    <t xml:space="preserve">Patch management, minimize exposed services.</t>
  </si>
  <si>
    <t xml:space="preserve">Vulnerability scanning and exploit signature detection.</t>
  </si>
  <si>
    <t xml:space="preserve">T1190, T1210</t>
  </si>
  <si>
    <t xml:space="preserve">AV-NET-21, CVE-2017-0144, CVE-2019-0708, CVE-2020-0796, CVE-2025-59287, CVE-2026-33824</t>
  </si>
  <si>
    <t xml:space="preserve">AV-NET-05</t>
  </si>
  <si>
    <t xml:space="preserve">Default / weak credentials</t>
  </si>
  <si>
    <t xml:space="preserve">Vendor defaults or weak passwords on services and devices.</t>
  </si>
  <si>
    <t xml:space="preserve">Direct access to systems.</t>
  </si>
  <si>
    <t xml:space="preserve">Check for default and weak credentials within scope.</t>
  </si>
  <si>
    <t xml:space="preserve">Remove defaults, strong password policy, MFA.</t>
  </si>
  <si>
    <t xml:space="preserve">Alert on logins with default accounts.</t>
  </si>
  <si>
    <t xml:space="preserve">T1078, T1110</t>
  </si>
  <si>
    <t xml:space="preserve">AV-NET-12, AV-NET-14, AV-NET-19, AV-WEB-44</t>
  </si>
  <si>
    <t xml:space="preserve">AV-NET-06</t>
  </si>
  <si>
    <t xml:space="preserve">Password spraying</t>
  </si>
  <si>
    <t xml:space="preserve">A small number of commonly used passwords against many accounts.</t>
  </si>
  <si>
    <t xml:space="preserve">Account compromise without triggering lockout.</t>
  </si>
  <si>
    <t xml:space="preserve">Check lockout, throttling and detection policy (within the RoE).</t>
  </si>
  <si>
    <t xml:space="preserve">MFA, smart lockout policy, detection of spray patterns.</t>
  </si>
  <si>
    <t xml:space="preserve">Alert on many accounts with a few failed attempts.</t>
  </si>
  <si>
    <t xml:space="preserve">T1110.003</t>
  </si>
  <si>
    <t xml:space="preserve">CWE-307</t>
  </si>
  <si>
    <t xml:space="preserve">Password Spraying</t>
  </si>
  <si>
    <t xml:space="preserve">AV-WEB-43, AV-AD-19, AV-EXT-06, AV-CLD-09</t>
  </si>
  <si>
    <t xml:space="preserve">AV-NET-07</t>
  </si>
  <si>
    <t xml:space="preserve">Cleartext protocol interception</t>
  </si>
  <si>
    <t xml:space="preserve">Sniffing</t>
  </si>
  <si>
    <t xml:space="preserve">Unencrypted protocols allow eavesdropping on credentials.</t>
  </si>
  <si>
    <t xml:space="preserve">Interception of sensitive data.</t>
  </si>
  <si>
    <t xml:space="preserve">Inventory unencrypted traffic within scope.</t>
  </si>
  <si>
    <t xml:space="preserve">Enforce encryption; remove legacy protocols.</t>
  </si>
  <si>
    <t xml:space="preserve">NDR detection of cleartext credential traffic.</t>
  </si>
  <si>
    <t xml:space="preserve">V12</t>
  </si>
  <si>
    <t xml:space="preserve">T1040</t>
  </si>
  <si>
    <t xml:space="preserve">CWE-319</t>
  </si>
  <si>
    <t xml:space="preserve">Network Sniffing</t>
  </si>
  <si>
    <t xml:space="preserve">AV-NET-11, AV-NET-18, AV-WEB-20</t>
  </si>
  <si>
    <t xml:space="preserve">AV-NET-08</t>
  </si>
  <si>
    <t xml:space="preserve">SMB signing disabled</t>
  </si>
  <si>
    <t xml:space="preserve">Missing SMB signing enables relay and MitM attacks.</t>
  </si>
  <si>
    <t xml:space="preserve">Facilitates NTLM relay and traffic manipulation.</t>
  </si>
  <si>
    <t xml:space="preserve">Check whether SMB signing is required on hosts within scope.</t>
  </si>
  <si>
    <t xml:space="preserve">Require SMB signing domain-wide.</t>
  </si>
  <si>
    <t xml:space="preserve">Inventory hosts without mandatory signing.</t>
  </si>
  <si>
    <t xml:space="preserve">AV-NET-03, AV-AD-14, AV-AD-17, CVE-2025-33073</t>
  </si>
  <si>
    <t xml:space="preserve">AV-NET-09</t>
  </si>
  <si>
    <t xml:space="preserve">SNMP misconfiguration</t>
  </si>
  <si>
    <t xml:space="preserve">Weak community strings or exposed SNMP information.</t>
  </si>
  <si>
    <t xml:space="preserve">Information leakage and sometimes configuration changes.</t>
  </si>
  <si>
    <t xml:space="preserve">Check for default community strings and exposure (within scope).</t>
  </si>
  <si>
    <t xml:space="preserve">SNMPv3 with authentication, restrict access.</t>
  </si>
  <si>
    <t xml:space="preserve">Monitor SNMP traffic from unexpected sources.</t>
  </si>
  <si>
    <t xml:space="preserve">T1602</t>
  </si>
  <si>
    <t xml:space="preserve">AV-NET-12, CVE-2025-20352</t>
  </si>
  <si>
    <t xml:space="preserve">AV-NET-10</t>
  </si>
  <si>
    <t xml:space="preserve">IPv6 / DHCPv6 spoofing (mitm6) &amp; WPAD abuse</t>
  </si>
  <si>
    <t xml:space="preserve">Windows hosts request DHCPv6 by default; an attacker on the segment advertises itself as the DNS server and captures authentication via WPAD/DNS spoofing that can be relayed to LDAP(S)/SMB.</t>
  </si>
  <si>
    <t xml:space="preserve">NTLM relay to LDAP (creating a computer account, RBCD) up to and including domain compromise.</t>
  </si>
  <si>
    <t xml:space="preserve">Determine whether IPv6 is active but unmanaged and whether clients use DHCPv6/WPAD; perform only passive or explicitly approved active tests (RoE).</t>
  </si>
  <si>
    <t xml:space="preserve">Manage IPv6 (RA Guard, DHCPv6 Guard) or deliberately disable it on clients, disable WPAD, enforce LDAP signing/channel binding and SMB signing.</t>
  </si>
  <si>
    <t xml:space="preserve">Alert on unexpected DHCPv6/RA sources and WPAD requests to unknown hosts.</t>
  </si>
  <si>
    <t xml:space="preserve">T1557.003, T1557.001</t>
  </si>
  <si>
    <t xml:space="preserve">CWE-290</t>
  </si>
  <si>
    <t xml:space="preserve">Active Directory Attack - mitm6</t>
  </si>
  <si>
    <t xml:space="preserve">AV-NET-02, AV-NET-03, AV-AD-17</t>
  </si>
  <si>
    <t xml:space="preserve">https://blog.fox-it.com/2018/01/11/mitm6-compromising-ipv4-networks-via-ipv6/</t>
  </si>
  <si>
    <t xml:space="preserve">AV-NET-11</t>
  </si>
  <si>
    <t xml:space="preserve">ARP spoofing / layer-2 attacks</t>
  </si>
  <si>
    <t xml:space="preserve">Missing Dynamic ARP Inspection, DHCP snooping and port security allow ARP cache poisoning, DHCP spoofing and VLAN hopping on access switches.</t>
  </si>
  <si>
    <t xml:space="preserve">Interception and manipulation of traffic within the segment; downgrade to cleartext.</t>
  </si>
  <si>
    <t xml:space="preserve">Assess switch configuration (DAI, DHCP snooping, port security, native VLAN) and perform only limited, approved PoCs.</t>
  </si>
  <si>
    <t xml:space="preserve">DAI, DHCP snooping, port security, 802.1X, no unused ports in production VLANs, encryption of sensitive traffic.</t>
  </si>
  <si>
    <t xml:space="preserve">Alert on ARP anomalies (duplicate MAC/IP bindings) via NDR/switch logging.</t>
  </si>
  <si>
    <t xml:space="preserve">T1557.002</t>
  </si>
  <si>
    <t xml:space="preserve">AV-NET-07, AV-NET-20</t>
  </si>
  <si>
    <t xml:space="preserve">https://attack.mitre.org/techniques/T1557/002/</t>
  </si>
  <si>
    <t xml:space="preserve">AV-NET-12</t>
  </si>
  <si>
    <t xml:space="preserve">Exposed management interfaces (IPMI/BMC, iLO, iDRAC, web admin)</t>
  </si>
  <si>
    <t xml:space="preserve">Out-of-band management interfaces and web consoles of servers, switches, storage and hypervisors are reachable from user VLANs, often with default credentials, outdated firmware or IPMI 2.0 (RAKP hash leakage, cipher 0).</t>
  </si>
  <si>
    <t xml:space="preserve">Full control of hardware (console, virtual media, power) bypassing the OS; persistent access.</t>
  </si>
  <si>
    <t xml:space="preserve">Inventory management interfaces per segment, check reachability from non-management zones, default credentials, IPMI version/cipher suites and firmware version.</t>
  </si>
  <si>
    <t xml:space="preserve">Isolate management in a separate OOB VLAN with jump hosts and MFA, remove defaults, disable IPMI-over-LAN where possible, firmware updates.</t>
  </si>
  <si>
    <t xml:space="preserve">Alert on logins to management interfaces from non-management networks.</t>
  </si>
  <si>
    <t xml:space="preserve">T1021, T1078.001, T1110</t>
  </si>
  <si>
    <t xml:space="preserve">CWE-1188, CWE-284</t>
  </si>
  <si>
    <t xml:space="preserve">Insecure Management Interface</t>
  </si>
  <si>
    <t xml:space="preserve">CVE-2013-4786, AV-NET-05, AV-NET-15</t>
  </si>
  <si>
    <t xml:space="preserve">https://www.rapid7.com/blog/post/2013/07/02/a-penetration-testers-guide-to-ipmi/</t>
  </si>
  <si>
    <t xml:space="preserve">AV-NET-13</t>
  </si>
  <si>
    <t xml:space="preserve">Insecure network shares (anonymous / overly permissive SMB &amp; NFS)</t>
  </si>
  <si>
    <t xml:space="preserve">File shares are readable (or writable) by Everyone/Authenticated Users or anonymous users; NFS exports without root_squash or with no_root_squash; shares contain configs, scripts, backups and passwords.</t>
  </si>
  <si>
    <t xml:space="preserve">Data breach, credential discovery (often the fastest route to domain admin), placement of malicious files (LNK/SCF for hash capture).</t>
  </si>
  <si>
    <t xml:space="preserve">Enumerate shares and exports as an anonymous and as a low-privileged user, scan file contents for credentials and sensitive data (within scope).</t>
  </si>
  <si>
    <t xml:space="preserve">Least-privilege share and NTFS permissions, remove anonymous access, root_squash and host restrictions on NFS, clean up credentials in files, DLP/classification.</t>
  </si>
  <si>
    <t xml:space="preserve">Alert on large-scale share enumeration and mass file reads by a single user.</t>
  </si>
  <si>
    <t xml:space="preserve">T1135, T1039, T1552.001</t>
  </si>
  <si>
    <t xml:space="preserve">CWE-732, CWE-284</t>
  </si>
  <si>
    <t xml:space="preserve">Methodology and Resources - Network Discovery</t>
  </si>
  <si>
    <t xml:space="preserve">AV-AD-26, AV-HOST-04</t>
  </si>
  <si>
    <t xml:space="preserve">https://attack.mitre.org/techniques/T1135/</t>
  </si>
  <si>
    <t xml:space="preserve">AV-NET-14</t>
  </si>
  <si>
    <t xml:space="preserve">Exposed databases &amp; unauthenticated services (Redis, MongoDB, Elasticsearch, MSSQL)</t>
  </si>
  <si>
    <t xml:space="preserve">Databases, caches and message brokers listen on all interfaces without authentication or with weak/default credentials (e.g. sa, postgres, redis without requirepass, Elasticsearch without security).</t>
  </si>
  <si>
    <t xml:space="preserve">Data breach and often code execution on the host (xp_cmdshell, Redis module/config write, MongoDB scripting).</t>
  </si>
  <si>
    <t xml:space="preserve">Scan for database services, test anonymous access and default credentials, assess version and network exposure.</t>
  </si>
  <si>
    <t xml:space="preserve">Bind to localhost/management interfaces, mandatory authentication and TLS, firewall per source, least-privilege accounts, patch policy.</t>
  </si>
  <si>
    <t xml:space="preserve">Alert on connections to databases from non-application hosts.</t>
  </si>
  <si>
    <t xml:space="preserve">T1190, T1078.001, T1213</t>
  </si>
  <si>
    <t xml:space="preserve">CWE-306, CWE-1188</t>
  </si>
  <si>
    <t xml:space="preserve">CVE-2025-49844, CVE-2025-14847, AV-NET-05</t>
  </si>
  <si>
    <t xml:space="preserve">https://attack.mitre.org/techniques/T1190/</t>
  </si>
  <si>
    <t xml:space="preserve">AV-NET-15</t>
  </si>
  <si>
    <t xml:space="preserve">Insufficient network segmentation (flat network)</t>
  </si>
  <si>
    <t xml:space="preserve">Architecture</t>
  </si>
  <si>
    <t xml:space="preserve">Workstations, servers, OT/IoT, management and guests share (routable) segments without filtering, so that a compromised endpoint directly reaches critical systems.</t>
  </si>
  <si>
    <t xml:space="preserve">Rapid lateral movement and ransomware spread; the blast radius of a single incident is the entire network.</t>
  </si>
  <si>
    <t xml:space="preserve">Test reachability of critical systems (DCs, databases, backup, OT, management) from representative segments; assess firewall rules and VLAN design.</t>
  </si>
  <si>
    <t xml:space="preserve">Zoning (users, servers, management, OT, DMZ, guests) with default-deny between zones, microsegmentation for critical assets, host firewalls.</t>
  </si>
  <si>
    <t xml:space="preserve">NDR/flow monitoring of east-west traffic between zones; alert on SMB/RDP between workstations.</t>
  </si>
  <si>
    <t xml:space="preserve">T1021, T1570, T1210</t>
  </si>
  <si>
    <t xml:space="preserve">CWE-923</t>
  </si>
  <si>
    <t xml:space="preserve">Network Pivoting Techniques</t>
  </si>
  <si>
    <t xml:space="preserve">Tunneling</t>
  </si>
  <si>
    <t xml:space="preserve">AV-NET-12, AV-NET-17, AV-WIFI-07</t>
  </si>
  <si>
    <t xml:space="preserve">CIS Controls v8: 12.2</t>
  </si>
  <si>
    <t xml:space="preserve">https://www.cisecurity.org/controls/v8</t>
  </si>
  <si>
    <t xml:space="preserve">AV-NET-16</t>
  </si>
  <si>
    <t xml:space="preserve">Insufficient egress filtering (C2 / exfiltration possible)</t>
  </si>
  <si>
    <t xml:space="preserve">Command and control</t>
  </si>
  <si>
    <t xml:space="preserve">Outbound traffic from workstations and servers is not restricted to necessary destinations/protocols (direct internet, DNS to external resolvers, unrestricted 443), so that C2 channels and data exfiltration go unnoticed.</t>
  </si>
  <si>
    <t xml:space="preserve">Unrestricted command-and-control and exfiltration; DNS/ICMP tunneling possible.</t>
  </si>
  <si>
    <t xml:space="preserve">Test from representative segments which ports/protocols to the internet are open (incl. DNS tunneling and direct IP connections) and whether a proxy is mandatory.</t>
  </si>
  <si>
    <t xml:space="preserve">Default-deny egress with proxy/allowlisting, enforce internal DNS resolvers, TLS inspection where appropriate, no direct internet access for servers.</t>
  </si>
  <si>
    <t xml:space="preserve">Alert on long/regular connections to unknown destinations, DNS anomalies and large outbound volumes.</t>
  </si>
  <si>
    <t xml:space="preserve">T1071, T1572, T1090, T1048</t>
  </si>
  <si>
    <t xml:space="preserve">https://attack.mitre.org/techniques/T1572/</t>
  </si>
  <si>
    <t xml:space="preserve">AV-NET-17</t>
  </si>
  <si>
    <t xml:space="preserve">Exposed remote access services (RDP/VNC/SSH) with weak configuration</t>
  </si>
  <si>
    <t xml:space="preserve">RDP without NLA, VNC without or with a weak password, SSH with password authentication/root login, and remote access tools (AnyDesk, TeamViewer, ScreenConnect) widely available within the network.</t>
  </si>
  <si>
    <t xml:space="preserve">Brute force and credential reuse for lateral movement; shadow IT remote access as a persistence channel.</t>
  </si>
  <si>
    <t xml:space="preserve">Inventory remote access services per segment, check NLA, encryption, authentication methods and lockout.</t>
  </si>
  <si>
    <t xml:space="preserve">NLA and MFA on RDP, SSH with keys and without root login, VNC only via tunnel, allowlisting of remote access tools, jump hosts.</t>
  </si>
  <si>
    <t xml:space="preserve">Alert on RDP/SSH logins between workstations and on installation of unknown remote access software.</t>
  </si>
  <si>
    <t xml:space="preserve">T1021.001, T1021.004, T1219, T1110</t>
  </si>
  <si>
    <t xml:space="preserve">CWE-287, CWE-306</t>
  </si>
  <si>
    <t xml:space="preserve">CVE-2019-0708, CVE-2024-1709, AV-NET-05</t>
  </si>
  <si>
    <t xml:space="preserve">https://attack.mitre.org/techniques/T1021/001/</t>
  </si>
  <si>
    <t xml:space="preserve">AV-NET-18</t>
  </si>
  <si>
    <t xml:space="preserve">Legacy protocols enabled (SMBv1, Telnet/FTP, TLS 1.0/1.1, SSLv3)</t>
  </si>
  <si>
    <t xml:space="preserve">Outdated protocols and versions are still active on servers, printers and appliances, with known vulnerabilities (EternalBlue on SMBv1), cleartext authentication or weak cryptography.</t>
  </si>
  <si>
    <t xml:space="preserve">Exploitation of known vulnerabilities, interception of credentials, downgrade attacks.</t>
  </si>
  <si>
    <t xml:space="preserve">Scan for SMBv1, Telnet, FTP, old TLS versions and cipher suites; link to known CVEs within scope.</t>
  </si>
  <si>
    <t xml:space="preserve">Disable SMBv1 (GPO), replace Telnet/FTP with SSH/SFTP, TLS 1.2+ with modern suites, replace or isolate devices that do not support this.</t>
  </si>
  <si>
    <t xml:space="preserve">Periodic protocol scans; alert on SMBv1 negotiation and cleartext logins in NDR.</t>
  </si>
  <si>
    <t xml:space="preserve">A02:2025, A04:2025</t>
  </si>
  <si>
    <t xml:space="preserve">T1210, T1040</t>
  </si>
  <si>
    <t xml:space="preserve">CWE-1104, CWE-327, CWE-319</t>
  </si>
  <si>
    <t xml:space="preserve">CVE-2017-0144, AV-NET-07, AV-AD-18</t>
  </si>
  <si>
    <t xml:space="preserve">https://learn.microsoft.com/en-us/windows-server/storage/file-server/troubleshoot/detect-enable-and-disable-smbv1-v2-v3</t>
  </si>
  <si>
    <t xml:space="preserve">AV-NET-19</t>
  </si>
  <si>
    <t xml:space="preserve">Printer / MFP abuse (LDAP pass-back, stored credentials, PJL)</t>
  </si>
  <si>
    <t xml:space="preserve">Multifunction printers with a default admin password contain LDAP/SMB scan-to-folder credentials; by changing the LDAP address (pass-back), those credentials are sent in cleartext to the attacker; PJL/PostScript gives access to the file system and stored scans.</t>
  </si>
  <si>
    <t xml:space="preserve">Obtaining (often privileged) domain credentials and sensitive documents.</t>
  </si>
  <si>
    <t xml:space="preserve">Inventory printers, check default credentials and the presence of stored LDAP/SMB accounts; perform pass-back only within the RoE.</t>
  </si>
  <si>
    <t xml:space="preserve">Unique admin passwords, least-privilege scan accounts (no domain admin), LDAPS with certificate validation, printers in a separate VLAN, firmware updates.</t>
  </si>
  <si>
    <t xml:space="preserve">Alert on LDAP binds from printer accounts to non-DC hosts.</t>
  </si>
  <si>
    <t xml:space="preserve">T1557, T1552, T1078.001</t>
  </si>
  <si>
    <t xml:space="preserve">CWE-1188, CWE-522</t>
  </si>
  <si>
    <t xml:space="preserve">AV-NET-05, AV-NET-12</t>
  </si>
  <si>
    <t xml:space="preserve">http://hacking-printers.net/wiki/index.php/Main_Page</t>
  </si>
  <si>
    <t xml:space="preserve">AV-NET-20</t>
  </si>
  <si>
    <t xml:space="preserve">No network access control (802.1X / NAC) on wired or wireless</t>
  </si>
  <si>
    <t xml:space="preserve">Every physically connected or wirelessly connected device receives an address in a production VLAN; no 802.1X, MAB-only with MAC spoofing possible, or NAC only in monitoring mode.</t>
  </si>
  <si>
    <t xml:space="preserve">Rogue devices (drop boxes, implants) and brought-in laptops immediately get access to the internal network.</t>
  </si>
  <si>
    <t xml:space="preserve">Connect an unknown device to access ports (meeting rooms, printers, VoIP) and determine the access obtained; test MAC spoofing of allowed devices (RoE).</t>
  </si>
  <si>
    <t xml:space="preserve">802.1X with certificates (EAP-TLS), MAB only with profiling and a restricted VLAN, port lockdown of unused ports, VoIP/printer VLANs separated.</t>
  </si>
  <si>
    <t xml:space="preserve">NAC alerts on new MAC addresses and profiling mismatch.</t>
  </si>
  <si>
    <t xml:space="preserve">T1200, T1557</t>
  </si>
  <si>
    <t xml:space="preserve">CWE-306</t>
  </si>
  <si>
    <t xml:space="preserve">AV-PHY-03, AV-PHY-08, AV-WIFI-05</t>
  </si>
  <si>
    <t xml:space="preserve">https://attack.mitre.org/techniques/T1200/</t>
  </si>
  <si>
    <t xml:space="preserve">AV-NET-21</t>
  </si>
  <si>
    <t xml:space="preserve">End-of-life / unsupported systems</t>
  </si>
  <si>
    <t xml:space="preserve">Operating systems, databases or appliances without vendor support (e.g. Windows Server 2012/2012 R2, Windows 10 after Oct 2025, old ESXi/NetScaler firmware) run in production without compensating controls.</t>
  </si>
  <si>
    <t xml:space="preserve">Unpatchable, publicly known vulnerabilities; often direct exploitation to SYSTEM/root.</t>
  </si>
  <si>
    <t xml:space="preserve">Inventory versions via scans and CMDB and compare with EOL dates; assess isolation and compensating controls.</t>
  </si>
  <si>
    <t xml:space="preserve">Migrate/replace, ESU where temporarily needed, strict isolation (no internet, separate zone), virtual patching, remove from the domain where possible.</t>
  </si>
  <si>
    <t xml:space="preserve">Vulnerability management with EOL flagging; alert on traffic to EOL hosts from workstations.</t>
  </si>
  <si>
    <t xml:space="preserve">T1210, T1068</t>
  </si>
  <si>
    <t xml:space="preserve">Public exploits</t>
  </si>
  <si>
    <t xml:space="preserve">AV-NET-04, CVE-2017-0144, CVE-2019-0708</t>
  </si>
  <si>
    <t xml:space="preserve">https://endoflife.date/</t>
  </si>
  <si>
    <t xml:space="preserve">AV-NET-22</t>
  </si>
  <si>
    <t xml:space="preserve">Virtualization / hypervisor management exposure (vCenter, ESXi, Hyper-V, Proxmox)</t>
  </si>
  <si>
    <t xml:space="preserve">Hypervisor management interfaces are reachable from user segments, linked to AD (ESXi Admins group), unpatched or with local accounts without MFA; VM escape and snapshot theft are possible.</t>
  </si>
  <si>
    <t xml:space="preserve">Compromise of all virtual machines at once (incl. DCs via VMDK theft), ransomware at the hypervisor level.</t>
  </si>
  <si>
    <t xml:space="preserve">Check network exposure, versions, AD integration/group names, SSH/shell access and lockdown mode of hypervisors and vCenter.</t>
  </si>
  <si>
    <t xml:space="preserve">Management only via a management zone with MFA, patching, lockdown mode, no AD group-name-based admin without protection, immutable backups of VMs.</t>
  </si>
  <si>
    <t xml:space="preserve">Alert on logins to vCenter/ESXi from non-management networks and on mass snapshot/export actions.</t>
  </si>
  <si>
    <t xml:space="preserve">T1021, T1078, T1611</t>
  </si>
  <si>
    <t xml:space="preserve">CVE-2021-21972, CVE-2024-37085, CVE-2025-22224, CVE-2026-59310</t>
  </si>
  <si>
    <t xml:space="preserve">https://www.cisa.gov/news-events/cybersecurity-advisories/aa23-039a</t>
  </si>
  <si>
    <t xml:space="preserve">AV-NET-23</t>
  </si>
  <si>
    <t xml:space="preserve">Backup infrastructure exposure (Veeam, Commvault, NAS-backups)</t>
  </si>
  <si>
    <t xml:space="preserve">Backup servers run in the domain with privileged service accounts, are widely reachable, unpatched or have backups that can be deleted/encrypted by domain accounts.</t>
  </si>
  <si>
    <t xml:space="preserve">Ransomware actors delete or encrypt backups and extract credentials from the backup console; recovery becomes impossible.</t>
  </si>
  <si>
    <t xml:space="preserve">Assess network exposure, versions, domain membership, privileges of backup accounts and immutability of backups.</t>
  </si>
  <si>
    <t xml:space="preserve">Backup server outside the production domain or in a separate tier, immutable/offline copies (3-2-1-1-0), least-privilege service accounts, MFA on the console, patching.</t>
  </si>
  <si>
    <t xml:space="preserve">Alert on deletion of backup jobs/repositories and on logins to the backup console outside maintenance windows.</t>
  </si>
  <si>
    <t xml:space="preserve">T1490, T1078, T1552</t>
  </si>
  <si>
    <t xml:space="preserve">CVE-2024-40711, AV-NET-15</t>
  </si>
  <si>
    <t xml:space="preserve">https://www.veeam.com/kb4649</t>
  </si>
  <si>
    <t xml:space="preserve">AV-EXT-01</t>
  </si>
  <si>
    <t xml:space="preserve">External network</t>
  </si>
  <si>
    <t xml:space="preserve">External attack surface &amp; OSINT enumeration</t>
  </si>
  <si>
    <t xml:space="preserve">Mapping of domains, subdomains, IP ranges, cloud assets, certificates, employees and technology via passive sources (CT logs, DNS, Shodan/Censys, breach data, social media).</t>
  </si>
  <si>
    <t xml:space="preserve">Determines the attack surface and unknown/forgotten assets (shadow IT).</t>
  </si>
  <si>
    <t xml:space="preserve">Perform passive and light active enumeration; compare discovered assets with the client's inventory and report unknown assets.</t>
  </si>
  <si>
    <t xml:space="preserve">Asset inventory and attack surface management (ASM), decommissioning process, limiting public information.</t>
  </si>
  <si>
    <t xml:space="preserve">Limited; monitor CT logs and ASM tooling for new assets.</t>
  </si>
  <si>
    <t xml:space="preserve">WSTG-INFO-01, WSTG-INFO-02</t>
  </si>
  <si>
    <t xml:space="preserve">T1595, T1593, T1596, T1590</t>
  </si>
  <si>
    <t xml:space="preserve">AV-NET-01, AV-WEB-28</t>
  </si>
  <si>
    <t xml:space="preserve">https://github.com/OWASP/amass</t>
  </si>
  <si>
    <t xml:space="preserve">AV-EXT-02</t>
  </si>
  <si>
    <t xml:space="preserve">Exposed administrative / remote access services on the perimeter</t>
  </si>
  <si>
    <t xml:space="preserve">RDP, SSH, SMB, databases, management interfaces of firewalls/appliances, Kubernetes APIs or Docker APIs are directly reachable from the internet.</t>
  </si>
  <si>
    <t xml:space="preserve">Brute force, credential stuffing and direct exploitation of management interfaces; ransomware initial access.</t>
  </si>
  <si>
    <t xml:space="preserve">Port scan and service fingerprinting on the external ranges; test authentication requirements, lockout and versions (RoE).</t>
  </si>
  <si>
    <t xml:space="preserve">Management only via VPN/ZTNA with MFA, allowlisting of source IPs, remove unnecessary services, WAF/reverse proxy for web management.</t>
  </si>
  <si>
    <t xml:space="preserve">Alert on external login attempts on management services; ASM scans.</t>
  </si>
  <si>
    <t xml:space="preserve">T1133, T1190, T1110</t>
  </si>
  <si>
    <t xml:space="preserve">CWE-284, CWE-1327</t>
  </si>
  <si>
    <t xml:space="preserve">AV-NET-17, CVE-2024-0012, CVE-2026-20079</t>
  </si>
  <si>
    <t xml:space="preserve">https://www.cisa.gov/resources-tools/services/cyber-hygiene-services</t>
  </si>
  <si>
    <t xml:space="preserve">AV-EXT-03</t>
  </si>
  <si>
    <t xml:space="preserve">E-mail spoofing (missing/weak SPF, DKIM, DMARC)</t>
  </si>
  <si>
    <t xml:space="preserve">SPF is missing or too permissive (+all, too many includes), DKIM is missing, DMARC is set to p=none or is missing, which allows emails to be forged on behalf of the domain; also subdomains without a policy and MTA-STS/TLS-RPT are missing.</t>
  </si>
  <si>
    <t xml:space="preserve">Credible phishing and CEO fraud on behalf of the organization aimed at employees, customers and partners.</t>
  </si>
  <si>
    <t xml:space="preserve">Analyze SPF/DKIM/DMARC/MTA-STS records and test (with permission) whether a forged email reaches the inbox.</t>
  </si>
  <si>
    <t xml:space="preserve">SPF with -all, DKIM on all sending systems, DMARC p=reject (phased), policy for subdomains, MTA-STS and TLS-RPT, inbound DMARC enforcement.</t>
  </si>
  <si>
    <t xml:space="preserve">Monitor DMARC aggregate reports; alert on inbound mail with the organization's own domain as sender that fails DMARC.</t>
  </si>
  <si>
    <t xml:space="preserve">T1566, T1672</t>
  </si>
  <si>
    <t xml:space="preserve">CWE-290, CWE-346</t>
  </si>
  <si>
    <t xml:space="preserve">Phishing Methodology</t>
  </si>
  <si>
    <t xml:space="preserve">AV-SE-01, AV-SE-02</t>
  </si>
  <si>
    <t xml:space="preserve">NCSC-NL / Forum Standaardisatie: SPF, DKIM, DMARC, STARTTLS, DANE</t>
  </si>
  <si>
    <t xml:space="preserve">https://internet.nl/</t>
  </si>
  <si>
    <t xml:space="preserve">DNS misconfiguration (zone transfer, dangling records, missing DNSSEC)</t>
  </si>
  <si>
    <t xml:space="preserve">AXFR allowed to arbitrary clients, orphaned records pointing to external services or old IPs, missing DNSSEC/CAA, internal hostnames in public zones.</t>
  </si>
  <si>
    <t xml:space="preserve">Complete inventory of hosts for attackers, subdomain takeover, DNS spoofing of the domain.</t>
  </si>
  <si>
    <t xml:space="preserve">Test zone transfer on all authoritative nameservers, enumerate records and check DNSSEC/CAA and dangling records.</t>
  </si>
  <si>
    <t xml:space="preserve">AXFR only to secondary servers, cleanup of records, DNSSEC and CAA, separation of internal and external zones (split-horizon).</t>
  </si>
  <si>
    <t xml:space="preserve">Alert on AXFR requests from unknown sources; periodic DNS audit.</t>
  </si>
  <si>
    <t xml:space="preserve">WSTG-INFO-02, WSTG-CONF-10</t>
  </si>
  <si>
    <t xml:space="preserve">T1590.002, T1584.001</t>
  </si>
  <si>
    <t xml:space="preserve">CWE-200, CWE-284</t>
  </si>
  <si>
    <t xml:space="preserve">AV-EXT-05</t>
  </si>
  <si>
    <t xml:space="preserve">VPN / remote access gateway weaknesses</t>
  </si>
  <si>
    <t xml:space="preserve">SSL VPNs and remote access gateways (Fortinet, Citrix NetScaler, Ivanti, Palo Alto, Cisco ASA, SonicWall, Check Point) without MFA, with outdated firmware with known exploits, exposed management ports or weak local accounts.</t>
  </si>
  <si>
    <t xml:space="preserve">Direct access to the internal network with a single leaked password or via a public exploit; this is the most common ransomware initial access.</t>
  </si>
  <si>
    <t xml:space="preserve">Fingerprint version and build, compare with KEV/vendor advisories, test MFA coverage (incl. legacy realms), lockout and exposure of management interfaces.</t>
  </si>
  <si>
    <t xml:space="preserve">MFA for all users, patching within days for KEV listings, management interface not exposed to the internet, certificate-based client authentication, logging and integrity checks of the appliance.</t>
  </si>
  <si>
    <t xml:space="preserve">Alert on VPN logins from new countries/ASNs, multiple users from a single IP and on configuration changes of the appliance.</t>
  </si>
  <si>
    <t xml:space="preserve">T1133, T1078, T1190</t>
  </si>
  <si>
    <t xml:space="preserve">CWE-287, CWE-1104</t>
  </si>
  <si>
    <t xml:space="preserve">CVE-2018-13379, CVE-2023-4966, CVE-2024-21887, CVE-2024-3400, CVE-2025-20333, CVE-2025-5777</t>
  </si>
  <si>
    <t xml:space="preserve">Related CVEs without their own row: CVE-2026-19490</t>
  </si>
  <si>
    <t xml:space="preserve">https://www.cisa.gov/known-exploited-vulnerabilities-catalog</t>
  </si>
  <si>
    <t xml:space="preserve">AV-EXT-06</t>
  </si>
  <si>
    <t xml:space="preserve">Leaked credentials &amp; breach data exposure</t>
  </si>
  <si>
    <t xml:space="preserve">Employee credentials appear in public data breaches, infostealer logs or code repositories; password reuse between personal and business accounts makes them usable on VPN, M365 or webmail.</t>
  </si>
  <si>
    <t xml:space="preserve">Valid access without exploitation; often combined with MFA fatigue or missing MFA.</t>
  </si>
  <si>
    <t xml:space="preserve">Search (within the RoE and legal frameworks) breach/stealer data sources for the domain and validate only with permission via password spraying or a single login.</t>
  </si>
  <si>
    <t xml:space="preserve">Credential screening against breach lists, MFA, password manager, monitoring of stealer logs, incident process for leaked credentials.</t>
  </si>
  <si>
    <t xml:space="preserve">Alert on logins with leaked credentials (identity protection) and on impossible travel.</t>
  </si>
  <si>
    <t xml:space="preserve">T1589.001, T1586, T1078</t>
  </si>
  <si>
    <t xml:space="preserve">CWE-521, CWE-522</t>
  </si>
  <si>
    <t xml:space="preserve">AV-NET-06, AV-WEB-44, AV-CLD-09</t>
  </si>
  <si>
    <t xml:space="preserve">https://haveibeenpwned.com/</t>
  </si>
  <si>
    <t xml:space="preserve">AV-EXT-07</t>
  </si>
  <si>
    <t xml:space="preserve">Exposed test / staging / development environments</t>
  </si>
  <si>
    <t xml:space="preserve">Staging, test and development environments are publicly reachable with production data, weaker security, debug modes, default accounts or old code versions; often outside monitoring.</t>
  </si>
  <si>
    <t xml:space="preserve">Data leak of production-like data and an easy stepping stone (shared credentials, network link) to production.</t>
  </si>
  <si>
    <t xml:space="preserve">Enumerate subdomains/hosts with test/dev/acc/uat naming, assess security, data and links with production.</t>
  </si>
  <si>
    <t xml:space="preserve">No production data in non-production, IP allowlisting/VPN, the same baseline and monitoring as production, decommissioning.</t>
  </si>
  <si>
    <t xml:space="preserve">ASM tooling for new hosts; central logging of non-production environments.</t>
  </si>
  <si>
    <t xml:space="preserve">WSTG-CONF-05</t>
  </si>
  <si>
    <t xml:space="preserve">T1190, T1133</t>
  </si>
  <si>
    <t xml:space="preserve">CWE-284, CWE-1188</t>
  </si>
  <si>
    <t xml:space="preserve">AV-WEB-18, AV-WEB-48</t>
  </si>
  <si>
    <t xml:space="preserve">https://owasp.org/www-project-web-security-testing-guide/latest/4-Web_Application_Security_Testing/02-Configuration_and_Deployment_Management_Testing/05-Enumerate_Infrastructure_and_Application_Admin_Interfaces</t>
  </si>
  <si>
    <t xml:space="preserve">AV-AD-01</t>
  </si>
  <si>
    <t xml:space="preserve">Kerberoasting</t>
  </si>
  <si>
    <t xml:space="preserve">Service tickets for SPN accounts are cracked offline against weak passwords.</t>
  </si>
  <si>
    <t xml:space="preserve">Compromise of service accounts, often with high privileges.</t>
  </si>
  <si>
    <t xml:space="preserve">Inventory SPN accounts and assess password strength/policy.</t>
  </si>
  <si>
    <t xml:space="preserve">(g)MSAs, strong passwords (25+ characters for service accounts), minimize SPNs; disable RC4 (Kerberos encryption types) so that only AES tickets are issued.</t>
  </si>
  <si>
    <t xml:space="preserve">Alert on unusual service ticket requests.</t>
  </si>
  <si>
    <t xml:space="preserve">T1558.003</t>
  </si>
  <si>
    <t xml:space="preserve">Active Directory Attack - Kerberoast</t>
  </si>
  <si>
    <t xml:space="preserve">AV-AD-19, AV-AD-20</t>
  </si>
  <si>
    <t xml:space="preserve">AV-AD-02</t>
  </si>
  <si>
    <t xml:space="preserve">AS-REP roasting</t>
  </si>
  <si>
    <t xml:space="preserve">Accounts without pre-authentication yield crackable material.</t>
  </si>
  <si>
    <t xml:space="preserve">Offline cracking of user passwords.</t>
  </si>
  <si>
    <t xml:space="preserve">Inventory accounts with pre-auth disabled.</t>
  </si>
  <si>
    <t xml:space="preserve">Require Kerberos pre-authentication; strong passwords.</t>
  </si>
  <si>
    <t xml:space="preserve">Alert on AS-REP requests for such accounts.</t>
  </si>
  <si>
    <t xml:space="preserve">T1558.004</t>
  </si>
  <si>
    <t xml:space="preserve">Active Directory Attack - ASREPRoast</t>
  </si>
  <si>
    <t xml:space="preserve">AV-AD-19</t>
  </si>
  <si>
    <t xml:space="preserve">AV-AD-03</t>
  </si>
  <si>
    <t xml:space="preserve">OS credential dumping</t>
  </si>
  <si>
    <t xml:space="preserve">Extraction of credentials from memory or local stores on a host.</t>
  </si>
  <si>
    <t xml:space="preserve">Reuse of credentials for further access.</t>
  </si>
  <si>
    <t xml:space="preserve">Assess protection of credential stores and LSASS (post-exploitation, within scope).</t>
  </si>
  <si>
    <t xml:space="preserve">Credential Guard, LAPS, least privilege, EDR.</t>
  </si>
  <si>
    <t xml:space="preserve">EDR detection of memory access to credential processes.</t>
  </si>
  <si>
    <t xml:space="preserve">T1003</t>
  </si>
  <si>
    <t xml:space="preserve">Active Directory Attack - Credential Dumping</t>
  </si>
  <si>
    <t xml:space="preserve">AV-HOST-06, AV-AD-21, AV-HOST-04, CVE-2021-36934</t>
  </si>
  <si>
    <t xml:space="preserve">AV-AD-04</t>
  </si>
  <si>
    <t xml:space="preserve">DCSync</t>
  </si>
  <si>
    <t xml:space="preserve">Abuse of replication privileges to request password hashes from the DC.</t>
  </si>
  <si>
    <t xml:space="preserve">Obtaining hashes up to and including domain admin.</t>
  </si>
  <si>
    <t xml:space="preserve">Assess who holds replication privileges (DS-Replication).</t>
  </si>
  <si>
    <t xml:space="preserve">Restrict replication privileges; monitor delegations.</t>
  </si>
  <si>
    <t xml:space="preserve">Alert on replication from non-DC hosts.</t>
  </si>
  <si>
    <t xml:space="preserve">T1003.006</t>
  </si>
  <si>
    <t xml:space="preserve">Active Directory Attack - DCSync</t>
  </si>
  <si>
    <t xml:space="preserve">AV-AD-08, AV-AD-17, AV-CLD-13, CVE-2020-1472</t>
  </si>
  <si>
    <t xml:space="preserve">AV-AD-05</t>
  </si>
  <si>
    <t xml:space="preserve">Pass-the-hash</t>
  </si>
  <si>
    <t xml:space="preserve">Authentication with an NTLM hash without knowing the password.</t>
  </si>
  <si>
    <t xml:space="preserve">Lateral movement with compromised credentials.</t>
  </si>
  <si>
    <t xml:space="preserve">Assess segmentation and reuse of local admin credentials.</t>
  </si>
  <si>
    <t xml:space="preserve">LAPS, tiering, limit local admin reuse.</t>
  </si>
  <si>
    <t xml:space="preserve">Detect NTLM auth patterns between workstations.</t>
  </si>
  <si>
    <t xml:space="preserve">T1550.002</t>
  </si>
  <si>
    <t xml:space="preserve">Active Directory Attack - Pass the Hash</t>
  </si>
  <si>
    <t xml:space="preserve">AV-AD-21, AV-AD-18, AV-AD-03</t>
  </si>
  <si>
    <t xml:space="preserve">AV-AD-06</t>
  </si>
  <si>
    <t xml:space="preserve">Pass-the-ticket</t>
  </si>
  <si>
    <t xml:space="preserve">Reuse of Kerberos tickets for access to resources.</t>
  </si>
  <si>
    <t xml:space="preserve">Lateral movement and access to services.</t>
  </si>
  <si>
    <t xml:space="preserve">Assess ticket lifetime and host protection.</t>
  </si>
  <si>
    <t xml:space="preserve">Short ticket lifetime, tiering, credential hygiene.</t>
  </si>
  <si>
    <t xml:space="preserve">Alert on ticket use from unexpected hosts.</t>
  </si>
  <si>
    <t xml:space="preserve">T1550.003</t>
  </si>
  <si>
    <t xml:space="preserve">Active Directory Attack - Pass the Ticket</t>
  </si>
  <si>
    <t xml:space="preserve">AV-AD-05, AV-AD-11</t>
  </si>
  <si>
    <t xml:space="preserve">AV-AD-07</t>
  </si>
  <si>
    <t xml:space="preserve">Delegation abuse</t>
  </si>
  <si>
    <t xml:space="preserve">Abuse of (un)constrained or resource-based delegation for impersonation.</t>
  </si>
  <si>
    <t xml:space="preserve">Impersonation of privileged accounts.</t>
  </si>
  <si>
    <t xml:space="preserve">Inventory delegation settings and risky configurations.</t>
  </si>
  <si>
    <t xml:space="preserve">Minimize delegation; mark sensitive accounts as non-delegable.</t>
  </si>
  <si>
    <t xml:space="preserve">Monitor changes to delegation attributes.</t>
  </si>
  <si>
    <t xml:space="preserve">T1134, T1484</t>
  </si>
  <si>
    <t xml:space="preserve">Active Directory Attack - Delegation</t>
  </si>
  <si>
    <t xml:space="preserve">AV-AD-16, AV-AD-17, CVE-2021-42287</t>
  </si>
  <si>
    <t xml:space="preserve">AV-AD-08</t>
  </si>
  <si>
    <t xml:space="preserve">ACL / ACE abuse</t>
  </si>
  <si>
    <t xml:space="preserve">Abuse of permissions in object ACLs for escalation paths.</t>
  </si>
  <si>
    <t xml:space="preserve">Takeover of objects or accounts via a chain of permissions.</t>
  </si>
  <si>
    <t xml:space="preserve">Analyze ACL paths (e.g. via attack path mapping) within scope.</t>
  </si>
  <si>
    <t xml:space="preserve">Least privilege on AD objects; cleanup of dangerous ACEs.</t>
  </si>
  <si>
    <t xml:space="preserve">Monitor changes to sensitive object ACLs.</t>
  </si>
  <si>
    <t xml:space="preserve">T1098, T1484.001</t>
  </si>
  <si>
    <t xml:space="preserve">Active Directory Attack - ACL</t>
  </si>
  <si>
    <t xml:space="preserve">AV-AD-15, AV-AD-23, AV-AD-25, AV-AD-20</t>
  </si>
  <si>
    <t xml:space="preserve">AV-AD-09</t>
  </si>
  <si>
    <t xml:space="preserve">ADCS misconfiguration (ESC1-ESC16)</t>
  </si>
  <si>
    <t xml:space="preserve">Vulnerable certificate templates, CA configuration or certificate mapping (ESC1 through ESC16: including enrollee-supplied SAN, Any Purpose/Agent EKU, writable templates/CA ACLs, NTLM relay to web enrollment (ESC8), weak certificate mapping (ESC9/10), EKUwu (ESC15) and disabled security extension (ESC16)) allow escalation.</t>
  </si>
  <si>
    <t xml:space="preserve">Obtaining authentication certificates for privileged accounts.</t>
  </si>
  <si>
    <t xml:space="preserve">Assess template permissions, CA configuration and mapping settings for known misconfigurations (e.g. with Certipy 'find -vulnerable'), including ESC8 exposure of HTTP enrollment without EPA.</t>
  </si>
  <si>
    <t xml:space="preserve">Fix template permissions; disable dangerous options (enrollee supplies subject, Any Purpose EKU); EPA/HTTPS-only or disabling web enrollment; StrongCertificateBindingEnforcement = 2; patch CVE-2022-26923 and CVE-2024-49019; audit CA permissions (ManageCA/ManageCertificates).</t>
  </si>
  <si>
    <t xml:space="preserve">Monitor certificate requests for sensitive identities.</t>
  </si>
  <si>
    <t xml:space="preserve">T1649</t>
  </si>
  <si>
    <t xml:space="preserve">Active Directory Attack - Certificate Services</t>
  </si>
  <si>
    <t xml:space="preserve">CVE-2022-26923, CVE-2024-49019, AV-AD-14, AV-AD-15</t>
  </si>
  <si>
    <t xml:space="preserve">Certipy ESC1-ESC16; SpecterOps 'Certified Pre-Owned'</t>
  </si>
  <si>
    <t xml:space="preserve">AV-AD-10</t>
  </si>
  <si>
    <t xml:space="preserve">GPP cpassword / SYSVOL credential exposure</t>
  </si>
  <si>
    <t xml:space="preserve">Encrypted passwords in Group Policy Preferences can be decrypted.</t>
  </si>
  <si>
    <t xml:space="preserve">Obtaining (often local admin) credentials.</t>
  </si>
  <si>
    <t xml:space="preserve">Check SYSVOL for GPP files with cpassword.</t>
  </si>
  <si>
    <t xml:space="preserve">Remove GPP cpassword; use LAPS.</t>
  </si>
  <si>
    <t xml:space="preserve">Audit SYSVOL access and GPP content.</t>
  </si>
  <si>
    <t xml:space="preserve">T1552.006</t>
  </si>
  <si>
    <t xml:space="preserve">Active Directory Attack - GPP Passwords</t>
  </si>
  <si>
    <t xml:space="preserve">AV-AD-26, AV-AD-23</t>
  </si>
  <si>
    <t xml:space="preserve">AV-AD-11</t>
  </si>
  <si>
    <t xml:space="preserve">Golden ticket</t>
  </si>
  <si>
    <t xml:space="preserve">Persistence</t>
  </si>
  <si>
    <t xml:space="preserve">Forged TGTs based on the krbtgt key for domain-wide access.</t>
  </si>
  <si>
    <t xml:space="preserve">Persistent, privileged access to the domain.</t>
  </si>
  <si>
    <t xml:space="preserve">Assess krbtgt hygiene and rotation policy (post-DA, within scope).</t>
  </si>
  <si>
    <t xml:space="preserve">Rotate krbtgt periodically; restrict DA access.</t>
  </si>
  <si>
    <t xml:space="preserve">Alert on TGTs with anomalous lifetime/properties.</t>
  </si>
  <si>
    <t xml:space="preserve">T1558.001</t>
  </si>
  <si>
    <t xml:space="preserve">Active Directory Attack - Golden Ticket</t>
  </si>
  <si>
    <t xml:space="preserve">AV-AD-04, AV-AD-27</t>
  </si>
  <si>
    <t xml:space="preserve">AV-AD-12</t>
  </si>
  <si>
    <t xml:space="preserve">Silver ticket</t>
  </si>
  <si>
    <t xml:space="preserve">Forged service tickets for a specific service.</t>
  </si>
  <si>
    <t xml:space="preserve">Targeted, persistent access to a service.</t>
  </si>
  <si>
    <t xml:space="preserve">Assess service account hygiene and monitoring.</t>
  </si>
  <si>
    <t xml:space="preserve">Strong service account passwords; monitoring.</t>
  </si>
  <si>
    <t xml:space="preserve">Detect service tickets without a corresponding TGT.</t>
  </si>
  <si>
    <t xml:space="preserve">T1558.002</t>
  </si>
  <si>
    <t xml:space="preserve">Active Directory Attack - Silver Ticket</t>
  </si>
  <si>
    <t xml:space="preserve">AV-AD-13</t>
  </si>
  <si>
    <t xml:space="preserve">Attack-path / trust enumeration</t>
  </si>
  <si>
    <t xml:space="preserve">Mapping of permissions, sessions and trusts for escalation paths.</t>
  </si>
  <si>
    <t xml:space="preserve">Reveals efficient routes to high privileges.</t>
  </si>
  <si>
    <t xml:space="preserve">Collect and analyze AD relationships (e.g. via graph tooling) within scope.</t>
  </si>
  <si>
    <t xml:space="preserve">Reduce attack paths; tiering; clean up permissions.</t>
  </si>
  <si>
    <t xml:space="preserve">Monitor large-scale LDAP enumeration.</t>
  </si>
  <si>
    <t xml:space="preserve">T1482, T1087, T1069</t>
  </si>
  <si>
    <t xml:space="preserve">Active Directory Attack - BloodHound</t>
  </si>
  <si>
    <t xml:space="preserve">AV-AD-20, AV-AD-22, AV-AD-27</t>
  </si>
  <si>
    <t xml:space="preserve">AV-AD-14</t>
  </si>
  <si>
    <t xml:space="preserve">Coerced authentication (PetitPotam, PrinterBug, DFSCoerce) to relay</t>
  </si>
  <si>
    <t xml:space="preserve">Via RPC interfaces (MS-EFSR, MS-RPRN, MS-DFSNM, MS-FSRVP) a server or DC can be coerced into authenticating to an attacker host; the machine account authentication is relayed to AD CS (ESC8), LDAP (RBCD/shadow credentials) or SMB.</t>
  </si>
  <si>
    <t xml:space="preserve">Domain compromise via relay of DC/server credentials without user interaction.</t>
  </si>
  <si>
    <t xml:space="preserve">Check whether coercion interfaces are reachable and whether relay targets (AD CS web enrollment, LDAP without signing, SMB without signing) exist; perform relay only within the RoE.</t>
  </si>
  <si>
    <t xml:space="preserve">Patch (CVE-2021-36942 and others), Print Spooler off on DCs/servers, RPC filters, EPA and HTTPS on AD CS, enforce LDAP/SMB signing, phase out NTLM.</t>
  </si>
  <si>
    <t xml:space="preserve">Alert on machine account authentication from unexpected sources and on EFSRPC/RPRN calls from workstations to DCs.</t>
  </si>
  <si>
    <t xml:space="preserve">T1187, T1557</t>
  </si>
  <si>
    <t xml:space="preserve">Active Directory Attack - Coerced Authentication</t>
  </si>
  <si>
    <t xml:space="preserve">AV-NET-03, AV-AD-09, CVE-2021-36942, CVE-2025-33073</t>
  </si>
  <si>
    <t xml:space="preserve">https://github.com/p0dalirius/Coercer</t>
  </si>
  <si>
    <t xml:space="preserve">AV-AD-15</t>
  </si>
  <si>
    <t xml:space="preserve">Shadow credentials (msDS-KeyCredentialLink abuse)</t>
  </si>
  <si>
    <t xml:space="preserve">Write permissions on the msDS-KeyCredentialLink attribute of a user or computer allow an attacker to link their own certificate/key and obtain a TGT and NT hash of that account via PKINIT.</t>
  </si>
  <si>
    <t xml:space="preserve">Takeover of user and computer accounts (including DCs in the case of relay) without a password change, thus inconspicuous.</t>
  </si>
  <si>
    <t xml:space="preserve">Analyze who has GenericWrite/WriteProperty on KeyCredentialLink (BloodHound) and whether PKINIT (AD CS) is available.</t>
  </si>
  <si>
    <t xml:space="preserve">Cleanup of ACLs, monitoring of changes to msDS-KeyCredentialLink, Protected Users for sensitive accounts.</t>
  </si>
  <si>
    <t xml:space="preserve">Alert on Event 5136 (KeyCredentialLink attribute change) and on PKINIT logons from unexpected hosts.</t>
  </si>
  <si>
    <t xml:space="preserve">T1098, T1558</t>
  </si>
  <si>
    <t xml:space="preserve">Active Directory Attack - Shadow Credentials</t>
  </si>
  <si>
    <t xml:space="preserve">AV-AD-08, AV-AD-09</t>
  </si>
  <si>
    <t xml:space="preserve">https://posts.specterops.io/shadow-credentials-abusing-key-trust-account-mapping-for-takeover-8ee1a53566ab</t>
  </si>
  <si>
    <t xml:space="preserve">AV-AD-16</t>
  </si>
  <si>
    <t xml:space="preserve">MachineAccountQuota &gt; 0 (users can add computers)</t>
  </si>
  <si>
    <t xml:space="preserve">By default, every domain user may create ten computer accounts; those accounts have a known password and SPNs and are building blocks for RBCD, noPac and relay attacks.</t>
  </si>
  <si>
    <t xml:space="preserve">Facilitates escalation via resource-based constrained delegation and sAMAccountName spoofing.</t>
  </si>
  <si>
    <t xml:space="preserve">Read ms-DS-MachineAccountQuota and check whether users can add computers to the domain.</t>
  </si>
  <si>
    <t xml:space="preserve">Set MachineAccountQuota to 0 and delegate joining to a specific group; monitor computer account creation.</t>
  </si>
  <si>
    <t xml:space="preserve">Alert on Event 4741 (computer account created) by non-administrators.</t>
  </si>
  <si>
    <t xml:space="preserve">T1136.002</t>
  </si>
  <si>
    <t xml:space="preserve">Active Directory Attack - Machine Account Quota</t>
  </si>
  <si>
    <t xml:space="preserve">AV-AD-07, CVE-2021-42287</t>
  </si>
  <si>
    <t xml:space="preserve">https://learn.microsoft.com/en-us/troubleshoot/windows-server/active-directory/default-workstation-numbers-join-domain</t>
  </si>
  <si>
    <t xml:space="preserve">AV-AD-17</t>
  </si>
  <si>
    <t xml:space="preserve">LDAP signing / channel binding not enforced</t>
  </si>
  <si>
    <t xml:space="preserve">DCs accept unsigned LDAP binds and LDAPS without channel binding, allowing NTLM authentication to be relayed to LDAP(S) (mitm6, coercion) to modify objects and ACLs.</t>
  </si>
  <si>
    <t xml:space="preserve">Creation of computer accounts, RBCD, shadow credentials or DCSync privileges via relay; domain compromise.</t>
  </si>
  <si>
    <t xml:space="preserve">Check LDAP server signing requirements and LDAPS channel binding (registry/GPO) on all DCs; test an unsigned bind.</t>
  </si>
  <si>
    <t xml:space="preserve">LDAP signing = Require and LDAP channel binding = Always on all DCs (after auditing Event 2889/3039), NTLM phase-out.</t>
  </si>
  <si>
    <t xml:space="preserve">Monitor Events 2889 (unsigned binds) and 3039/3040 (channel binding) on DCs.</t>
  </si>
  <si>
    <t xml:space="preserve">T1557, T1098</t>
  </si>
  <si>
    <t xml:space="preserve">Active Directory Attack - NTLM Relay</t>
  </si>
  <si>
    <t xml:space="preserve">AV-NET-03, AV-NET-08, AV-NET-10, AV-AD-14</t>
  </si>
  <si>
    <t xml:space="preserve">https://support.microsoft.com/en-us/topic/2020-ldap-channel-binding-and-ldap-signing-requirements-for-windows-ef185fb8-00f7-167d-744c-f299a66fc00a</t>
  </si>
  <si>
    <t xml:space="preserve">AV-AD-18</t>
  </si>
  <si>
    <t xml:space="preserve">NTLMv1 / LM authentication allowed</t>
  </si>
  <si>
    <t xml:space="preserve">LmCompatibilityLevel lower than 5 allows NTLMv1 (and sometimes LM); the NT hash can be derived from captured NetNTLMv1 responses with rainbow tables and is usable for pass-the-hash; relay to LDAP also becomes easier.</t>
  </si>
  <si>
    <t xml:space="preserve">Deriving NT hashes (incl. computer accounts) from network traffic; domain compromise.</t>
  </si>
  <si>
    <t xml:space="preserve">Read LmCompatibilityLevel from GPO/registry and check (passively) for NTLMv1 authentication on the network; test with responder-like tooling only within the RoE.</t>
  </si>
  <si>
    <t xml:space="preserve">LmCompatibilityLevel = 5 (NTLMv2 only) via GPO, NTLM auditing and phase-out, enforce Kerberos, isolate legacy devices.</t>
  </si>
  <si>
    <t xml:space="preserve">Centrally monitor NTLM audit (Event 4624 with LmPackageName NTLM V1).</t>
  </si>
  <si>
    <t xml:space="preserve">T1557, T1110.002, T1550.002</t>
  </si>
  <si>
    <t xml:space="preserve">Active Directory Attack - NTLMv1</t>
  </si>
  <si>
    <t xml:space="preserve">AV-NET-02, AV-NET-03, AV-NET-18</t>
  </si>
  <si>
    <t xml:space="preserve">https://learn.microsoft.com/en-us/previous-versions/windows/it-pro/windows-10/security/threat-protection/security-policy-settings/network-security-lan-manager-authentication-level</t>
  </si>
  <si>
    <t xml:space="preserve">Weak domain password policy &amp; password hygiene</t>
  </si>
  <si>
    <t xml:space="preserve">Default domain policy with a short length, no fine-grained policies for administrators/service accounts, passwords that never expire, many users with the same (seasonal) password and no breach screening; demonstrated via offline analysis of the NTDS hashes.</t>
  </si>
  <si>
    <t xml:space="preserve">Successful spraying/cracking of a large portion of the accounts, including privileged ones.</t>
  </si>
  <si>
    <t xml:space="preserve">Read the (fine-grained) policies; with permission, analyze NTDS hashes for length, reuse, leaked passwords and shared hashes (report statistics, not passwords).</t>
  </si>
  <si>
    <t xml:space="preserve">Minimum 14+ characters, longer requirements for administrators, breach screening (Entra Password Protection/filter), gMSA for services, Protected Users, password manager.</t>
  </si>
  <si>
    <t xml:space="preserve">Periodic hash audit; alert on spraying patterns.</t>
  </si>
  <si>
    <t xml:space="preserve">T1110, T1078.002</t>
  </si>
  <si>
    <t xml:space="preserve">Methodology and Resources - Hash Cracking</t>
  </si>
  <si>
    <t xml:space="preserve">AV-NET-06, AV-WEB-44, AV-AD-01</t>
  </si>
  <si>
    <t xml:space="preserve">https://learn.microsoft.com/en-us/entra/identity/authentication/concept-password-ban-bad-on-premises</t>
  </si>
  <si>
    <t xml:space="preserve">AV-AD-20</t>
  </si>
  <si>
    <t xml:space="preserve">Excessive privileged group membership / no tiering</t>
  </si>
  <si>
    <t xml:space="preserve">Too many (service) accounts in Domain Admins/Enterprise Admins/Administrators, dangerous built-in groups (Backup Operators, Server Operators, Account Operators, DnsAdmins) populated, administrators log in to workstations with DA accounts, no Protected Users and no tiering/PAWs.</t>
  </si>
  <si>
    <t xml:space="preserve">Any compromised workstation or service can lead directly or via credential theft to domain admin.</t>
  </si>
  <si>
    <t xml:space="preserve">Inventory privileged groups (incl. nested), AdminCount objects, administrator sessions on workstations (BloodHound) and use of Protected Users/PAWs.</t>
  </si>
  <si>
    <t xml:space="preserve">Tiering (Enterprise Access Model), separate admin accounts per tier, PAWs, Protected Users, cleanup of groups, gMSA for services, JIT/PIM.</t>
  </si>
  <si>
    <t xml:space="preserve">Alert on changes to privileged groups (4728/4732/4756) and on DA logons on workstations.</t>
  </si>
  <si>
    <t xml:space="preserve">T1078.002, T1098</t>
  </si>
  <si>
    <t xml:space="preserve">CWE-250, CWE-269</t>
  </si>
  <si>
    <t xml:space="preserve">AV-AD-03, AV-AD-05, AV-AD-13</t>
  </si>
  <si>
    <t xml:space="preserve">Microsoft Enterprise Access Model</t>
  </si>
  <si>
    <t xml:space="preserve">https://learn.microsoft.com/en-us/security/privileged-access-workstations/privileged-access-access-model</t>
  </si>
  <si>
    <t xml:space="preserve">AV-AD-21</t>
  </si>
  <si>
    <t xml:space="preserve">Shared local administrator passwords (no LAPS)</t>
  </si>
  <si>
    <t xml:space="preserve">The local administrator password is identical on many workstations/servers (image/GPO), so that a single dumped hash gives access to all hosts via pass-the-hash.</t>
  </si>
  <si>
    <t xml:space="preserve">Domain-wide lateral movement and credential theft from any host.</t>
  </si>
  <si>
    <t xml:space="preserve">Check whether LAPS (Windows LAPS/legacy) is deployed and whether local admin hashes match between hosts (with permission, e.g. via SAM dumps or a PtH check).</t>
  </si>
  <si>
    <t xml:space="preserve">Windows LAPS on all domain members, unique password per host, restrict local admin logon via the network (UAC token filter, deny network logon for local accounts).</t>
  </si>
  <si>
    <t xml:space="preserve">Alert on successful NTLM logons with local accounts between hosts (4624 type 3, local SID).</t>
  </si>
  <si>
    <t xml:space="preserve">T1550.002, T1078.003</t>
  </si>
  <si>
    <t xml:space="preserve">CWE-798, CWE-1392</t>
  </si>
  <si>
    <t xml:space="preserve">AV-AD-05, AV-AD-03</t>
  </si>
  <si>
    <t xml:space="preserve">https://learn.microsoft.com/en-us/windows-server/identity/laps/laps-overview</t>
  </si>
  <si>
    <t xml:space="preserve">AV-AD-22</t>
  </si>
  <si>
    <t xml:space="preserve">Anonymous LDAP / null session / Pre-Windows 2000 Compatible Access</t>
  </si>
  <si>
    <t xml:space="preserve">Anonymous LDAP binds or null sessions on DCs/file servers provide user, group and policy information without credentials; 'Pre-Windows 2000 Compatible Access' contains Authenticated Users or Everyone.</t>
  </si>
  <si>
    <t xml:space="preserve">Complete enumeration of the domain without an account (basis for spraying and targeted attacks).</t>
  </si>
  <si>
    <t xml:space="preserve">Perform anonymous LDAP queries and null session enumeration against DCs; check the membership of Pre-Windows 2000 Compatible Access and RestrictAnonymous settings.</t>
  </si>
  <si>
    <t xml:space="preserve">Anonymous LDAP off (dsHeuristics), RestrictAnonymous/RestrictAnonymousSAM, remove Authenticated Users/Everyone from Pre-Windows 2000 Compatible Access.</t>
  </si>
  <si>
    <t xml:space="preserve">Alert on anonymous LDAP binds and SAMR enumeration from non-management hosts.</t>
  </si>
  <si>
    <t xml:space="preserve">T1087.002, T1069.002, T1018</t>
  </si>
  <si>
    <t xml:space="preserve">CWE-306, CWE-200</t>
  </si>
  <si>
    <t xml:space="preserve">Active Directory Attack - Enumeration</t>
  </si>
  <si>
    <t xml:space="preserve">AV-AD-13, AV-NET-01</t>
  </si>
  <si>
    <t xml:space="preserve">https://learn.microsoft.com/en-us/windows-server/identity/ad-ds/plan/security-best-practices/appendix-b--privileged-accounts-and-groups-in-active-directory</t>
  </si>
  <si>
    <t xml:space="preserve">AV-AD-23</t>
  </si>
  <si>
    <t xml:space="preserve">GPO misconfiguration / writable Group Policy Objects</t>
  </si>
  <si>
    <t xml:space="preserve">Non-administrators can edit or link GPOs (GenericWrite/WriteDacl on GPOs/OUs), GPOs with insecure settings (scheduled tasks, scripts, local groups, 'Everyone' in Restricted Groups) or unprotected SYSVOL scripts.</t>
  </si>
  <si>
    <t xml:space="preserve">Code execution as SYSTEM on all computers to which the GPO applies, including DCs.</t>
  </si>
  <si>
    <t xml:space="preserve">Analyze GPO ACLs and links (BloodHound/Group3r), check write permissions on SYSVOL scripts and dangerous settings.</t>
  </si>
  <si>
    <t xml:space="preserve">Least privilege on GPOs and OUs, change management for GPOs, cleanup of SYSVOL permissions, AGPM/version control.</t>
  </si>
  <si>
    <t xml:space="preserve">Alert on GPO changes (5136/5137) by non-administrators and on changes to SYSVOL scripts.</t>
  </si>
  <si>
    <t xml:space="preserve">T1484.001, T1053.005</t>
  </si>
  <si>
    <t xml:space="preserve">Active Directory Attack - GPO Abuse</t>
  </si>
  <si>
    <t xml:space="preserve">AV-AD-08, AV-AD-10</t>
  </si>
  <si>
    <t xml:space="preserve">https://github.com/Group3r/Group3r</t>
  </si>
  <si>
    <t xml:space="preserve">AV-AD-24</t>
  </si>
  <si>
    <t xml:space="preserve">SCCM / MECM misconfiguration (NAA credentials, PXE, site takeover)</t>
  </si>
  <si>
    <t xml:space="preserve">Network Access Account and task sequence credentials can be extracted from clients/PXE media, takeover of the site database/SMS Provider is possible via relay (coerced authentication of the site server), and client push accounts are over-privileged.</t>
  </si>
  <si>
    <t xml:space="preserve">Obtaining (often privileged) domain credentials and the ability to push software/scripts as SYSTEM to all managed systems.</t>
  </si>
  <si>
    <t xml:space="preserve">Inventory SCCM roles and accounts, check PXE media/password, NAA usage and permissions, relay opportunities to MSSQL/SMB of the site server (RoE).</t>
  </si>
  <si>
    <t xml:space="preserve">Enhanced HTTP/eHTTP and no NAA, PXE with password, least-privilege site and push accounts, SMB/MSSQL signing (EPA) on site systems, isolation of SCCM infrastructure as Tier 0.</t>
  </si>
  <si>
    <t xml:space="preserve">Alert on unknown clients accessing the site database and on new admin users in the SCCM console.</t>
  </si>
  <si>
    <t xml:space="preserve">T1072, T1552, T1557</t>
  </si>
  <si>
    <t xml:space="preserve">CWE-522, CWE-269</t>
  </si>
  <si>
    <t xml:space="preserve">Active Directory Attack - SCCM</t>
  </si>
  <si>
    <t xml:space="preserve">AV-AD-14, AV-NET-03</t>
  </si>
  <si>
    <t xml:space="preserve">Misconfiguration Manager (SpecterOps) TAKEOVER/CRED/ELEVATE</t>
  </si>
  <si>
    <t xml:space="preserve">https://misconfigurationmanager.com/</t>
  </si>
  <si>
    <t xml:space="preserve">AV-AD-25</t>
  </si>
  <si>
    <t xml:space="preserve">dMSA abuse (BadSuccessor) on Windows Server 2025</t>
  </si>
  <si>
    <t xml:space="preserve">With the permission to create or edit delegated Managed Service Accounts (dMSA) in an OU, an attacker can simulate the 'migration' of an arbitrary account (incl. Domain Admin) and assume its privileges and keys; requires at least one Windows Server 2025 DC.</t>
  </si>
  <si>
    <t xml:space="preserve">Escalation to any account in the domain from limited OU permissions.</t>
  </si>
  <si>
    <t xml:space="preserve">Check for Server 2025 DCs, inventory who has CreateChild/Write on dMSA objects in OUs (BloodHound) and whether the patch (CVE-2025-53779) is installed.</t>
  </si>
  <si>
    <t xml:space="preserve">Patch (August 2025 and later), restrict the creation of dMSAs to administrators, audit OU permissions.</t>
  </si>
  <si>
    <t xml:space="preserve">Alert on creation of dMSAs (Event 5137 objectClass msDS-DelegatedManagedServiceAccount) and changes to msDS-ManagedAccountPrecededByLink.</t>
  </si>
  <si>
    <t xml:space="preserve">Active Directory Attack - BadSuccessor</t>
  </si>
  <si>
    <t xml:space="preserve">CVE-2025-53779, AV-AD-08</t>
  </si>
  <si>
    <t xml:space="preserve">https://www.akamai.com/blog/security-research/abusing-dmsa-for-privilege-escalation-in-active-directory</t>
  </si>
  <si>
    <t xml:space="preserve">AV-AD-26</t>
  </si>
  <si>
    <t xml:space="preserve">Credentials in AD attributes, SYSVOL scripts and shares</t>
  </si>
  <si>
    <t xml:space="preserve">Passwords in description/info/userPassword attributes of AD objects, in logon/installation scripts on SYSVOL/NETLOGON, in unattend.xml or in configuration files on file shares.</t>
  </si>
  <si>
    <t xml:space="preserve">Direct access to (service) accounts without cracking; often the shortest route to administrative privileges.</t>
  </si>
  <si>
    <t xml:space="preserve">Search AD attributes, SYSVOL and reachable shares for password patterns (with permission); check the privileges of the accounts found.</t>
  </si>
  <si>
    <t xml:space="preserve">Clean up and rotate, secret management (gMSA, vault), no credentials in scripts, periodic scans.</t>
  </si>
  <si>
    <t xml:space="preserve">Periodic automated scans of SYSVOL/shares and attributes for credential patterns.</t>
  </si>
  <si>
    <t xml:space="preserve">T1552.001, T1552.006, T1078</t>
  </si>
  <si>
    <t xml:space="preserve">CWE-798, CWE-522</t>
  </si>
  <si>
    <t xml:space="preserve">Active Directory Attack - Credentials in SYSVOL</t>
  </si>
  <si>
    <t xml:space="preserve">AV-AD-10, AV-NET-13</t>
  </si>
  <si>
    <t xml:space="preserve">https://adsecurity.org/?p=2288</t>
  </si>
  <si>
    <t xml:space="preserve">AV-AD-27</t>
  </si>
  <si>
    <t xml:space="preserve">Domain / forest trust abuse (SID filtering, SID history)</t>
  </si>
  <si>
    <t xml:space="preserve">Trusts without SID filtering/quarantine, with selective authentication disabled, or bidirectional trusts to less secure domains allow escalation via SID history, inter-realm tickets or trust account abuse.</t>
  </si>
  <si>
    <t xml:space="preserve">Compromise of a child or partner domain leads to compromise of the entire forest or the trusting organization.</t>
  </si>
  <si>
    <t xml:space="preserve">Inventory trusts, direction, SID filtering, selective authentication and vulnerable paths across trusts (BloodHound).</t>
  </si>
  <si>
    <t xml:space="preserve">SID filtering and selective authentication on external trusts, treat child domains as Tier 0, clean up trusts.</t>
  </si>
  <si>
    <t xml:space="preserve">Alert on inter-realm TGTs with SID history (Event 4769 with foreign SIDs).</t>
  </si>
  <si>
    <t xml:space="preserve">T1134.005, T1482, T1550.003</t>
  </si>
  <si>
    <t xml:space="preserve">Active Directory Attack - Trusts</t>
  </si>
  <si>
    <t xml:space="preserve">AV-AD-11, AV-AD-13</t>
  </si>
  <si>
    <t xml:space="preserve">https://adsecurity.org/?p=1640</t>
  </si>
  <si>
    <t xml:space="preserve">AV-CLD-01</t>
  </si>
  <si>
    <t xml:space="preserve">Cloud</t>
  </si>
  <si>
    <t xml:space="preserve">IAM over-permissioning</t>
  </si>
  <si>
    <t xml:space="preserve">Identity</t>
  </si>
  <si>
    <t xml:space="preserve">Overly broad roles and policies grant more permissions than necessary.</t>
  </si>
  <si>
    <t xml:space="preserve">Escalation and broad access upon compromise.</t>
  </si>
  <si>
    <t xml:space="preserve">Analyze effective permissions and look for escalation paths within scope.</t>
  </si>
  <si>
    <t xml:space="preserve">Least privilege, permission boundaries, periodic review.</t>
  </si>
  <si>
    <t xml:space="preserve">Alert on use of unusual permissions.</t>
  </si>
  <si>
    <t xml:space="preserve">T1078.004</t>
  </si>
  <si>
    <t xml:space="preserve">Cloud - AWS/Azure/GCP</t>
  </si>
  <si>
    <t xml:space="preserve">AV-CLD-11, AV-CLD-12, AV-CLD-16</t>
  </si>
  <si>
    <t xml:space="preserve">AV-CLD-02</t>
  </si>
  <si>
    <t xml:space="preserve">Exposed secrets / keys</t>
  </si>
  <si>
    <t xml:space="preserve">Access keys or secrets in code, config, images or metadata.</t>
  </si>
  <si>
    <t xml:space="preserve">Direct, authenticated access to cloud resources.</t>
  </si>
  <si>
    <t xml:space="preserve">Search for secrets in repos, images and config within scope.</t>
  </si>
  <si>
    <t xml:space="preserve">Secret management, key rotation, scanning in CI.</t>
  </si>
  <si>
    <t xml:space="preserve">Alert on key usage from unexpected locations.</t>
  </si>
  <si>
    <t xml:space="preserve">T1552, T1552.001</t>
  </si>
  <si>
    <t xml:space="preserve">CWE-798</t>
  </si>
  <si>
    <t xml:space="preserve">Cloud - Secrets</t>
  </si>
  <si>
    <t xml:space="preserve">AV-CLD-14, AV-HOST-04, AV-MOB-05, AV-API-12</t>
  </si>
  <si>
    <t xml:space="preserve">AV-CLD-03</t>
  </si>
  <si>
    <t xml:space="preserve">Public storage exposure</t>
  </si>
  <si>
    <t xml:space="preserve">Buckets/blobs, shares, snapshots or images publicly or too broadly accessible (also via SAS tokens/presigned URLs without expiration date).</t>
  </si>
  <si>
    <t xml:space="preserve">Data leak of stored data.</t>
  </si>
  <si>
    <t xml:space="preserve">Inventory access policies of storage within scope.</t>
  </si>
  <si>
    <t xml:space="preserve">Block public access, least privilege, encryption.</t>
  </si>
  <si>
    <t xml:space="preserve">Config monitoring for public storage.</t>
  </si>
  <si>
    <t xml:space="preserve">T1530</t>
  </si>
  <si>
    <t xml:space="preserve">CWE-732</t>
  </si>
  <si>
    <t xml:space="preserve">Cloud - Storage</t>
  </si>
  <si>
    <t xml:space="preserve">AV-CLD-18, AV-NET-13</t>
  </si>
  <si>
    <t xml:space="preserve">AV-CLD-04</t>
  </si>
  <si>
    <t xml:space="preserve">Cloud service &amp; infra discovery</t>
  </si>
  <si>
    <t xml:space="preserve">Enumeration of accounts, services and resources.</t>
  </si>
  <si>
    <t xml:space="preserve">Maps out the cloud attack surface.</t>
  </si>
  <si>
    <t xml:space="preserve">Enumerate resources via authorized access within scope.</t>
  </si>
  <si>
    <t xml:space="preserve">Minimize metadata exposure; monitor enumeration.</t>
  </si>
  <si>
    <t xml:space="preserve">Alert on broad describe/list activity.</t>
  </si>
  <si>
    <t xml:space="preserve">T1526, T1580</t>
  </si>
  <si>
    <t xml:space="preserve">Cloud - Enumeration</t>
  </si>
  <si>
    <t xml:space="preserve">AV-CLD-05</t>
  </si>
  <si>
    <t xml:space="preserve">Instance metadata SSRF (IMDS)</t>
  </si>
  <si>
    <t xml:space="preserve">SSRF to the metadata endpoint yields temporary credentials.</t>
  </si>
  <si>
    <t xml:space="preserve">Obtaining instance role credentials.</t>
  </si>
  <si>
    <t xml:space="preserve">Check whether applications can be made to perform SSRF to metadata.</t>
  </si>
  <si>
    <t xml:space="preserve">Use IMDSv2/session-based metadata; egress controls.</t>
  </si>
  <si>
    <t xml:space="preserve">Monitor metadata access from application context.</t>
  </si>
  <si>
    <t xml:space="preserve">T1552.005</t>
  </si>
  <si>
    <t xml:space="preserve">Server Side Request Forgery - Cloud</t>
  </si>
  <si>
    <t xml:space="preserve">AV-WEB-07, AV-API-07, CVE-2026-64849</t>
  </si>
  <si>
    <t xml:space="preserve">AV-CLD-06</t>
  </si>
  <si>
    <t xml:space="preserve">Privilege escalation via role chaining</t>
  </si>
  <si>
    <t xml:space="preserve">Chaining permissions/roles to reach higher privileges.</t>
  </si>
  <si>
    <t xml:space="preserve">Escalation to privileged cloud identities.</t>
  </si>
  <si>
    <t xml:space="preserve">Analyze assume-role and policy chains within scope.</t>
  </si>
  <si>
    <t xml:space="preserve">Restrict pass-role/assume-role; least privilege.</t>
  </si>
  <si>
    <t xml:space="preserve">Alert on unusual role assumptions.</t>
  </si>
  <si>
    <t xml:space="preserve">T1548</t>
  </si>
  <si>
    <t xml:space="preserve">Cloud - Privilege Escalation</t>
  </si>
  <si>
    <t xml:space="preserve">AV-CLD-01, AV-CLD-11, AV-CLD-16</t>
  </si>
  <si>
    <t xml:space="preserve">AV-CLD-07</t>
  </si>
  <si>
    <t xml:space="preserve">Container / Kubernetes misconfiguration</t>
  </si>
  <si>
    <t xml:space="preserve">Insecure RBAC, privileged containers or exposed API server.</t>
  </si>
  <si>
    <t xml:space="preserve">Escalation within the cluster or to the node.</t>
  </si>
  <si>
    <t xml:space="preserve">Assess RBAC, pod security and API server exposure within scope.</t>
  </si>
  <si>
    <t xml:space="preserve">Least-privilege RBAC, pod security standards, network policies.</t>
  </si>
  <si>
    <t xml:space="preserve">Audit cluster role bindings and privileged pods.</t>
  </si>
  <si>
    <t xml:space="preserve">T1610, T1611</t>
  </si>
  <si>
    <t xml:space="preserve">Cloud - Kubernetes</t>
  </si>
  <si>
    <t xml:space="preserve">AV-CLD-15, CVE-2025-1974, CVE-2024-21626</t>
  </si>
  <si>
    <t xml:space="preserve">CIS Kubernetes Benchmark</t>
  </si>
  <si>
    <t xml:space="preserve">Logging &amp; monitoring gaps</t>
  </si>
  <si>
    <t xml:space="preserve">Missing or incomplete audit trails and alerting.</t>
  </si>
  <si>
    <t xml:space="preserve">Attacks go unnoticed.</t>
  </si>
  <si>
    <t xml:space="preserve">Assess coverage of cloud audit logging and alerting.</t>
  </si>
  <si>
    <t xml:space="preserve">Enable central audit logging; define alerts.</t>
  </si>
  <si>
    <t xml:space="preserve">Measure log coverage per account/region.</t>
  </si>
  <si>
    <t xml:space="preserve">CWE-778</t>
  </si>
  <si>
    <t xml:space="preserve">Cloud - Logging</t>
  </si>
  <si>
    <t xml:space="preserve">CIS Benchmarks (logging)</t>
  </si>
  <si>
    <t xml:space="preserve">AV-CLD-09</t>
  </si>
  <si>
    <t xml:space="preserve">Weak identity controls (no MFA, legacy auth, Conditional Access gaps)</t>
  </si>
  <si>
    <t xml:space="preserve">Not all users (especially administrators, service and guest accounts) have MFA, legacy authentication (IMAP/POP/SMTP AUTH/basic) is enabled, Conditional Access has exceptions or is report-only, no phishing-resistant MFA for administrators.</t>
  </si>
  <si>
    <t xml:space="preserve">Account takeover with only a password (spraying, leaked credentials); bypass of MFA via legacy protocols.</t>
  </si>
  <si>
    <t xml:space="preserve">Assess MFA registration and enforcement per role, legacy auth sign-ins, Conditional Access policies and exceptions, Security Defaults.</t>
  </si>
  <si>
    <t xml:space="preserve">MFA for everyone, phishing-resistant MFA (FIDO2/WHfB) for administrators, block legacy auth, Conditional Access with device compliance and risk-based policies, secured break-glass accounts.</t>
  </si>
  <si>
    <t xml:space="preserve">Centrally monitor Identity Protection risks, sign-ins with legacy clients and MFA failures.</t>
  </si>
  <si>
    <t xml:space="preserve">T1078.004, T1110.003, T1556.006</t>
  </si>
  <si>
    <t xml:space="preserve">CWE-308, CWE-287</t>
  </si>
  <si>
    <t xml:space="preserve">Cloud - Azure Pentest</t>
  </si>
  <si>
    <t xml:space="preserve">AV-NET-06, AV-SE-06, AV-WEB-46</t>
  </si>
  <si>
    <t xml:space="preserve">CIS Microsoft 365 Foundations Benchmark</t>
  </si>
  <si>
    <t xml:space="preserve">https://learn.microsoft.com/en-us/entra/identity/conditional-access/overview</t>
  </si>
  <si>
    <t xml:space="preserve">AV-CLD-10</t>
  </si>
  <si>
    <t xml:space="preserve">OAuth consent phishing &amp; device code phishing</t>
  </si>
  <si>
    <t xml:space="preserve">Phishing</t>
  </si>
  <si>
    <t xml:space="preserve">Users can themselves grant consent to external (malicious) applications (illicit consent grant), or are lured via the device code flow into authorizing an attacker's code; both yield tokens that survive MFA and password changes.</t>
  </si>
  <si>
    <t xml:space="preserve">Persistent access to mail, files and Graph API on behalf of the victim without credentials.</t>
  </si>
  <si>
    <t xml:space="preserve">Check user consent settings, existing enterprise applications with risky permissions, and whether the device code flow is restricted via Conditional Access; simulate only within the RoE.</t>
  </si>
  <si>
    <t xml:space="preserve">Disable user consent or restrict it to verified publishers with admin consent workflow, block device code flow via Conditional Access, app governance.</t>
  </si>
  <si>
    <t xml:space="preserve">Alert on new consent grants, device code authentications and applications with mail/files permissions.</t>
  </si>
  <si>
    <t xml:space="preserve">T1528, T1566.002, T1550.001</t>
  </si>
  <si>
    <t xml:space="preserve">AV-SE-07, AV-WEB-30, AV-CLD-11</t>
  </si>
  <si>
    <t xml:space="preserve">https://learn.microsoft.com/en-us/entra/identity/enterprise-apps/protect-against-consent-phishing</t>
  </si>
  <si>
    <t xml:space="preserve">AV-CLD-11</t>
  </si>
  <si>
    <t xml:space="preserve">Over-privileged service principals / app registrations with credentials</t>
  </si>
  <si>
    <t xml:space="preserve">App registrations and service principals with Directory.ReadWrite.All, RoleManagement.ReadWrite.Directory or Application.ReadWrite.All, long-lived client secrets, and users who can add secrets as owner; comparable: IAM roles with iam:PassRole or sts:AssumeRole on *.</t>
  </si>
  <si>
    <t xml:space="preserve">Escalation to Global Administrator/account admin via an app identity; inconspicuous persistence.</t>
  </si>
  <si>
    <t xml:space="preserve">Inventory app permissions (application vs delegated), owners, credentials and their age; look for escalation paths (AzureHound/Pmapper).</t>
  </si>
  <si>
    <t xml:space="preserve">Least-privilege permissions, certificates instead of secrets with a short lifetime, owner cleanup, credential rotation, workload identity federation.</t>
  </si>
  <si>
    <t xml:space="preserve">Alert on adding credentials to apps and on role assignment via service principals.</t>
  </si>
  <si>
    <t xml:space="preserve">T1098.001, T1098.003, T1078.004</t>
  </si>
  <si>
    <t xml:space="preserve">CWE-269, CWE-798</t>
  </si>
  <si>
    <t xml:space="preserve">AV-CLD-01, AV-CLD-06, AV-CLD-10</t>
  </si>
  <si>
    <t xml:space="preserve">https://learn.microsoft.com/en-us/entra/identity/role-based-access-control/best-practices</t>
  </si>
  <si>
    <t xml:space="preserve">AV-CLD-12</t>
  </si>
  <si>
    <t xml:space="preserve">Standing privileged access (no PIM / JIT, no break-glass hygiene)</t>
  </si>
  <si>
    <t xml:space="preserve">Administrators are permanently Global Administrator/Owner instead of eligible via Privileged Identity Management; administration is done with regular (synced) accounts; break-glass accounts are missing or not monitored.</t>
  </si>
  <si>
    <t xml:space="preserve">Greater impact of every account compromise and no approval/audit trail for privileged use.</t>
  </si>
  <si>
    <t xml:space="preserve">Inventory permanent vs eligible role holders, cloud-only admin accounts, and break-glass configuration.</t>
  </si>
  <si>
    <t xml:space="preserve">PIM/JIT with approval and MFA, cloud-only admin accounts, at most 2-4 Global Admins, monitored break-glass accounts.</t>
  </si>
  <si>
    <t xml:space="preserve">Alert on role activation outside office hours and on use of break-glass accounts.</t>
  </si>
  <si>
    <t xml:space="preserve">AV-CLD-01, AV-AD-20</t>
  </si>
  <si>
    <t xml:space="preserve">https://learn.microsoft.com/en-us/entra/id-governance/privileged-identity-management/pim-configure</t>
  </si>
  <si>
    <t xml:space="preserve">AV-CLD-13</t>
  </si>
  <si>
    <t xml:space="preserve">Hybrid identity (Entra Connect / AD FS) server compromise</t>
  </si>
  <si>
    <t xml:space="preserve">The Entra Connect server contains the MSOL_/AAD connector account (DCSync privileges) and the cloud sync credentials; AD FS contains the token-signing key (Golden SAML); these servers are often not in Tier 0 and can be managed by regular server administrators.</t>
  </si>
  <si>
    <t xml:space="preserve">Compromise of both on-premises AD (DCSync) and the cloud tenant (Global Admin, Golden SAML).</t>
  </si>
  <si>
    <t xml:space="preserve">Inventory who is local admin on Entra Connect/AD FS servers, the privileges of the connector accounts and the protection of the signing key.</t>
  </si>
  <si>
    <t xml:space="preserve">Treat Entra Connect/AD FS as Tier 0, restrict local admin, Cloud Sync where possible, migration from AD FS to Entra ID authentication, monitoring for token-signing changes.</t>
  </si>
  <si>
    <t xml:space="preserve">Alert on logons to sync servers by non-Tier 0 accounts and on replication by the connector account from other hosts.</t>
  </si>
  <si>
    <t xml:space="preserve">T1003.006, T1606.002, T1484.002</t>
  </si>
  <si>
    <t xml:space="preserve">AV-AD-04, AV-AD-20, CVE-2025-53786</t>
  </si>
  <si>
    <t xml:space="preserve">https://learn.microsoft.com/en-us/entra/identity/hybrid/connect/how-to-connect-install-prerequisites#harden-your-microsoft-entra-connect-server</t>
  </si>
  <si>
    <t xml:space="preserve">AV-CLD-14</t>
  </si>
  <si>
    <t xml:space="preserve">CI/CD pipeline weaknesses (secrets, pwn requests, unprotected runners)</t>
  </si>
  <si>
    <t xml:space="preserve">Pipelines use long-lived secrets, run unverified code from pull requests with access to secrets (pull_request_target), use unpinned third-party actions, self-hosted runners without isolation, or have write access to production without review.</t>
  </si>
  <si>
    <t xml:space="preserve">Code injection into artifacts and deployments, theft of cloud credentials, supply chain compromise of downstream consumers.</t>
  </si>
  <si>
    <t xml:space="preserve">Review pipeline definitions for secret usage, triggers, pinning (SHA), runner isolation and branch protection; test (with permission) whether a PR trigger can leak secrets.</t>
  </si>
  <si>
    <t xml:space="preserve">OIDC/workload identity instead of secrets, pinning of actions to commit SHA, no secrets in PR triggers from forks, ephemeral runners, branch protection and signed commits/artifacts (SLSA).</t>
  </si>
  <si>
    <t xml:space="preserve">Alert on changes to workflow files, new deploy keys and runner registrations.</t>
  </si>
  <si>
    <t xml:space="preserve">A03:2025, A08:2025</t>
  </si>
  <si>
    <t xml:space="preserve">T1195.002, T1552, T1072</t>
  </si>
  <si>
    <t xml:space="preserve">CWE-522, CWE-829</t>
  </si>
  <si>
    <t xml:space="preserve">Methodology and Resources - CI/CD</t>
  </si>
  <si>
    <t xml:space="preserve">AV-CLD-02, AV-CLD-19, CVE-2025-30066, CVE-2026-45321</t>
  </si>
  <si>
    <t xml:space="preserve">OWASP Top 10 CI/CD Security Risks; SLSA</t>
  </si>
  <si>
    <t xml:space="preserve">https://owasp.org/www-project-top-10-ci-cd-security-risks/</t>
  </si>
  <si>
    <t xml:space="preserve">AV-CLD-15</t>
  </si>
  <si>
    <t xml:space="preserve">Exposed container runtime / registry / Kubernetes components</t>
  </si>
  <si>
    <t xml:space="preserve">Docker API (2375/2376) without authentication, kubelet (10250) with anonymous auth, etcd without TLS/auth, dashboards without login, unsecured registries with pullable images containing secrets, or privileged/host-mounted containers.</t>
  </si>
  <si>
    <t xml:space="preserve">Code execution on nodes, theft of cluster secrets and registry images, container escape to the host.</t>
  </si>
  <si>
    <t xml:space="preserve">Scan for runtime/control-plane ports, test anonymous access to APIs and registries, check image contents for secrets and pod security settings.</t>
  </si>
  <si>
    <t xml:space="preserve">No APIs without TLS+auth on the network, kubelet anonymous auth disabled, RBAC least privilege, private registries with scanning, Pod Security Standards (restricted), network policies.</t>
  </si>
  <si>
    <t xml:space="preserve">Audit logging of the API server; alert on anonymous requests and exec/attach calls.</t>
  </si>
  <si>
    <t xml:space="preserve">T1610, T1611, T1525, T1552.007</t>
  </si>
  <si>
    <t xml:space="preserve">CWE-306, CWE-284</t>
  </si>
  <si>
    <t xml:space="preserve">Container - Kubernetes Pentest</t>
  </si>
  <si>
    <t xml:space="preserve">AV-CLD-07, CVE-2025-1974, CVE-2024-21626</t>
  </si>
  <si>
    <t xml:space="preserve">https://kubernetes.io/docs/concepts/security/</t>
  </si>
  <si>
    <t xml:space="preserve">AV-CLD-16</t>
  </si>
  <si>
    <t xml:space="preserve">Overly permissive cross-account / federated trust (assume-role, OIDC, ExternalId)</t>
  </si>
  <si>
    <t xml:space="preserve">IAM roles trust all principals of an external account, lack an ExternalId (confused deputy), OIDC trusts (GitHub Actions) without repo/branch condition, or Entra B2B/cross-tenant access without restriction.</t>
  </si>
  <si>
    <t xml:space="preserve">An external party or anyone with a GitHub repo can assume roles in the production environment.</t>
  </si>
  <si>
    <t xml:space="preserve">Analyze trust policies, OIDC subject conditions and cross-tenant access settings for overly broad principals and missing conditions.</t>
  </si>
  <si>
    <t xml:space="preserve">Specific principals and conditions (ExternalId, sub claims on repo:branch), least-privilege roles, periodic review of trusts.</t>
  </si>
  <si>
    <t xml:space="preserve">Alert on AssumeRole/token issuance from unknown accounts/subjects.</t>
  </si>
  <si>
    <t xml:space="preserve">T1078.004, T1550.001</t>
  </si>
  <si>
    <t xml:space="preserve">CWE-284, CWE-863</t>
  </si>
  <si>
    <t xml:space="preserve">Cloud - AWS Pentest</t>
  </si>
  <si>
    <t xml:space="preserve">AV-CLD-06, AV-CLD-14</t>
  </si>
  <si>
    <t xml:space="preserve">https://docs.aws.amazon.com/IAM/latest/UserGuide/confused-deputy.html</t>
  </si>
  <si>
    <t xml:space="preserve">AV-CLD-17</t>
  </si>
  <si>
    <t xml:space="preserve">Overly permissive security groups / public management ports</t>
  </si>
  <si>
    <t xml:space="preserve">Security groups/NSGs allow 0.0.0.0/0 on SSH/RDP/databases/Kubernetes API, public IPs on internal workloads, or missing NACLs and private endpoints.</t>
  </si>
  <si>
    <t xml:space="preserve">Brute force and exploitation of workloads directly from the internet; lateral movement within the VPC/VNet.</t>
  </si>
  <si>
    <t xml:space="preserve">Inventory rules with 0.0.0.0/0 or ::/0 on sensitive ports and correlate them with public IPs; verify with an external scan.</t>
  </si>
  <si>
    <t xml:space="preserve">Default-deny inbound, bastion/SSM/Bastion Host, private endpoints, IaC policies (OPA/Checkov) that block public rules.</t>
  </si>
  <si>
    <t xml:space="preserve">CSPM alerts on public rules; flow logs for inbound traffic from the internet to management ports.</t>
  </si>
  <si>
    <t xml:space="preserve">T1133, T1190</t>
  </si>
  <si>
    <t xml:space="preserve">AV-EXT-02, AV-NET-15</t>
  </si>
  <si>
    <t xml:space="preserve">CIS AWS/Azure/GCP Foundations Benchmark</t>
  </si>
  <si>
    <t xml:space="preserve">https://www.cisecurity.org/benchmark/amazon_web_services</t>
  </si>
  <si>
    <t xml:space="preserve">AV-CLD-18</t>
  </si>
  <si>
    <t xml:space="preserve">M365 oversharing (anyone links, Teams/SharePoint, Copilot data exposure)</t>
  </si>
  <si>
    <t xml:space="preserve">SharePoint/OneDrive allow 'Anyone' links, sites are readable by default for Everyone except external users, Teams/guests have overly broad access, and Copilot/Search makes everything that is technically readable directly discoverable.</t>
  </si>
  <si>
    <t xml:space="preserve">Data leak of sensitive documents (HR, finance, credentials in files) to all employees, guests or the internet.</t>
  </si>
  <si>
    <t xml:space="preserve">Inventory sharing settings, Anyone links, sites with broad permissions and search (as a regular user) for sensitive files; assess labels/DLP.</t>
  </si>
  <si>
    <t xml:space="preserve">Anyone links disabled or with expiration date, sharing governance per site, sensitivity labels and DLP, Restricted SharePoint Search/oversharing reviews for Copilot rollout, guest lifecycle.</t>
  </si>
  <si>
    <t xml:space="preserve">Alert on mass downloads and on creation of Anyone links; periodic access reviews.</t>
  </si>
  <si>
    <t xml:space="preserve">T1213.002, T1530</t>
  </si>
  <si>
    <t xml:space="preserve">CWE-732, CWE-200</t>
  </si>
  <si>
    <t xml:space="preserve">AV-CLD-03, AV-NET-13, AV-AI-02</t>
  </si>
  <si>
    <t xml:space="preserve">https://learn.microsoft.com/en-us/sharepoint/deploy-file-collaboration</t>
  </si>
  <si>
    <t xml:space="preserve">Software supply chain compromise (malicious packages, dependency confusion)</t>
  </si>
  <si>
    <t xml:space="preserve">Internal package names can be claimed on public registries (dependency confusion), builds use unpinned or typosquatted packages, and compromised maintainer accounts publish malware (e.g. npm worms such as Shai-Hulud, hijacked GitHub Actions).</t>
  </si>
  <si>
    <t xml:space="preserve">Code execution on build servers and developer workstations, theft of cloud/repo tokens, spread to downstream consumers.</t>
  </si>
  <si>
    <t xml:space="preserve">Check registry configuration (scoped registries), lockfiles and pinning, SBOM and SCA results; test (with permission) whether an internal package name can be claimed publicly.</t>
  </si>
  <si>
    <t xml:space="preserve">Private registry with scope enforcement and proxy allowlist, lockfiles and integrity hashes, SBOM, SCA with malware detection, minimal permissions for publish tokens, 2FA on maintainer accounts.</t>
  </si>
  <si>
    <t xml:space="preserve">Alert on new/unexpected packages and network connections from build agents.</t>
  </si>
  <si>
    <t xml:space="preserve">CWE-829, CWE-506</t>
  </si>
  <si>
    <t xml:space="preserve">Dependency Confusion</t>
  </si>
  <si>
    <t xml:space="preserve">AV-WEB-23, AV-WEB-51, AV-CLD-14, CVE-2026-45321</t>
  </si>
  <si>
    <t xml:space="preserve">SLSA; NIST SSDF</t>
  </si>
  <si>
    <t xml:space="preserve">https://slsa.dev/</t>
  </si>
  <si>
    <t xml:space="preserve">AV-MOB-01</t>
  </si>
  <si>
    <t xml:space="preserve">Mobile</t>
  </si>
  <si>
    <t xml:space="preserve">Insecure data storage</t>
  </si>
  <si>
    <t xml:space="preserve">Storage</t>
  </si>
  <si>
    <t xml:space="preserve">Sensitive data stored locally unencrypted or insecurely.</t>
  </si>
  <si>
    <t xml:space="preserve">Data leak upon access to the device.</t>
  </si>
  <si>
    <t xml:space="preserve">Assess storage locations and encryption (MASTG approach).</t>
  </si>
  <si>
    <t xml:space="preserve">Use secure keystores; minimize local storage.</t>
  </si>
  <si>
    <t xml:space="preserve">Not detectable client-side; audit during review.</t>
  </si>
  <si>
    <t xml:space="preserve">CWE-312</t>
  </si>
  <si>
    <t xml:space="preserve">AV-MOB-10, AV-MOB-11</t>
  </si>
  <si>
    <t xml:space="preserve">OWASP Mobile Top 10 2024: M9; MASVS-STORAGE-1/2</t>
  </si>
  <si>
    <t xml:space="preserve">AV-MOB-02</t>
  </si>
  <si>
    <t xml:space="preserve">Insecure communication / no pinning</t>
  </si>
  <si>
    <t xml:space="preserve">Network</t>
  </si>
  <si>
    <t xml:space="preserve">Weak TLS configuration or missing certificate pinning.</t>
  </si>
  <si>
    <t xml:space="preserve">Interception or manipulation of traffic.</t>
  </si>
  <si>
    <t xml:space="preserve">Assess TLS config and pinning (MASTG approach).</t>
  </si>
  <si>
    <t xml:space="preserve">Modern TLS; certificate/public key pinning.</t>
  </si>
  <si>
    <t xml:space="preserve">Server-side TLS monitoring.</t>
  </si>
  <si>
    <t xml:space="preserve">AV-WEB-20, AV-MOB-11</t>
  </si>
  <si>
    <t xml:space="preserve">OWASP Mobile Top 10 2024: M5; MASVS-NETWORK-1/2</t>
  </si>
  <si>
    <t xml:space="preserve">AV-MOB-03</t>
  </si>
  <si>
    <t xml:space="preserve">Insecure authentication/authorization</t>
  </si>
  <si>
    <t xml:space="preserve">Auth</t>
  </si>
  <si>
    <t xml:space="preserve">Client-side trusted auth or weak session/token handling.</t>
  </si>
  <si>
    <t xml:space="preserve">Assess whether auth is enforced server-side (MASTG approach).</t>
  </si>
  <si>
    <t xml:space="preserve">Server-side authorization; secure tokens; MFA.</t>
  </si>
  <si>
    <t xml:space="preserve">Server-side auth anomaly detection.</t>
  </si>
  <si>
    <t xml:space="preserve">AV-WEB-12, AV-WEB-46</t>
  </si>
  <si>
    <t xml:space="preserve">OWASP Mobile Top 10 2024: M3; MASVS-AUTH-1/2/3</t>
  </si>
  <si>
    <t xml:space="preserve">AV-MOB-04</t>
  </si>
  <si>
    <t xml:space="preserve">Weak cryptography</t>
  </si>
  <si>
    <t xml:space="preserve">Outdated algorithms or insecure key management in the app.</t>
  </si>
  <si>
    <t xml:space="preserve">Decryption or forgery of sensitive data.</t>
  </si>
  <si>
    <t xml:space="preserve">Assess algorithm choice and key handling (MASTG approach).</t>
  </si>
  <si>
    <t xml:space="preserve">Strong, modern algorithms; platform keystores.</t>
  </si>
  <si>
    <t xml:space="preserve">Audit during code/binary review.</t>
  </si>
  <si>
    <t xml:space="preserve">V11</t>
  </si>
  <si>
    <t xml:space="preserve">OWASP Mobile Top 10 2024: M10; MASVS-CRYPTO-1/2</t>
  </si>
  <si>
    <t xml:space="preserve">AV-MOB-05</t>
  </si>
  <si>
    <t xml:space="preserve">Improper credential usage / hardcoded secrets</t>
  </si>
  <si>
    <t xml:space="preserve">Secrets</t>
  </si>
  <si>
    <t xml:space="preserve">Hardcoded API keys or credentials in the app binary.</t>
  </si>
  <si>
    <t xml:space="preserve">Extraction of secrets from the distributed app.</t>
  </si>
  <si>
    <t xml:space="preserve">Analyze the binary/resources for embedded secrets (MASTG approach).</t>
  </si>
  <si>
    <t xml:space="preserve">No secrets in the client; server-side brokering.</t>
  </si>
  <si>
    <t xml:space="preserve">Monitor abuse of leaked keys.</t>
  </si>
  <si>
    <t xml:space="preserve">AV-CLD-02, AV-API-12</t>
  </si>
  <si>
    <t xml:space="preserve">OWASP Mobile Top 10 2024: M1; MASVS-STORAGE-1, MASVS-CODE</t>
  </si>
  <si>
    <t xml:space="preserve">AV-MOB-06</t>
  </si>
  <si>
    <t xml:space="preserve">Insufficient binary protection</t>
  </si>
  <si>
    <t xml:space="preserve">Resilience</t>
  </si>
  <si>
    <t xml:space="preserve">Missing obfuscation/anti-tampering facilitates reverse engineering.</t>
  </si>
  <si>
    <t xml:space="preserve">Analysis and manipulation of app logic.</t>
  </si>
  <si>
    <t xml:space="preserve">Assess anti-tampering and root/jailbreak detection (MASTG approach).</t>
  </si>
  <si>
    <t xml:space="preserve">Obfuscation, integrity checks, root/jailbreak detection.</t>
  </si>
  <si>
    <t xml:space="preserve">Server-side integrity/attestation checks.</t>
  </si>
  <si>
    <t xml:space="preserve">CWE-656</t>
  </si>
  <si>
    <t xml:space="preserve">OWASP Mobile Top 10 2024: M7; MASVS-RESILIENCE-1/2/3/4</t>
  </si>
  <si>
    <t xml:space="preserve">AV-MOB-07</t>
  </si>
  <si>
    <t xml:space="preserve">Platform interaction / IPC misuse</t>
  </si>
  <si>
    <t xml:space="preserve">Platform</t>
  </si>
  <si>
    <t xml:space="preserve">Insecurely exported components, deep links or IPC.</t>
  </si>
  <si>
    <t xml:space="preserve">Unauthorized actions via app components.</t>
  </si>
  <si>
    <t xml:space="preserve">Assess exported components and deep link handling (MASTG approach).</t>
  </si>
  <si>
    <t xml:space="preserve">Minimize exports; validate IPC input.</t>
  </si>
  <si>
    <t xml:space="preserve">Audit during platform review.</t>
  </si>
  <si>
    <t xml:space="preserve">CWE-926</t>
  </si>
  <si>
    <t xml:space="preserve">AV-MOB-09, AV-MOB-11</t>
  </si>
  <si>
    <t xml:space="preserve">OWASP Mobile Top 10 2024: M8/M4; MASVS-PLATFORM-1/2/3</t>
  </si>
  <si>
    <t xml:space="preserve">AV-MOB-08</t>
  </si>
  <si>
    <t xml:space="preserve">Inadequate supply chain security (third-party SDKs, build pipeline)</t>
  </si>
  <si>
    <t xml:space="preserve">The app contains outdated or untrustworthy third-party SDKs (analytics, ads, crash reporting) with known vulnerabilities or excessive data collection; signing keys or the build pipeline are insufficiently protected.</t>
  </si>
  <si>
    <t xml:space="preserve">Data leak or code execution via an SDK; manipulated app builds with a valid signature.</t>
  </si>
  <si>
    <t xml:space="preserve">Inventory SDKs and versions from the binary (SCA), assess permissions and network destinations of SDKs and the protection of signing keys (MASTG approach).</t>
  </si>
  <si>
    <t xml:space="preserve">SBOM and SCA for mobile, minimal SDK set, Play App Signing/HSM for keys, reproducible builds.</t>
  </si>
  <si>
    <t xml:space="preserve">Monitor the app's network destinations for unknown SDK endpoints.</t>
  </si>
  <si>
    <t xml:space="preserve">T1195.002</t>
  </si>
  <si>
    <t xml:space="preserve">CWE-1104, CWE-829</t>
  </si>
  <si>
    <t xml:space="preserve">OWASP Mobile Top 10 2024: M2; MASVS-CODE-3</t>
  </si>
  <si>
    <t xml:space="preserve">https://owasp.org/www-project-mobile-top-10/2023-risks/m2-inadequate-supply-chain-security.html</t>
  </si>
  <si>
    <t xml:space="preserve">AV-MOB-09</t>
  </si>
  <si>
    <t xml:space="preserve">Insufficient input/output validation (WebView JS bridges, intent injection, local SQLi)</t>
  </si>
  <si>
    <t xml:space="preserve">WebViews with JavaScript bridges and file access, insufficiently validated deep links/intents, and local SQLite queries with string concatenation allow injection and unauthorized actions.</t>
  </si>
  <si>
    <t xml:space="preserve">Theft of local data and tokens, execution of actions on behalf of the user, local code/query injection.</t>
  </si>
  <si>
    <t xml:space="preserve">Review WebView settings (JavaScriptEnabled, addJavascriptInterface, allowFileAccess), intent filters/deep link parameters and local queries; fuzz via adb/Frida (MASTG approach).</t>
  </si>
  <si>
    <t xml:space="preserve">Minimize WebView permissions and bridges, validate all intent/deep link input, parameterized local queries, App Links/Universal Links with verification.</t>
  </si>
  <si>
    <t xml:space="preserve">T1660</t>
  </si>
  <si>
    <t xml:space="preserve">CWE-20, CWE-749, CWE-89</t>
  </si>
  <si>
    <t xml:space="preserve">OWASP Mobile Top 10 2024: M4; MASVS-CODE-4, MASVS-PLATFORM-2</t>
  </si>
  <si>
    <t xml:space="preserve">https://mas.owasp.org/MASTG/</t>
  </si>
  <si>
    <t xml:space="preserve">AV-MOB-10</t>
  </si>
  <si>
    <t xml:space="preserve">Inadequate privacy controls (PII in logs, analytics, clipboard, screenshots)</t>
  </si>
  <si>
    <t xml:space="preserve">The app logs personal data or tokens to system logs, sends PII to analytics parties, allows sensitive screens in snapshots/screenshots, or requests more permissions/data than necessary.</t>
  </si>
  <si>
    <t xml:space="preserve">Privacy violation and data leak to third parties; compliance risk (GDPR).</t>
  </si>
  <si>
    <t xml:space="preserve">Monitor logcat/Console and network traffic for PII, check screenshot/snapshot protection, clipboard usage and permissions (MASTG approach).</t>
  </si>
  <si>
    <t xml:space="preserve">Data minimization, no PII in logs, anonymization for analytics, FLAG_SECURE/snapshot blur, just-in-time permissions.</t>
  </si>
  <si>
    <t xml:space="preserve">Not detectable in production; audit during review.</t>
  </si>
  <si>
    <t xml:space="preserve">CWE-359, CWE-532</t>
  </si>
  <si>
    <t xml:space="preserve">OWASP Mobile Top 10 2024: M6; MASVS-PRIVACY</t>
  </si>
  <si>
    <t xml:space="preserve">https://mas.owasp.org/MASVS/controls/MASVS-PRIVACY-1/</t>
  </si>
  <si>
    <t xml:space="preserve">AV-MOB-11</t>
  </si>
  <si>
    <t xml:space="preserve">Security misconfiguration (debuggable, allowBackup, cleartext traffic, exported components)</t>
  </si>
  <si>
    <t xml:space="preserve">Production builds are debuggable, allow backups of app data, allow cleartext HTTP (usesCleartextTraffic/NSAllowsArbitraryLoads), export components without permission or contain test code/endpoints.</t>
  </si>
  <si>
    <t xml:space="preserve">Reading app data via backup/debugger, interception of traffic, abuse of components by other apps.</t>
  </si>
  <si>
    <t xml:space="preserve">Analyze manifest/Info.plist and build flags, test backup extraction and debugger attach on a test device (MASTG approach).</t>
  </si>
  <si>
    <t xml:space="preserve">Release builds with debuggable=false, allowBackup=false or exclusions, cleartext disabled, export components only with permissions, remove test code.</t>
  </si>
  <si>
    <t xml:space="preserve">Not detectable server-side; check manifest settings in CI.</t>
  </si>
  <si>
    <t xml:space="preserve">CWE-489, CWE-319, CWE-926</t>
  </si>
  <si>
    <t xml:space="preserve">AV-MOB-02, AV-MOB-07</t>
  </si>
  <si>
    <t xml:space="preserve">OWASP Mobile Top 10 2024: M8; MASVS-PLATFORM, MASVS-NETWORK-1</t>
  </si>
  <si>
    <t xml:space="preserve">AV-WIFI-01</t>
  </si>
  <si>
    <t xml:space="preserve">Wireless</t>
  </si>
  <si>
    <t xml:space="preserve">Rogue AP / evil twin</t>
  </si>
  <si>
    <t xml:space="preserve">Spoofed access point captures connections and credentials.</t>
  </si>
  <si>
    <t xml:space="preserve">Interception of traffic and credentials.</t>
  </si>
  <si>
    <t xml:space="preserve">Assess client configuration and verification of networks (within scope).</t>
  </si>
  <si>
    <t xml:space="preserve">802.1X with server validation; client hardening.</t>
  </si>
  <si>
    <t xml:space="preserve">Rogue AP detection via WIPS.</t>
  </si>
  <si>
    <t xml:space="preserve">AV-WIFI-05, AV-WIFI-08</t>
  </si>
  <si>
    <t xml:space="preserve">AV-WIFI-02</t>
  </si>
  <si>
    <t xml:space="preserve">WPA2 handshake capture &amp; offline crack</t>
  </si>
  <si>
    <t xml:space="preserve">Capturing the handshake to crack the PSK offline.</t>
  </si>
  <si>
    <t xml:space="preserve">Obtaining the network PSK.</t>
  </si>
  <si>
    <t xml:space="preserve">Assess PSK strength and policy (within scope/RoE).</t>
  </si>
  <si>
    <t xml:space="preserve">Strong PSK or 802.1X; WPA3 where possible.</t>
  </si>
  <si>
    <t xml:space="preserve">Limited detectability; monitor deauth activity.</t>
  </si>
  <si>
    <t xml:space="preserve">AV-WIFI-04, AV-WIFI-06, AV-WIFI-09</t>
  </si>
  <si>
    <t xml:space="preserve">AV-WIFI-03</t>
  </si>
  <si>
    <t xml:space="preserve">WEP/WPA weak encryption</t>
  </si>
  <si>
    <t xml:space="preserve">Outdated encryption can be broken efficiently.</t>
  </si>
  <si>
    <t xml:space="preserve">Access to the wireless network.</t>
  </si>
  <si>
    <t xml:space="preserve">Inventory the encryption standards in use within scope.</t>
  </si>
  <si>
    <t xml:space="preserve">Migrate to WPA2-Enterprise/WPA3.</t>
  </si>
  <si>
    <t xml:space="preserve">Inventory legacy encryption via WIPS.</t>
  </si>
  <si>
    <t xml:space="preserve">AV-WIFI-09</t>
  </si>
  <si>
    <t xml:space="preserve">AV-WIFI-04</t>
  </si>
  <si>
    <t xml:space="preserve">PMKID attack</t>
  </si>
  <si>
    <t xml:space="preserve">Clientless retrieval of crackable material from the AP.</t>
  </si>
  <si>
    <t xml:space="preserve">Offline cracking of the PSK without a client.</t>
  </si>
  <si>
    <t xml:space="preserve">Assess PSK strength and AP configuration within scope.</t>
  </si>
  <si>
    <t xml:space="preserve">Strong PSK; 802.1X; WPA3.</t>
  </si>
  <si>
    <t xml:space="preserve">Monitor unusual association attempts.</t>
  </si>
  <si>
    <t xml:space="preserve">AV-WIFI-05</t>
  </si>
  <si>
    <t xml:space="preserve">Enterprise (802.1X/EAP) attacks</t>
  </si>
  <si>
    <t xml:space="preserve">Exploitation of weak EAP configuration or missing server validation.</t>
  </si>
  <si>
    <t xml:space="preserve">Interception of enterprise credentials.</t>
  </si>
  <si>
    <t xml:space="preserve">Assess EAP method and client-side server validation within scope.</t>
  </si>
  <si>
    <t xml:space="preserve">Validate server certificates; strong EAP methods.</t>
  </si>
  <si>
    <t xml:space="preserve">Monitor anomalous RADIUS authentications.</t>
  </si>
  <si>
    <t xml:space="preserve">CWE-295</t>
  </si>
  <si>
    <t xml:space="preserve">AV-WIFI-01, AV-NET-20</t>
  </si>
  <si>
    <t xml:space="preserve">AV-WIFI-06</t>
  </si>
  <si>
    <t xml:space="preserve">WPS enabled / PIN brute force</t>
  </si>
  <si>
    <t xml:space="preserve">Wi-Fi Protected Setup is active on access points; the 8-digit PIN can be cracked online (or offline via Pixie Dust) and yields the WPA-PSK.</t>
  </si>
  <si>
    <t xml:space="preserve">Access to the wireless network without knowledge of the PSK.</t>
  </si>
  <si>
    <t xml:space="preserve">Inventory APs with WPS active (beacon/probe) and assess whether PIN attacks are possible (PoC only within the RoE).</t>
  </si>
  <si>
    <t xml:space="preserve">Disable WPS; 802.1X/WPA3 for corporate networks.</t>
  </si>
  <si>
    <t xml:space="preserve">WIPS monitoring for WPS registration attempts.</t>
  </si>
  <si>
    <t xml:space="preserve">CWE-1391, CWE-287</t>
  </si>
  <si>
    <t xml:space="preserve">https://www.kb.cert.org/vuls/id/723755</t>
  </si>
  <si>
    <t xml:space="preserve">AV-WIFI-07</t>
  </si>
  <si>
    <t xml:space="preserve">Guest network segregation failure / missing client isolation</t>
  </si>
  <si>
    <t xml:space="preserve">The guest network has routing to internal segments (printers, management, AD), shares the VLAN with corporate devices, or client isolation is missing so that guests can attack each other and IoT devices.</t>
  </si>
  <si>
    <t xml:space="preserve">A visitor or someone in the parking lot reaches the internal network; lateral movement between wireless clients.</t>
  </si>
  <si>
    <t xml:space="preserve">Connect to the guest network and test reachability of internal ranges, DNS/AD services and other clients.</t>
  </si>
  <si>
    <t xml:space="preserve">Guest network in its own VLAN with internet-only ACLs, client isolation, bandwidth and time limits, captive portal with sponsorship.</t>
  </si>
  <si>
    <t xml:space="preserve">Alert on traffic from the guest VLAN to internal ranges.</t>
  </si>
  <si>
    <t xml:space="preserve">T1021, T1557</t>
  </si>
  <si>
    <t xml:space="preserve">AV-NET-15, AV-NET-20</t>
  </si>
  <si>
    <t xml:space="preserve">https://attack.mitre.org/techniques/T1021/</t>
  </si>
  <si>
    <t xml:space="preserve">AV-WIFI-08</t>
  </si>
  <si>
    <t xml:space="preserve">Deauthentication / management frame attacks (no 802.11w)</t>
  </si>
  <si>
    <t xml:space="preserve">Protected Management Frames (802.11w) are not required, allowing deauth/disassociation frames to kick clients off the network (DoS) and force handshakes or evil-twin transition.</t>
  </si>
  <si>
    <t xml:space="preserve">Denial of service on Wi-Fi and facilitation of handshake capture and rogue AP attacks.</t>
  </si>
  <si>
    <t xml:space="preserve">Check in beacons whether PMF (MFPC/MFPR) is required; perform deauth tests only within a strict RoE window.</t>
  </si>
  <si>
    <t xml:space="preserve">PMF required (WPA3 or WPA2 with 802.11w required), WIPS.</t>
  </si>
  <si>
    <t xml:space="preserve">WIPS alerts on deauth floods.</t>
  </si>
  <si>
    <t xml:space="preserve">T1498</t>
  </si>
  <si>
    <t xml:space="preserve">AV-WIFI-01, AV-WIFI-02</t>
  </si>
  <si>
    <t xml:space="preserve">https://www.wi-fi.org/discover-wi-fi/security</t>
  </si>
  <si>
    <t xml:space="preserve">WPA3 transition mode / downgrade weaknesses (Dragonblood)</t>
  </si>
  <si>
    <t xml:space="preserve">WPA3-SAE in transition mode with WPA2 on the same SSID allows downgrade to WPA2 handshake capture; older SAE implementations are susceptible to side-channel/password-partitioning (Dragonblood) or missing H2E.</t>
  </si>
  <si>
    <t xml:space="preserve">Offline cracking of the password despite WPA3 rollout.</t>
  </si>
  <si>
    <t xml:space="preserve">Check AKM suites per SSID (transition vs SAE-only), H2E support and firmware versions of APs.</t>
  </si>
  <si>
    <t xml:space="preserve">SAE-only SSIDs with H2E, firmware updates, strong passwords or 802.1X.</t>
  </si>
  <si>
    <t xml:space="preserve">WIPS monitoring for WPA2 associations on WPA3 networks.</t>
  </si>
  <si>
    <t xml:space="preserve">T1557, T1110.002</t>
  </si>
  <si>
    <t xml:space="preserve">CWE-327, CWE-757</t>
  </si>
  <si>
    <t xml:space="preserve">AV-WIFI-02, AV-WIFI-03</t>
  </si>
  <si>
    <t xml:space="preserve">https://wpa3.mathyvanhoef.com/</t>
  </si>
  <si>
    <t xml:space="preserve">AV-SE-01</t>
  </si>
  <si>
    <t xml:space="preserve">Social engineering</t>
  </si>
  <si>
    <t xml:space="preserve">Spearphishing link</t>
  </si>
  <si>
    <t xml:space="preserve">Targeted email with a malicious link to a controlled destination.</t>
  </si>
  <si>
    <t xml:space="preserve">Credential theft or payload delivery.</t>
  </si>
  <si>
    <t xml:space="preserve">Perform an authorized phishing simulation in accordance with the RoE.</t>
  </si>
  <si>
    <t xml:space="preserve">Awareness training, mail filtering, MFA, URL rewriting.</t>
  </si>
  <si>
    <t xml:space="preserve">Mail gateway detection and click reporting.</t>
  </si>
  <si>
    <t xml:space="preserve">AV-SE-07, AV-SE-08, AV-EXT-03</t>
  </si>
  <si>
    <t xml:space="preserve">AV-SE-02</t>
  </si>
  <si>
    <t xml:space="preserve">Spearphishing attachment</t>
  </si>
  <si>
    <t xml:space="preserve">Targeted email with a malicious attachment.</t>
  </si>
  <si>
    <t xml:space="preserve">Execution of payload upon opening.</t>
  </si>
  <si>
    <t xml:space="preserve">Perform an authorized attachment simulation in accordance with the RoE.</t>
  </si>
  <si>
    <t xml:space="preserve">Attachment sandboxing, macro restriction, training.</t>
  </si>
  <si>
    <t xml:space="preserve">Sandbox detonation and EDR on opening.</t>
  </si>
  <si>
    <t xml:space="preserve">T1566.001</t>
  </si>
  <si>
    <t xml:space="preserve">AV-SE-11, CVE-2022-30190, CVE-2025-8088</t>
  </si>
  <si>
    <t xml:space="preserve">AV-SE-03</t>
  </si>
  <si>
    <t xml:space="preserve">Credential harvesting portal</t>
  </si>
  <si>
    <t xml:space="preserve">Counterfeit login page captures credentials.</t>
  </si>
  <si>
    <t xml:space="preserve">Account takeover.</t>
  </si>
  <si>
    <t xml:space="preserve">Measure credential entry in an authorized simulation (RoE).</t>
  </si>
  <si>
    <t xml:space="preserve">MFA, phishing-resistant auth (FIDO2), training.</t>
  </si>
  <si>
    <t xml:space="preserve">Detect logins from unusual context after a campaign.</t>
  </si>
  <si>
    <t xml:space="preserve">T1598</t>
  </si>
  <si>
    <t xml:space="preserve">AV-SE-07, AV-CLD-09</t>
  </si>
  <si>
    <t xml:space="preserve">AV-SE-04</t>
  </si>
  <si>
    <t xml:space="preserve">Vishing / pretexting</t>
  </si>
  <si>
    <t xml:space="preserve">Deception by phone or in person using a credible pretext.</t>
  </si>
  <si>
    <t xml:space="preserve">Obtaining information or access.</t>
  </si>
  <si>
    <t xml:space="preserve">Perform authorized pretext scenarios in accordance with the RoE.</t>
  </si>
  <si>
    <t xml:space="preserve">Verification procedures, training, reporting culture.</t>
  </si>
  <si>
    <t xml:space="preserve">Reporting of suspicious contacts.</t>
  </si>
  <si>
    <t xml:space="preserve">T1598, T1566.004</t>
  </si>
  <si>
    <t xml:space="preserve">D1</t>
  </si>
  <si>
    <t xml:space="preserve">AV-SE-10, AV-SE-08, AV-PHY-09</t>
  </si>
  <si>
    <t xml:space="preserve">AV-SE-05</t>
  </si>
  <si>
    <t xml:space="preserve">User execution</t>
  </si>
  <si>
    <t xml:space="preserve">The victim executes the delivered action/payload.</t>
  </si>
  <si>
    <t xml:space="preserve">Foothold on the endpoint.</t>
  </si>
  <si>
    <t xml:space="preserve">Measure execution rate in an authorized campaign (RoE).</t>
  </si>
  <si>
    <t xml:space="preserve">Application control, macro policy, EDR, training.</t>
  </si>
  <si>
    <t xml:space="preserve">EDR detection of execution after delivery.</t>
  </si>
  <si>
    <t xml:space="preserve">T1204</t>
  </si>
  <si>
    <t xml:space="preserve">AV-SE-11, AV-HOST-06</t>
  </si>
  <si>
    <t xml:space="preserve">AV-SE-06</t>
  </si>
  <si>
    <t xml:space="preserve">MFA fatigue / prompt bombing</t>
  </si>
  <si>
    <t xml:space="preserve">Repeated MFA prompts until the victim approves.</t>
  </si>
  <si>
    <t xml:space="preserve">MFA bypass and account takeover.</t>
  </si>
  <si>
    <t xml:space="preserve">Assess MFA type and anti-fatigue measures (RoE).</t>
  </si>
  <si>
    <t xml:space="preserve">Number matching, phishing-resistant MFA, limits.</t>
  </si>
  <si>
    <t xml:space="preserve">Alert on repeated MFA requests.</t>
  </si>
  <si>
    <t xml:space="preserve">T1621</t>
  </si>
  <si>
    <t xml:space="preserve">AV-SE-07, AV-WEB-46, AV-CLD-09</t>
  </si>
  <si>
    <t xml:space="preserve">AV-SE-07</t>
  </si>
  <si>
    <t xml:space="preserve">Adversary-in-the-middle phishing (reverse-proxy, session token theft)</t>
  </si>
  <si>
    <t xml:space="preserve">A reverse-proxy phishing kit (Evilginx-like) sits between the victim and the real IdP and captures credentials, MFA codes and especially the session cookie/tokens, thereby bypassing MFA.</t>
  </si>
  <si>
    <t xml:space="preserve">Full account takeover despite MFA (TOTP/push/SMS); access to M365/SSO applications.</t>
  </si>
  <si>
    <t xml:space="preserve">Assess the MFA type and Conditional Access (device compliance, token protection); simulate only with consent and without actual credential storage.</t>
  </si>
  <si>
    <t xml:space="preserve">Phishing-resistant MFA (FIDO2/passkeys/WHfB), Conditional Access on compliant devices, token binding/Token Protection, short session lifetime, URL filtering.</t>
  </si>
  <si>
    <t xml:space="preserve">Alert on sessions whose IP/device changes after authentication and on logins from hosting ASNs.</t>
  </si>
  <si>
    <t xml:space="preserve">T1557, T1566.002, T1539, T1111</t>
  </si>
  <si>
    <t xml:space="preserve">CWE-287, CWE-308</t>
  </si>
  <si>
    <t xml:space="preserve">Client-side attacks</t>
  </si>
  <si>
    <t xml:space="preserve">AV-SE-03, AV-SE-06, AV-CLD-09, AV-WEB-46</t>
  </si>
  <si>
    <t xml:space="preserve">https://learn.microsoft.com/en-us/entra/identity/conditional-access/concept-token-protection</t>
  </si>
  <si>
    <t xml:space="preserve">AV-SE-08</t>
  </si>
  <si>
    <t xml:space="preserve">QR-code phishing (quishing) &amp; callback phishing (TOAD)</t>
  </si>
  <si>
    <t xml:space="preserve">Phishing via QR codes in email/PDF/posters (bypasses URL filtering, moves to mobile without EDR) or via emails containing a phone number, after which the attacker guides the victim by phone to remote access software or a payment.</t>
  </si>
  <si>
    <t xml:space="preserve">Credential theft on mobile devices, installation of remote access tools, financial fraud.</t>
  </si>
  <si>
    <t xml:space="preserve">Perform authorized simulations with QR codes and callback scenarios in accordance with the RoE; measure scan/call behavior.</t>
  </si>
  <si>
    <t xml:space="preserve">Awareness, QR code scanning in mail security, MDM with URL filtering on mobile, verification procedures for phone requests, blocking of unauthorized remote access software.</t>
  </si>
  <si>
    <t xml:space="preserve">Mail gateway detection of QR codes; alert on installation of remote access tools.</t>
  </si>
  <si>
    <t xml:space="preserve">T1566.002, T1566.004, T1219</t>
  </si>
  <si>
    <t xml:space="preserve">AV-SE-01, AV-SE-04</t>
  </si>
  <si>
    <t xml:space="preserve">https://attack.mitre.org/techniques/T1566/004/</t>
  </si>
  <si>
    <t xml:space="preserve">AV-SE-09</t>
  </si>
  <si>
    <t xml:space="preserve">Smishing &amp; messaging-platform phishing (Teams, WhatsApp, LinkedIn)</t>
  </si>
  <si>
    <t xml:space="preserve">Phishing via SMS, WhatsApp, LinkedIn or external Teams tenants (external access) with links or files; bypasses email security and is viewed with less suspicion.</t>
  </si>
  <si>
    <t xml:space="preserve">Credential theft and malware delivery outside the controlled mail chain.</t>
  </si>
  <si>
    <t xml:space="preserve">Assess Teams external access/federation settings and MDM policy; simulate only within the RoE and with approval from HR/legal.</t>
  </si>
  <si>
    <t xml:space="preserve">Restrict Teams federation to an allowlist, awareness for non-email channels, MDM with link filtering, reporting process.</t>
  </si>
  <si>
    <t xml:space="preserve">Alert on messages/files from external tenants and on reports from employees.</t>
  </si>
  <si>
    <t xml:space="preserve">T1566.003, T1660</t>
  </si>
  <si>
    <t xml:space="preserve">AV-SE-01, AV-CLD-18</t>
  </si>
  <si>
    <t xml:space="preserve">https://learn.microsoft.com/en-us/microsoftteams/trusted-organizations-external-meetings-chat</t>
  </si>
  <si>
    <t xml:space="preserve">AV-SE-10</t>
  </si>
  <si>
    <t xml:space="preserve">Help-desk social engineering (password / MFA reset)</t>
  </si>
  <si>
    <t xml:space="preserve">The attacker calls the service desk posing as an employee (with OSINT details) and has a password or MFA method reset; verification is weak (date of birth, employee number) or missing for privileged accounts.</t>
  </si>
  <si>
    <t xml:space="preserve">Account takeover including MFA registration, often of administrators (Scattered Spider-like attacks).</t>
  </si>
  <si>
    <t xml:space="preserve">Perform authorized pretext calls in accordance with the RoE and assess the service desk's identity verification procedure.</t>
  </si>
  <si>
    <t xml:space="preserve">Strong identity verification (video/ID check, callback to registered number, manager approval), no reset of administrator accounts via the service desk, Temporary Access Pass with short validity, logging.</t>
  </si>
  <si>
    <t xml:space="preserve">Alert on MFA method changes and password resets shortly before privileged use.</t>
  </si>
  <si>
    <t xml:space="preserve">T1598, T1078, T1556.006</t>
  </si>
  <si>
    <t xml:space="preserve">CWE-287, CWE-640</t>
  </si>
  <si>
    <t xml:space="preserve">AV-SE-04, AV-WEB-45, AV-CLD-09</t>
  </si>
  <si>
    <t xml:space="preserve">https://www.cisa.gov/news-events/cybersecurity-advisories/aa23-320a</t>
  </si>
  <si>
    <t xml:space="preserve">AV-SE-11</t>
  </si>
  <si>
    <t xml:space="preserve">Malicious document / archive delivery (macro, LNK, ISO, HTML smuggling)</t>
  </si>
  <si>
    <t xml:space="preserve">Payloads are delivered via Office macros, LNK/HTA/JS in ISO/ZIP/RAR (Mark-of-the-Web bypass), HTML smuggling or exploitation of archiver/viewer vulnerabilities; dependent on macro policy, MotW enforcement and application control.</t>
  </si>
  <si>
    <t xml:space="preserve">Code execution on the endpoint and initial access (ransomware, infostealers).</t>
  </si>
  <si>
    <t xml:space="preserve">Assess macro policy, MotW enforcement, attachment filtering and application control; test (within the RoE) whether representative, harmless payloads reach the user and execute.</t>
  </si>
  <si>
    <t xml:space="preserve">Block macros from the internet (default since 2022), ASR rules, application control (WDAC/AppLocker), blocking of ISO/IMG/LNK attachments, patching of archivers (WinRAR/7-Zip), MotW-respecting tooling.</t>
  </si>
  <si>
    <t xml:space="preserve">EDR detection of Office child processes, LNK execution and scripts from user folders.</t>
  </si>
  <si>
    <t xml:space="preserve">T1566.001, T1204.002, T1553.005, T1027.006</t>
  </si>
  <si>
    <t xml:space="preserve">AV-SE-02, AV-SE-05, CVE-2022-30190, CVE-2025-8088, CVE-2025-0411, CVE-2026-21510</t>
  </si>
  <si>
    <t xml:space="preserve">https://learn.microsoft.com/en-us/defender-endpoint/attack-surface-reduction-rules-reference</t>
  </si>
  <si>
    <t xml:space="preserve">AV-PHY-01</t>
  </si>
  <si>
    <t xml:space="preserve">Physical</t>
  </si>
  <si>
    <t xml:space="preserve">Tailgating / facility access</t>
  </si>
  <si>
    <t xml:space="preserve">Physical access</t>
  </si>
  <si>
    <t xml:space="preserve">Following others through access points without one's own authorization.</t>
  </si>
  <si>
    <t xml:space="preserve">Physical access to secured zones.</t>
  </si>
  <si>
    <t xml:space="preserve">Perform an authorized access test in accordance with the RoE.</t>
  </si>
  <si>
    <t xml:space="preserve">Mantraps, badge discipline, awareness.</t>
  </si>
  <si>
    <t xml:space="preserve">Surveillance and access logs.</t>
  </si>
  <si>
    <t xml:space="preserve">AV-PHY-09, AV-PHY-06</t>
  </si>
  <si>
    <t xml:space="preserve">AV-PHY-02</t>
  </si>
  <si>
    <t xml:space="preserve">Badge cloning (RFID)</t>
  </si>
  <si>
    <t xml:space="preserve">Copying of access badges with weak technology.</t>
  </si>
  <si>
    <t xml:space="preserve">Unauthorized physical access.</t>
  </si>
  <si>
    <t xml:space="preserve">Assess badge technology and read range within scope (RoE).</t>
  </si>
  <si>
    <t xml:space="preserve">Modern, encrypted badge tech; multi-factor access.</t>
  </si>
  <si>
    <t xml:space="preserve">Anomaly detection in access logs.</t>
  </si>
  <si>
    <t xml:space="preserve">AV-PHY-03</t>
  </si>
  <si>
    <t xml:space="preserve">Rogue device / hardware implant</t>
  </si>
  <si>
    <t xml:space="preserve">Placement of a device for access or persistence.</t>
  </si>
  <si>
    <t xml:space="preserve">Persistent access to the internal network.</t>
  </si>
  <si>
    <t xml:space="preserve">Assess port security and physical controls within scope (RoE).</t>
  </si>
  <si>
    <t xml:space="preserve">Port security/NAC, port lockdown, inspections.</t>
  </si>
  <si>
    <t xml:space="preserve">NAC detection of unknown devices.</t>
  </si>
  <si>
    <t xml:space="preserve">T1200</t>
  </si>
  <si>
    <t xml:space="preserve">AV-NET-20, AV-PHY-08</t>
  </si>
  <si>
    <t xml:space="preserve">AV-PHY-04</t>
  </si>
  <si>
    <t xml:space="preserve">USB drop</t>
  </si>
  <si>
    <t xml:space="preserve">Media left behind entices users to plug it in.</t>
  </si>
  <si>
    <t xml:space="preserve">Payload execution upon connection.</t>
  </si>
  <si>
    <t xml:space="preserve">Perform an authorized media drop in accordance with the RoE.</t>
  </si>
  <si>
    <t xml:space="preserve">USB policy/device control, training.</t>
  </si>
  <si>
    <t xml:space="preserve">EDR detection of execution from removable media.</t>
  </si>
  <si>
    <t xml:space="preserve">T1091, T1200</t>
  </si>
  <si>
    <t xml:space="preserve">AV-SE-05, AV-HOST-06</t>
  </si>
  <si>
    <t xml:space="preserve">AV-PHY-05</t>
  </si>
  <si>
    <t xml:space="preserve">Lock / barrier bypass</t>
  </si>
  <si>
    <t xml:space="preserve">Bypassing of mechanical or physical barriers.</t>
  </si>
  <si>
    <t xml:space="preserve">Access to restricted areas.</t>
  </si>
  <si>
    <t xml:space="preserve">Assess physical barriers within scope (RoE).</t>
  </si>
  <si>
    <t xml:space="preserve">High-quality locks, defense-in-depth, monitoring.</t>
  </si>
  <si>
    <t xml:space="preserve">Alarm and camera coverage.</t>
  </si>
  <si>
    <t xml:space="preserve">AV-PHY-06</t>
  </si>
  <si>
    <t xml:space="preserve">Unattended / unlocked workstations &amp; clean desk violations</t>
  </si>
  <si>
    <t xml:space="preserve">Workstations are left unlocked, passwords on notes, badges/tokens unattended, sensitive documents on desks and printers.</t>
  </si>
  <si>
    <t xml:space="preserve">Direct access to sessions and data by visitors or insiders; USB-based attacks on unlocked hosts.</t>
  </si>
  <si>
    <t xml:space="preserve">Perform an authorized round (clean desk walk-through) and record observations without accessing data (RoE).</t>
  </si>
  <si>
    <t xml:space="preserve">Automatic screen lock (max. 5-10 min), awareness, clean desk policy, badge discipline, follow-me printing.</t>
  </si>
  <si>
    <t xml:space="preserve">Security rounds and spot checks.</t>
  </si>
  <si>
    <t xml:space="preserve">T1200, T1078</t>
  </si>
  <si>
    <t xml:space="preserve">AV-PHY-01, AV-HOST-06</t>
  </si>
  <si>
    <t xml:space="preserve">ISO 27001 A.7.7</t>
  </si>
  <si>
    <t xml:space="preserve">https://www.iso.org/standard/27001</t>
  </si>
  <si>
    <t xml:space="preserve">AV-PHY-07</t>
  </si>
  <si>
    <t xml:space="preserve">Dumpster diving / sensitive documents and media disposal</t>
  </si>
  <si>
    <t xml:space="preserve">Confidential documents, hard drives, badges or equipment are disposed of unshredded/unwiped or lie in open paper bins and containers.</t>
  </si>
  <si>
    <t xml:space="preserve">Information for pretexting, leaked credentials and data on discarded media.</t>
  </si>
  <si>
    <t xml:space="preserve">Inspect (with consent) waste streams, paper bins and disposal procedures for media.</t>
  </si>
  <si>
    <t xml:space="preserve">Shredders/locked paper bins, certified data destruction, asset disposal process.</t>
  </si>
  <si>
    <t xml:space="preserve">Audits of the disposal process.</t>
  </si>
  <si>
    <t xml:space="preserve">T1589, T1592</t>
  </si>
  <si>
    <t xml:space="preserve">ISO 27001 A.7.10, A.7.14</t>
  </si>
  <si>
    <t xml:space="preserve">AV-PHY-08</t>
  </si>
  <si>
    <t xml:space="preserve">Accessible network ports &amp; devices in public areas</t>
  </si>
  <si>
    <t xml:space="preserve">Active network ports in reception/meeting rooms, VoIP phones with a pass-through port, printers and access points are physically accessible and provide access to production VLANs without NAC.</t>
  </si>
  <si>
    <t xml:space="preserve">Placement of drop boxes or direct access to the internal network from public areas.</t>
  </si>
  <si>
    <t xml:space="preserve">Inventory accessible ports/devices in public zones and test (RoE) what access a connected device obtains.</t>
  </si>
  <si>
    <t xml:space="preserve">Disable ports in public zones or place them in a guest VLAN, 802.1X, physical security of patch cabinets/APs, separate VoIP VLAN.</t>
  </si>
  <si>
    <t xml:space="preserve">NAC/switch alerts on link-up of unused ports and new MAC addresses.</t>
  </si>
  <si>
    <t xml:space="preserve">AV-NET-20, AV-PHY-03</t>
  </si>
  <si>
    <t xml:space="preserve">AV-PHY-09</t>
  </si>
  <si>
    <t xml:space="preserve">On-site impersonation (contractor, vendor, new employee pretext)</t>
  </si>
  <si>
    <t xml:space="preserve">The tester poses as a technician, cleaner, vendor or new colleague (with a counterfeit badge/clothing) and obtains access or help from employees without verification.</t>
  </si>
  <si>
    <t xml:space="preserve">Physical access to offices, server rooms and workstations; placement of equipment.</t>
  </si>
  <si>
    <t xml:space="preserve">Perform pretext scenarios in accordance with the RoE with a 'get out of jail' letter; record verification moments.</t>
  </si>
  <si>
    <t xml:space="preserve">Visitor registration and escorting, verification of vendors via pre-announced appointments, badge checks, awareness, no access without a sponsor.</t>
  </si>
  <si>
    <t xml:space="preserve">Reception/security logs, reporting culture.</t>
  </si>
  <si>
    <t xml:space="preserve">AV-PHY-01, AV-SE-04</t>
  </si>
  <si>
    <t xml:space="preserve">ISO 27001 A.7.2</t>
  </si>
  <si>
    <t xml:space="preserve">AV-HOST-01</t>
  </si>
  <si>
    <t xml:space="preserve">Endpoint</t>
  </si>
  <si>
    <t xml:space="preserve">Windows local privilege escalation via service / path / permission misconfiguration</t>
  </si>
  <si>
    <t xml:space="preserve">Unquoted service paths, writable service binaries or folders, weak service ACLs (SERVICE_CHANGE_CONFIG), AlwaysInstallElevated, writable registry autoruns/scheduled tasks, DLL hijacking in PATH and modifiable installers give SYSTEM privileges to a local user.</t>
  </si>
  <si>
    <t xml:space="preserve">Local user becomes SYSTEM; credential dumping, EDR tampering and lateral movement follow.</t>
  </si>
  <si>
    <t xml:space="preserve">Enumerate with PrivescCheck/winPEAS-like checks (service ACLs, paths, registry, tasks, installers) on a representative workstation/server and confirm with a non-destructive PoC (RoE).</t>
  </si>
  <si>
    <t xml:space="preserve">Quote service paths, fix ACLs on binaries/folders/registry, AlwaysInstallElevated off, users not local admin, hardening baseline (CIS/Microsoft) and periodic config scans.</t>
  </si>
  <si>
    <t xml:space="preserve">Alert on service configuration changes (7045/4697) and new scheduled tasks by non-administrators.</t>
  </si>
  <si>
    <t xml:space="preserve">T1574.009, T1574.010, T1574.011, T1053.005, T1548.002</t>
  </si>
  <si>
    <t xml:space="preserve">CWE-428, CWE-732, CWE-276</t>
  </si>
  <si>
    <t xml:space="preserve">Windows - Privilege Escalation</t>
  </si>
  <si>
    <t xml:space="preserve">Windows privilege escalation</t>
  </si>
  <si>
    <t xml:space="preserve">AV-HOST-06, AV-AD-03</t>
  </si>
  <si>
    <t xml:space="preserve">https://github.com/itm4n/PrivescCheck</t>
  </si>
  <si>
    <t xml:space="preserve">AV-HOST-02</t>
  </si>
  <si>
    <t xml:space="preserve">Windows privilege escalation via token privileges (SeImpersonate / Potato family)</t>
  </si>
  <si>
    <t xml:space="preserve">Service accounts (IIS AppPool, MSSQL, NetworkService) with SeImpersonatePrivilege or SeAssignPrimaryTokenPrivilege can obtain a SYSTEM token via Potato techniques (PrintSpoofer, GodPotato); SeBackup/SeRestore/SeLoadDriver offer similar paths.</t>
  </si>
  <si>
    <t xml:space="preserve">From webshell/database RCE directly to SYSTEM on the host.</t>
  </si>
  <si>
    <t xml:space="preserve">After code execution as a service account, check the privileges present (whoami /priv) and whether relevant services (Print Spooler, RPC) are available; confirm with a PoC within the RoE.</t>
  </si>
  <si>
    <t xml:space="preserve">Run applications under virtual accounts/gMSA with minimal privileges, Print Spooler off where not needed, patching, isolation of web servers.</t>
  </si>
  <si>
    <t xml:space="preserve">EDR detection of named pipe impersonation and unexpected SYSTEM processes started by service accounts.</t>
  </si>
  <si>
    <t xml:space="preserve">T1134.001, T1068</t>
  </si>
  <si>
    <t xml:space="preserve">Windows - Privilege Escalation - Potato</t>
  </si>
  <si>
    <t xml:space="preserve">AV-HOST-01, AV-WEB-10, AV-WEB-04</t>
  </si>
  <si>
    <t xml:space="preserve">https://github.com/itm4n/PrintSpoofer</t>
  </si>
  <si>
    <t xml:space="preserve">AV-HOST-03</t>
  </si>
  <si>
    <t xml:space="preserve">Linux local privilege escalation (SUID, sudo, cron, capabilities, kernel)</t>
  </si>
  <si>
    <t xml:space="preserve">Insecure sudo rules (NOPASSWD, wildcards, GTFOBins binaries), SUID/SGID binaries, writable cron scripts or PATH manipulation, dangerous capabilities, docker/lxd group membership, writable /etc/passwd or a vulnerable kernel/sudo version.</t>
  </si>
  <si>
    <t xml:space="preserve">Local user becomes root; access to all data, secrets and lateral movement material (SSH keys).</t>
  </si>
  <si>
    <t xml:space="preserve">Enumerate with linPEAS-like checks and compare sudo/kernel/glibc versions against known CVEs; confirm with a non-destructive PoC (RoE).</t>
  </si>
  <si>
    <t xml:space="preserve">Least-privilege sudo without wildcards, SUID minimization, cron hygiene, restrict capabilities, patching (kernel/sudo/glibc), no users in docker/lxd groups.</t>
  </si>
  <si>
    <t xml:space="preserve">Auditd/EDR for sudo abuse, SUID execution with anomalous arguments and kernel exploit indicators.</t>
  </si>
  <si>
    <t xml:space="preserve">T1548.001, T1548.003, T1053.003, T1068</t>
  </si>
  <si>
    <t xml:space="preserve">CWE-269, CWE-732</t>
  </si>
  <si>
    <t xml:space="preserve">Linux - Privilege Escalation</t>
  </si>
  <si>
    <t xml:space="preserve">Linux privilege escalation</t>
  </si>
  <si>
    <t xml:space="preserve">CVE-2021-4034, CVE-2021-3156, CVE-2025-32463, CVE-2023-4911, CVE-2024-1086</t>
  </si>
  <si>
    <t xml:space="preserve">https://gtfobins.github.io/</t>
  </si>
  <si>
    <t xml:space="preserve">AV-HOST-04</t>
  </si>
  <si>
    <t xml:space="preserve">Credentials in files, registry, browsers and configuration</t>
  </si>
  <si>
    <t xml:space="preserve">Passwords in scripts, config/web.config files, unattend.xml, PowerShell history, registry (Winlogon AutoAdminLogon, PuTTY sessions), browser profiles, RDP/VPN clients and password managers without a master password.</t>
  </si>
  <si>
    <t xml:space="preserve">Reuse of credentials for lateral movement and escalation; often domain or cloud credentials.</t>
  </si>
  <si>
    <t xml:space="preserve">Search the file system, registry and user profiles for credential patterns and saved sessions (with consent, report findings anonymized).</t>
  </si>
  <si>
    <t xml:space="preserve">Secret management, no credentials in scripts/configs, disable browser password storage (corporate policy), store PowerShell transcription securely, DPAPI protection with Credential Guard.</t>
  </si>
  <si>
    <t xml:space="preserve">Alert on mass file reads of config files and access to browser credential stores by unknown processes.</t>
  </si>
  <si>
    <t xml:space="preserve">T1552.001, T1552.002, T1555.003, T1555</t>
  </si>
  <si>
    <t xml:space="preserve">CWE-798, CWE-522, CWE-312</t>
  </si>
  <si>
    <t xml:space="preserve">Windows - Privilege Escalation - Credentials</t>
  </si>
  <si>
    <t xml:space="preserve">AV-AD-26, AV-NET-13, AV-CLD-02</t>
  </si>
  <si>
    <t xml:space="preserve">https://attack.mitre.org/techniques/T1552/001/</t>
  </si>
  <si>
    <t xml:space="preserve">AV-HOST-05</t>
  </si>
  <si>
    <t xml:space="preserve">Missing full-disk encryption / pre-boot authentication</t>
  </si>
  <si>
    <t xml:space="preserve">Laptops/workstations without BitLocker/FileVault/LUKS, or BitLocker with TPM-only without PIN (susceptible to TPM sniffing/cold boot/bitpixie-like attacks), unsecured BIOS/UEFI (boot from USB, no Secure Boot) and recovery keys not centrally managed.</t>
  </si>
  <si>
    <t xml:space="preserve">Reading out all data and credentials (incl. cached domain credentials and DPAPI material) from a stolen or left-behind device.</t>
  </si>
  <si>
    <t xml:space="preserve">Check encryption status and configuration (manage-bde/MDM reporting), BIOS password, Secure Boot and boot order on a representative device.</t>
  </si>
  <si>
    <t xml:space="preserve">Full disk encryption with pre-boot authentication (TPM+PIN), Secure Boot, BIOS password and boot restrictions, central escrow of recovery keys, firmware updates.</t>
  </si>
  <si>
    <t xml:space="preserve">MDM/Intune compliance reporting on encryption status.</t>
  </si>
  <si>
    <t xml:space="preserve">T1200, T1005</t>
  </si>
  <si>
    <t xml:space="preserve">CWE-311, CWE-1240</t>
  </si>
  <si>
    <t xml:space="preserve">AV-PHY-06, AV-AD-03</t>
  </si>
  <si>
    <t xml:space="preserve">CIS Microsoft Windows Benchmark</t>
  </si>
  <si>
    <t xml:space="preserve">https://learn.microsoft.com/en-us/windows/security/operating-system-security/data-protection/bitlocker/countermeasures</t>
  </si>
  <si>
    <t xml:space="preserve">AV-HOST-06</t>
  </si>
  <si>
    <t xml:space="preserve">Insufficient endpoint hardening (local admin users, no application control, macro policy, EDR gaps)</t>
  </si>
  <si>
    <t xml:space="preserve">Users are local administrators, application control (WDAC/AppLocker) and ASR rules are missing, macros/scripts (PowerShell v2, WScript) are unrestricted, EDR is missing or in audit mode, LSASS protection (RunAsPPL/Credential Guard) is off and the local firewall is disabled.</t>
  </si>
  <si>
    <t xml:space="preserve">Easy initial access and escalation after phishing; credential dumping and EDR evasion.</t>
  </si>
  <si>
    <t xml:space="preserve">Assess the workstation baseline against the CIS/Microsoft Security Baseline (admin privileges, application control, ASR, EDR status, LSASS protection, firewall, PowerShell logging).</t>
  </si>
  <si>
    <t xml:space="preserve">No local admin by default (LAPS + JIT), WDAC/AppLocker, ASR rules, Credential Guard/RunAsPPL, EDR in block mode on all endpoints, PowerShell Constrained Language/logging, host firewall on.</t>
  </si>
  <si>
    <t xml:space="preserve">Compliance reporting from MDM/EDR; alert on disabling of security tooling.</t>
  </si>
  <si>
    <t xml:space="preserve">T1204, T1059, T1562.001, T1003.001</t>
  </si>
  <si>
    <t xml:space="preserve">CWE-250, CWE-693</t>
  </si>
  <si>
    <t xml:space="preserve">AV-SE-05, AV-SE-11, AV-AD-03, AV-AD-21</t>
  </si>
  <si>
    <t xml:space="preserve">CIS Microsoft Windows Benchmark; Microsoft Security Baselines</t>
  </si>
  <si>
    <t xml:space="preserve">https://learn.microsoft.com/en-us/windows/security/operating-system-security/device-management/windows-security-configuration-framework/windows-security-baselines</t>
  </si>
  <si>
    <t xml:space="preserve">AV-HOST-07</t>
  </si>
  <si>
    <t xml:space="preserve">Missing OS / kernel patches enabling local exploitation</t>
  </si>
  <si>
    <t xml:space="preserve">Workstations and servers are missing security updates for kernel/driver vulnerabilities (CLFS, afd.sys, Win32k, nf_tables, Dirty Pipe, sudo, polkit) for which public or in-the-wild exploits exist; often due to deferred patch cycles or manually managed servers.</t>
  </si>
  <si>
    <t xml:space="preserve">Reliable escalation to SYSTEM/root from any local user; widely exploited by ransomware actors.</t>
  </si>
  <si>
    <t xml:space="preserve">Inventory patch level (systeminfo/wmic qfe, kernel/package versions) and compare against KEV and known LPE exploits; PoC only on test systems or within the RoE.</t>
  </si>
  <si>
    <t xml:space="preserve">Patch management with SLAs (KEV within days), reboot discipline, kernel live patching where possible, EOL replacement.</t>
  </si>
  <si>
    <t xml:space="preserve">Vulnerability management and EDR detection of exploit behavior (kernel pool corruption, token manipulation).</t>
  </si>
  <si>
    <t xml:space="preserve">T1068</t>
  </si>
  <si>
    <t xml:space="preserve">CVE-2025-29824, CVE-2021-36934, CVE-2026-85880, CVE-2022-0847, CVE-2024-1086, CVE-2026-31431</t>
  </si>
  <si>
    <t xml:space="preserve">AV-AI-01</t>
  </si>
  <si>
    <t xml:space="preserve">AI / LLM</t>
  </si>
  <si>
    <t xml:space="preserve">Prompt injection (direct &amp; indirect)</t>
  </si>
  <si>
    <t xml:space="preserve">User input or content processed by the model (documents, web pages, emails, RAG sources, tool output) contains instructions that override the system prompt and the intended task; indirect injection works without the user doing anything malicious.</t>
  </si>
  <si>
    <t xml:space="preserve">Data leak via tool calls or exfiltration links, unwanted actions (sending mail, modifying records), jailbreak of policy rules, zero-click attacks on copilots.</t>
  </si>
  <si>
    <t xml:space="preserve">Test directly via the chat interface and indirectly via all content sources the model reads (documents, web pages, mail, tickets); measure whether instructions in data are followed and whether tools/links are triggered (RoE).</t>
  </si>
  <si>
    <t xml:space="preserve">Treat all model input as untrusted; separate instructions from data, least privilege and confirmation for tool actions, output filtering of links/markdown, content filters, red teaming per release.</t>
  </si>
  <si>
    <t xml:space="preserve">Log prompts and tool calls; alert on anomalous tool sequences, exfiltration patterns (URLs with data) and policy violations.</t>
  </si>
  <si>
    <t xml:space="preserve">CWE-1427, CWE-77</t>
  </si>
  <si>
    <t xml:space="preserve">Prompt Injection</t>
  </si>
  <si>
    <t xml:space="preserve">AV-AI-03, AV-AI-04, CVE-2025-32711, CVE-2024-5565</t>
  </si>
  <si>
    <t xml:space="preserve">OWASP LLM Top 10 2025: LLM01; MITRE ATLAS: AML.T0051, AML.T0054</t>
  </si>
  <si>
    <t xml:space="preserve">https://genai.owasp.org/llmrisk/llm01-prompt-injection/</t>
  </si>
  <si>
    <t xml:space="preserve">AV-AI-02</t>
  </si>
  <si>
    <t xml:space="preserve">Sensitive information &amp; system prompt disclosure</t>
  </si>
  <si>
    <t xml:space="preserve">The model leaks system prompts, internal instructions, API keys or training/RAG data; copilots give access to documents that the user can technically read but that are overshared; PII from conversations is logged or reused for training.</t>
  </si>
  <si>
    <t xml:space="preserve">Exposure of trade secrets, credentials and personal data; facilitates targeted jailbreaks.</t>
  </si>
  <si>
    <t xml:space="preserve">Attempt system prompt extraction and retrieval of data outside the test user's authorization (RAG authorization, oversharing); check the provider's logging and data retention.</t>
  </si>
  <si>
    <t xml:space="preserve">No secrets in prompts, document-/chunk-level authorization in RAG, sanitization of training/retrieval data, data classification and oversharing cleanup before copilot rollout, DLP on prompts/output.</t>
  </si>
  <si>
    <t xml:space="preserve">Alert on output with secret patterns and on unusual retrieval volumes per user.</t>
  </si>
  <si>
    <t xml:space="preserve">CWE-200, CWE-359</t>
  </si>
  <si>
    <t xml:space="preserve">AV-AI-01, AV-CLD-18</t>
  </si>
  <si>
    <t xml:space="preserve">OWASP LLM Top 10 2025: LLM02, LLM07; MITRE ATLAS: AML.T0057, AML.T0056</t>
  </si>
  <si>
    <t xml:space="preserve">https://genai.owasp.org/llmrisk/llm022025-sensitive-information-disclosure/</t>
  </si>
  <si>
    <t xml:space="preserve">AV-AI-03</t>
  </si>
  <si>
    <t xml:space="preserve">Improper output handling (LLM output into HTML, SQL, shell, code)</t>
  </si>
  <si>
    <t xml:space="preserve">Model output is rendered without validation (markdown/HTML -&gt; XSS), executed (generated SQL, shell commands, Python in agents/notebooks) or passed to downstream APIs; the LLM thereby becomes an injection vector that can be steered through prompt injection.</t>
  </si>
  <si>
    <t xml:space="preserve">XSS/CSRF in the chat UI, SQL injection via text-to-SQL, RCE via code execution by agents (e.g. Vanna.AI, Langflow).</t>
  </si>
  <si>
    <t xml:space="preserve">Have the model (via prompt or indirect injection) generate output containing HTML/JS, SQL metacharacters or shell syntax and check whether downstream components process it insecurely.</t>
  </si>
  <si>
    <t xml:space="preserve">Treat model output as untrusted user input: output encoding, parameterized queries, sandboxing/allowlists for code execution, human confirmation for dangerous actions.</t>
  </si>
  <si>
    <t xml:space="preserve">Alert on execution of generated code outside the sandbox and on output with script/SQL patterns.</t>
  </si>
  <si>
    <t xml:space="preserve">T1059</t>
  </si>
  <si>
    <t xml:space="preserve">CWE-79, CWE-89, CWE-94</t>
  </si>
  <si>
    <t xml:space="preserve">AV-AI-01, AV-WEB-05, AV-WEB-03, CVE-2024-5565</t>
  </si>
  <si>
    <t xml:space="preserve">OWASP LLM Top 10 2025: LLM05; MITRE ATLAS: AML.T0053</t>
  </si>
  <si>
    <t xml:space="preserve">https://genai.owasp.org/llmrisk/llm052025-improper-output-handling/</t>
  </si>
  <si>
    <t xml:space="preserve">AV-AI-04</t>
  </si>
  <si>
    <t xml:space="preserve">Excessive agency / insecure tool &amp; MCP integration</t>
  </si>
  <si>
    <t xml:space="preserve">Agents are given too many tools, overly broad permissions (write/delete, payments, mail) or act without confirmation; MCP servers and plugins are connected without authentication/verification, are themselves vulnerable (command injection, auth bypass) or are poisoned via tool descriptions (tool poisoning).</t>
  </si>
  <si>
    <t xml:space="preserve">Unauthorized actions and data leakage on behalf of the user, lateral movement via connected systems, RCE on the agent host.</t>
  </si>
  <si>
    <t xml:space="preserve">Inventory tools/MCP servers and their permissions, test whether actions are executed without confirmation after (indirect) prompt injection, and test the MCP/plugin endpoints themselves for auth and injection.</t>
  </si>
  <si>
    <t xml:space="preserve">Least privilege and scoped tokens per tool, human-in-the-loop for irreversible actions, allowlist of verified MCP servers, auth on MCP endpoints, sandboxing and egress restriction of the agent runtime.</t>
  </si>
  <si>
    <t xml:space="preserve">Full audit logging of tool calls with arguments; alert on new tool registrations and anomalous action patterns.</t>
  </si>
  <si>
    <t xml:space="preserve">T1078, T1059</t>
  </si>
  <si>
    <t xml:space="preserve">CWE-250, CWE-284, CWE-78</t>
  </si>
  <si>
    <t xml:space="preserve">AV-AI-01, CVE-2025-6514, CVE-2025-49596</t>
  </si>
  <si>
    <t xml:space="preserve">OWASP LLM Top 10 2025: LLM06; MITRE ATLAS: AML.T0053; Related CVEs without their own row: CVE-2026-59822</t>
  </si>
  <si>
    <t xml:space="preserve">https://genai.owasp.org/llmrisk/llm062025-excessive-agency/</t>
  </si>
  <si>
    <t xml:space="preserve">AV-AI-05</t>
  </si>
  <si>
    <t xml:space="preserve">Data, model &amp; RAG poisoning</t>
  </si>
  <si>
    <t xml:space="preserve">Attackers place manipulated documents in sources that the RAG pipeline indexes (SharePoint, tickets, web), poison training/fine-tuning data or supply manipulated models/datasets (Hugging Face pickle files), as a result of which the behavior of the system is permanently influenced.</t>
  </si>
  <si>
    <t xml:space="preserve">Persistent indirect prompt injection, backdoors in models, disinformation and targeted deception of users.</t>
  </si>
  <si>
    <t xml:space="preserve">Assess who has write permissions on indexed sources and whether content is validated; test (RoE) whether a planted document steers the response behavior; check the provenance and format (safetensors vs pickle) of models.</t>
  </si>
  <si>
    <t xml:space="preserve">Authorization and validation of ingest sources, provenance/signing of data and models (model cards, hashes), safetensors, isolation of vector stores per tenant, monitoring for drifting behavior.</t>
  </si>
  <si>
    <t xml:space="preserve">Alert on anomalous embeddings/sources in retrieval and on changes to indexed documents by unexpected accounts.</t>
  </si>
  <si>
    <t xml:space="preserve">CWE-345, CWE-502</t>
  </si>
  <si>
    <t xml:space="preserve">AV-AI-01, AV-CLD-18, AV-AI-07</t>
  </si>
  <si>
    <t xml:space="preserve">OWASP LLM Top 10 2025: LLM04, LLM08; MITRE ATLAS: AML.T0020, AML.T0070, AML.T0010</t>
  </si>
  <si>
    <t xml:space="preserve">https://genai.owasp.org/llmrisk/llm042025-data-and-model-poisoning/</t>
  </si>
  <si>
    <t xml:space="preserve">AV-AI-06</t>
  </si>
  <si>
    <t xml:space="preserve">Unbounded consumption (DoS, denial of wallet, model extraction)</t>
  </si>
  <si>
    <t xml:space="preserve">No limits on prompt length, number of requests, tool recursion or tokens per user, allowing attackers to make costs explode, render the service unavailable or extract the model/prompts via mass queries.</t>
  </si>
  <si>
    <t xml:space="preserve">High cloud costs, unavailability and theft of intellectual property (model/prompt).</t>
  </si>
  <si>
    <t xml:space="preserve">Measure rate limiting, maximum input length, recursion/loop protection of agents and budget limits per user/API key.</t>
  </si>
  <si>
    <t xml:space="preserve">Rate limiting and quotas per identity, input/output token limits, timeouts and max-iterations for agents, cost alerts, bot protection.</t>
  </si>
  <si>
    <t xml:space="preserve">Alert on cost spikes and anomalous consumption per user/key.</t>
  </si>
  <si>
    <t xml:space="preserve">CWE-770, CWE-400</t>
  </si>
  <si>
    <t xml:space="preserve">OWASP LLM Top 10 2025: LLM10; MITRE ATLAS: AML.T0029</t>
  </si>
  <si>
    <t xml:space="preserve">https://genai.owasp.org/llmrisk/llm102025-unbounded-consumption/</t>
  </si>
  <si>
    <t xml:space="preserve">AV-AI-07</t>
  </si>
  <si>
    <t xml:space="preserve">Insecure AI platform &amp; tooling exposure (Ollama, Langflow, MLflow, Ray, LiteLLM)</t>
  </si>
  <si>
    <t xml:space="preserve">AI development and serving platforms run without authentication or with default settings (Ollama/Ray/MLflow/Jupyter on 0.0.0.0), contain pre-auth RCEs (Langflow, LiteLLM, n8n) or leak API keys of model providers; often outside the regular patch process (data science teams, shadow AI).</t>
  </si>
  <si>
    <t xml:space="preserve">RCE on GPU/data servers, theft of models, datasets and provider keys, pivot to the cloud environment.</t>
  </si>
  <si>
    <t xml:space="preserve">Scan for AI platform ports (11434, 7860, 5000, 8265, 4000, 5678), test anonymous access and versions against KEV; inventory shadow AI via egress logs.</t>
  </si>
  <si>
    <t xml:space="preserve">Authentication and network isolation for all AI tooling, same patch policy as production, secret management for provider keys, AI gateway with logging and budgets, inventory of AI usage.</t>
  </si>
  <si>
    <t xml:space="preserve">Alert on new AI services in the network and on outbound traffic to model providers from unexpected hosts.</t>
  </si>
  <si>
    <t xml:space="preserve">A02:2025, A03:2025</t>
  </si>
  <si>
    <t xml:space="preserve">T1190, T1552</t>
  </si>
  <si>
    <t xml:space="preserve">CWE-306, CWE-1104</t>
  </si>
  <si>
    <t xml:space="preserve">CVE-2025-3248, CVE-2026-0770, CVE-2024-37032, CVE-2026-64849, CVE-2025-62593, CVE-2026-42208, CVE-2025-68613</t>
  </si>
  <si>
    <t xml:space="preserve">OWASP LLM Top 10 2025: LLM03</t>
  </si>
  <si>
    <t xml:space="preserve">https://genai.owasp.org/llmrisk/llm032025-supply-chain/</t>
  </si>
  <si>
    <t xml:space="preserve">CVE-2020-1472</t>
  </si>
  <si>
    <t xml:space="preserve">Windows Netlogon - privilege escalation (Zerologon)</t>
  </si>
  <si>
    <t xml:space="preserve">Known vulnerability</t>
  </si>
  <si>
    <t xml:space="preserve">A cryptographic flaw in the Netlogon Remote Protocol (MS-NRPC, AES-CFB8 with a zero IV) allows an unauthenticated attacker with network access to a domain controller to set the DC's computer account password to empty and subsequently become domain admin. Microsoft assigned the CNA score 5.5; NVD and practitioners rate it as 10.0.</t>
  </si>
  <si>
    <t xml:space="preserve">Full domain compromise from any host with network access to a DC, without credentials.</t>
  </si>
  <si>
    <t xml:space="preserve">Check the patch level of all DCs (August 2020 and February 2021 enforcement phase) and the registry value FullSecureChannelProtection; only use the non-destructive check (authentication attempts without password reset) within the RoE.</t>
  </si>
  <si>
    <t xml:space="preserve">Install the updates on all DCs and turn on enforcement mode; replace or isolate devices that do not support secure RPC; monitor Event 5827-5831.</t>
  </si>
  <si>
    <t xml:space="preserve">Events 5827/5828 (denied vulnerable Netlogon connections) and 5829 (allowed via exception) on DCs.</t>
  </si>
  <si>
    <t xml:space="preserve">T1068, T1210</t>
  </si>
  <si>
    <t xml:space="preserve">CWE-330</t>
  </si>
  <si>
    <t xml:space="preserve">Active Directory Attack - Zerologon</t>
  </si>
  <si>
    <t xml:space="preserve">CVSS:3.1/AV:N/AC:L/PR:N/UI:N/S:C/C:H/I:H/A:H</t>
  </si>
  <si>
    <t xml:space="preserve">Windows Server 2008 R2 through Server 2019 and Server version 1903/1909/2004 (all DCs without the August 2020 update); also Samba &lt; 4.12.7 as a DC</t>
  </si>
  <si>
    <t xml:space="preserve">Updates of 11 August 2020 (phase 1) and 9 February 2021 (enforcement); Samba 4.10.18 / 4.11.13 / 4.12.7</t>
  </si>
  <si>
    <t xml:space="preserve">Yes - KEV since 2021-11-03</t>
  </si>
  <si>
    <t xml:space="preserve">Yes (public PoCs and scanners; Impacket/Metasploit)</t>
  </si>
  <si>
    <t xml:space="preserve">AV-AD-04, AV-NET-04, AV-AD-20</t>
  </si>
  <si>
    <t xml:space="preserve">KEV; Secura discovery (Tom Tervoort); CVSS source: NVD; Microsoft CNA 5.5</t>
  </si>
  <si>
    <t xml:space="preserve">https://portal.msrc.microsoft.com/en-US/security-guidance/advisory/CVE-2020-1472; https://www.kb.cert.org/vuls/id/490028; https://nvd.nist.gov/vuln/detail/CVE-2020-1472</t>
  </si>
  <si>
    <t xml:space="preserve">CVE-2021-42287</t>
  </si>
  <si>
    <t xml:space="preserve">Active Directory - sAMAccountName spoofing / KDC confusion (noPac, with CVE-2021-42278)</t>
  </si>
  <si>
    <t xml:space="preserve">By renaming a computer account to the name of a DC (without $) and requesting a TGT, the KDC issues a service ticket for the real DC account during S4U2self. In combination with MachineAccountQuota &gt; 0, any domain user escalates to domain admin.</t>
  </si>
  <si>
    <t xml:space="preserve">Any authenticated domain user becomes domain admin on an unpatched domain.</t>
  </si>
  <si>
    <t xml:space="preserve">Check whether all DCs have the November 2021 updates (or later) and whether the PAC enforcement phase is active; check MachineAccountQuota; use a non-destructive scanner (ticket request without exploitation) within the RoE.</t>
  </si>
  <si>
    <t xml:space="preserve">Patch all DCs (KB5008380/KB5008602 and later) and set PacRequestorEnforcement to enforcement; set MachineAccountQuota to 0.</t>
  </si>
  <si>
    <t xml:space="preserve">Events 4741/4781 (computer account created/renamed without $) and 4768/4769 with anomalous account names on DCs.</t>
  </si>
  <si>
    <t xml:space="preserve">T1068, T1558</t>
  </si>
  <si>
    <t xml:space="preserve">CWE-20</t>
  </si>
  <si>
    <t xml:space="preserve">Active Directory Attack - noPac</t>
  </si>
  <si>
    <t xml:space="preserve">CVSS:3.1/AV:N/AC:H/PR:L/UI:N/S:U/C:H/I:H/A:H</t>
  </si>
  <si>
    <t xml:space="preserve">Windows Server 2008 R2 through Server 2022 as a DC without the updates of 9 November 2021</t>
  </si>
  <si>
    <t xml:space="preserve">Updates of November 2021 (CVE-2021-42278 and CVE-2021-42287) with enforcement from July 2022</t>
  </si>
  <si>
    <t xml:space="preserve">Yes - KEV since 2022-04-11</t>
  </si>
  <si>
    <t xml:space="preserve">Yes (public PoCs: noPac, Impacket)</t>
  </si>
  <si>
    <t xml:space="preserve">AV-AD-16, AV-AD-07</t>
  </si>
  <si>
    <t xml:space="preserve">KEV; CVSS source: CNA; Related CVEs without their own row: CVE-2021-42278</t>
  </si>
  <si>
    <t xml:space="preserve">https://msrc.microsoft.com/update-guide/vulnerability/CVE-2021-42287; https://nvd.nist.gov/vuln/detail/CVE-2021-42287</t>
  </si>
  <si>
    <t xml:space="preserve">CVE-2022-26923</t>
  </si>
  <si>
    <t xml:space="preserve">Active Directory Certificate Services - machine account certificate spoofing (Certifried)</t>
  </si>
  <si>
    <t xml:space="preserve">A user who manages a computer account (or may create one via MachineAccountQuota) can set the dNSHostName of that account to the name of a DC and obtain a certificate for the DC via the Machine template, with which they authenticate as the DC via PKINIT.</t>
  </si>
  <si>
    <t xml:space="preserve">Escalation from domain user to domain admin in environments with AD CS.</t>
  </si>
  <si>
    <t xml:space="preserve">Check whether the DCs and CAs have the May 2022 updates and whether the StrongCertificateBindingEnforcement phase is active; check MachineAccountQuota and whether the Machine template is enrollable for Domain Computers.</t>
  </si>
  <si>
    <t xml:space="preserve">Patch DCs and CAs (May 2022) and set StrongCertificateBindingEnforcement to Full Enforcement (mandatory since February 2025); MachineAccountQuota = 0; audit templates.</t>
  </si>
  <si>
    <t xml:space="preserve">Events 39/40/41 (Kerberos-Key-Distribution-Center certificate mapping) and 4886/4887 (certificate requests) for computer accounts with anomalous SANs.</t>
  </si>
  <si>
    <t xml:space="preserve">T1649, T1068</t>
  </si>
  <si>
    <t xml:space="preserve">CVSS:3.1/AV:N/AC:L/PR:L/UI:N/S:U/C:H/I:H/A:H</t>
  </si>
  <si>
    <t xml:space="preserve">Windows Server 2012 R2 through Server 2022 with AD CS without the update of 10 May 2022</t>
  </si>
  <si>
    <t xml:space="preserve">Updates of May 2022 (KB5014754) with Full Enforcement from February 2025</t>
  </si>
  <si>
    <t xml:space="preserve">Yes - KEV since 2022-08-18</t>
  </si>
  <si>
    <t xml:space="preserve">Yes (Certipy)</t>
  </si>
  <si>
    <t xml:space="preserve">AV-AD-09, AV-AD-16</t>
  </si>
  <si>
    <t xml:space="preserve">KEV; CVSS source: CNA</t>
  </si>
  <si>
    <t xml:space="preserve">https://msrc.microsoft.com/update-guide/vulnerability/CVE-2022-26923; https://nvd.nist.gov/vuln/detail/CVE-2022-26923</t>
  </si>
  <si>
    <t xml:space="preserve">CVE-2024-49019</t>
  </si>
  <si>
    <t xml:space="preserve">Active Directory Certificate Services - EKUwu / ESC15 (version 1 templates)</t>
  </si>
  <si>
    <t xml:space="preserve">With certificate templates of schema version 1 with 'supply in the request', an attacker can specify Application Policies in the request and thus obtain a certificate with e.g. Client Authentication or Certificate Request Agent for an arbitrary user (ESC15), even though the template does not allow this.</t>
  </si>
  <si>
    <t xml:space="preserve">Impersonation of arbitrary accounts (incl. domain admins) via certificates; persistent access.</t>
  </si>
  <si>
    <t xml:space="preserve">Inventory templates with schema version 1 on which low-privileged users may enroll (Certipy find) and check whether the CA has the November 2024 update.</t>
  </si>
  <si>
    <t xml:space="preserve">Patch the CAs (November 2024), remove/duplicate v1 templates to v2+, restrict enrollment permissions, disable 'supply in the request' where possible.</t>
  </si>
  <si>
    <t xml:space="preserve">Event 4886/4887 with Application Policies that deviate from the template; monitor certificate requests for administrators.</t>
  </si>
  <si>
    <t xml:space="preserve">CWE-1390</t>
  </si>
  <si>
    <t xml:space="preserve">CVSS:3.1/AV:L/AC:L/PR:L/UI:N/S:U/C:H/I:H/A:H</t>
  </si>
  <si>
    <t xml:space="preserve">Windows Server 2016 through Server 2025 with AD CS without the update of 12 November 2024 and with v1 templates (e.g. WebServer) enrollable</t>
  </si>
  <si>
    <t xml:space="preserve">Updates of November 2024; template hardening</t>
  </si>
  <si>
    <t xml:space="preserve">No (not in KEV as of 2026-10-04)</t>
  </si>
  <si>
    <t xml:space="preserve">ESC15 (TrustedSec, Justin Bollinger); CVSS source: CNA</t>
  </si>
  <si>
    <t xml:space="preserve">https://msrc.microsoft.com/update-guide/vulnerability/CVE-2024-49019; https://nvd.nist.gov/vuln/detail/CVE-2024-49019</t>
  </si>
  <si>
    <t xml:space="preserve">CVE-2025-53779</t>
  </si>
  <si>
    <t xml:space="preserve">Windows Server 2025 dMSA - privilege escalation (BadSuccessor)</t>
  </si>
  <si>
    <t xml:space="preserve">Delegated Managed Service Accounts can be linked to an arbitrary existing account via the attribute msDS-ManagedAccountPrecededByLink; anyone who may create or edit a dMSA in an OU thereby inherits the privileges and keys of that account, including Domain Admins.</t>
  </si>
  <si>
    <t xml:space="preserve">Escalation from limited OU permissions to any account in the domain (only with at least one Windows Server 2025 DC).</t>
  </si>
  <si>
    <t xml:space="preserve">Check for Server 2025 DCs and the August 2025 update; inventory who has CreateChild/WriteProperty on dMSA objects in OUs (BloodHound/Get-BadSuccessorOUPermissions).</t>
  </si>
  <si>
    <t xml:space="preserve">Install the update of 12 August 2025 on all Server 2025 DCs; restrict dMSA creation to Tier 0 administrators; audit OU permissions.</t>
  </si>
  <si>
    <t xml:space="preserve">Event 5137 (creation of msDS-DelegatedManagedServiceAccount) and 5136 on msDS-ManagedAccountPrecededByLink by non-administrators.</t>
  </si>
  <si>
    <t xml:space="preserve">CWE-23</t>
  </si>
  <si>
    <t xml:space="preserve">CVSS:3.1/AV:N/AC:L/PR:H/UI:N/S:U/C:H/I:H/A:H</t>
  </si>
  <si>
    <t xml:space="preserve">Windows Server 2025 (DC) builds &lt; 10.0.26100.4946</t>
  </si>
  <si>
    <t xml:space="preserve">Update of 12 August 2025 (KB5063878)</t>
  </si>
  <si>
    <t xml:space="preserve">Yes (public PoC/tooling)</t>
  </si>
  <si>
    <t xml:space="preserve">AV-AD-25, AV-AD-08</t>
  </si>
  <si>
    <t xml:space="preserve">Akamai (Yuval Gordon), May 2025; CVSS source: CNA</t>
  </si>
  <si>
    <t xml:space="preserve">https://msrc.microsoft.com/update-guide/vulnerability/CVE-2025-53779; https://nvd.nist.gov/vuln/detail/CVE-2025-53779</t>
  </si>
  <si>
    <t xml:space="preserve">CVE-2021-36942</t>
  </si>
  <si>
    <t xml:space="preserve">Windows LSA spoofing - coerced authentication via MS-EFSR (PetitPotam)</t>
  </si>
  <si>
    <t xml:space="preserve">Via the EFSRPC interface (OpenEncryptedFileRaw and others), an unauthenticated attacker can force a domain controller to authenticate with its machine account to an attacker host; the NTLM authentication is relayed to AD CS Web Enrollment (ESC8) or LDAP.</t>
  </si>
  <si>
    <t xml:space="preserve">Domain controller certificate or DCSync privileges via relay; full domain compromise without credentials.</t>
  </si>
  <si>
    <t xml:space="preserve">Check whether the DCs have the August 2021 update, whether EFSRPC is still reachable unauthenticated (Coercer in check mode) and whether relay targets (AD CS HTTP without EPA, LDAP without signing) exist.</t>
  </si>
  <si>
    <t xml:space="preserve">Patch (August 2021) and apply KB5005413: EPA and HTTPS-only on AD CS Web Enrollment/CES, disable NTLM for IIS on the CA, enforce LDAP/SMB signing, RPC filters for EFSRPC.</t>
  </si>
  <si>
    <t xml:space="preserve">Event 4624/4776 with DC machine account from non-DC IPs; network detection of EFSRPC calls to DCs.</t>
  </si>
  <si>
    <t xml:space="preserve">Active Directory Attack - PetitPotam</t>
  </si>
  <si>
    <t xml:space="preserve">CVSS:3.1/AV:N/AC:L/PR:N/UI:N/S:U/C:H/I:N/A:N</t>
  </si>
  <si>
    <t xml:space="preserve">Windows Server 2008 through Server 2022 without the update of 10 August 2021; coercion remains partially possible for authenticated users</t>
  </si>
  <si>
    <t xml:space="preserve">Update of August 2021 + mitigations KB5005413</t>
  </si>
  <si>
    <t xml:space="preserve">Yes (PetitPotam, Coercer, Impacket ntlmrelayx)</t>
  </si>
  <si>
    <t xml:space="preserve">AV-AD-14, AV-AD-09, AV-NET-03</t>
  </si>
  <si>
    <t xml:space="preserve">https://msrc.microsoft.com/update-guide/vulnerability/CVE-2021-36942; https://nvd.nist.gov/vuln/detail/CVE-2021-36942</t>
  </si>
  <si>
    <t xml:space="preserve">CVE-2021-34527</t>
  </si>
  <si>
    <t xml:space="preserve">Windows Print Spooler - remote code execution (PrintNightmare, with CVE-2021-1675)</t>
  </si>
  <si>
    <t xml:space="preserve">An authenticated user can have a malicious printer driver (DLL) loaded by the Print Spooler service via RpcAddPrinterDriverEx, locally or remotely, with SYSTEM privileges; on domain controllers with an active spooler this leads directly to domain compromise.</t>
  </si>
  <si>
    <t xml:space="preserve">SYSTEM on any host with Print Spooler, including DCs; lateral movement and escalation with a regular domain account.</t>
  </si>
  <si>
    <t xml:space="preserve">Check whether Print Spooler is running on DCs/servers (rpcdump/MS-RPRN), the patch level (July 2021 or later) and the Point and Print registry values (NoWarningNoElevationOnInstall, UpdatePromptSettings = 0).</t>
  </si>
  <si>
    <t xml:space="preserve">Patch (July 2021 and later), disable Print Spooler on DCs and servers that do not print, restrict Point and Print via GPO, RestrictDriverInstallationToAdministrators = 1.</t>
  </si>
  <si>
    <t xml:space="preserve">Event 316/808 (PrintService) with unexpected driver installations; Sysmon on spoolsv.exe loading DLLs from spool\drivers.</t>
  </si>
  <si>
    <t xml:space="preserve">T1068, T1210, T1547.012</t>
  </si>
  <si>
    <t xml:space="preserve">Active Directory Attack - PrintNightmare</t>
  </si>
  <si>
    <t xml:space="preserve">All Windows versions with Print Spooler (Windows 7/Server 2008 through Windows 10 21H1/Server 2022) without the update of 6-7 July 2021</t>
  </si>
  <si>
    <t xml:space="preserve">Out-of-band update of 6 July 2021 (KB5004945 and others) + registry hardening</t>
  </si>
  <si>
    <t xml:space="preserve">Yes (public PoCs, Impacket, Metasploit)</t>
  </si>
  <si>
    <t xml:space="preserve">AV-AD-14, AV-HOST-01</t>
  </si>
  <si>
    <t xml:space="preserve">KEV; CVSS source: CNA; Related CVEs without their own row: CVE-2021-1675</t>
  </si>
  <si>
    <t xml:space="preserve">https://msrc.microsoft.com/update-guide/vulnerability/CVE-2021-34527; https://nvd.nist.gov/vuln/detail/CVE-2021-34527</t>
  </si>
  <si>
    <t xml:space="preserve">CVE-2019-1040</t>
  </si>
  <si>
    <t xml:space="preserve">Windows NTLM - MIC bypass / tampering (Drop the MIC)</t>
  </si>
  <si>
    <t xml:space="preserve">The Message Integrity Code of NTLM messages could be removed without the server noticing, allowing an attacker to disable signing flags during a relay and relay SMB authentication to LDAP(S) despite LDAP signing/channel binding requirements.</t>
  </si>
  <si>
    <t xml:space="preserve">NTLM relay from SMB to LDAP for RBCD/DCSync privileges; in combination with coercion, domain compromise.</t>
  </si>
  <si>
    <t xml:space="preserve">Check whether all DCs and servers have the June 2019 update; test with ntlmrelayx --remove-mic only within the RoE.</t>
  </si>
  <si>
    <t xml:space="preserve">Patch (June 2019); enforce SMB/LDAP signing and EPA; phase out NTLM.</t>
  </si>
  <si>
    <t xml:space="preserve">NTLM authentications without MIC/anomalous negotiate flags in network detection; Event 4624 from relay hosts.</t>
  </si>
  <si>
    <t xml:space="preserve">T1557, T1550</t>
  </si>
  <si>
    <t xml:space="preserve">CWE-345</t>
  </si>
  <si>
    <t xml:space="preserve">CVSS:3.1/AV:N/AC:H/PR:N/UI:R/S:U/C:N/I:H/A:N</t>
  </si>
  <si>
    <t xml:space="preserve">Windows 7/Server 2008 R2 through Windows 10 1903/Server 2019 without the update of 11 June 2019</t>
  </si>
  <si>
    <t xml:space="preserve">Update of June 2019</t>
  </si>
  <si>
    <t xml:space="preserve">Yes (Impacket ntlmrelayx)</t>
  </si>
  <si>
    <t xml:space="preserve">AV-NET-03, AV-AD-17</t>
  </si>
  <si>
    <t xml:space="preserve">Preempt/Fox-IT research (Dirk-jan Mollema); CVSS source: CNA</t>
  </si>
  <si>
    <t xml:space="preserve">https://msrc.microsoft.com/update-guide/vulnerability/CVE-2019-1040; https://nvd.nist.gov/vuln/detail/CVE-2019-1040</t>
  </si>
  <si>
    <t xml:space="preserve">CVE-2025-33073</t>
  </si>
  <si>
    <t xml:space="preserve">Windows SMB client - NTLM reflection / privilege escalation</t>
  </si>
  <si>
    <t xml:space="preserve">By making a host authenticate to an attacker host via a DNS name with a specially marshalled target (e.g. host1UWhRCAAAAAA...), the NTLM authentication could be reflected back to the same host and used as SYSTEM; only hosts without enforced SMB signing are vulnerable.</t>
  </si>
  <si>
    <t xml:space="preserve">SYSTEM on any Windows host without mandatory SMB signing from a low-privileged domain account (coercion + reflection).</t>
  </si>
  <si>
    <t xml:space="preserve">Check the patch level (June 2025) and whether SMB signing is enforced (RequireSecuritySignature) on clients and servers; verify whether users may create DNS records (ADIDNS).</t>
  </si>
  <si>
    <t xml:space="preserve">Install the June 2025 update, enforce SMB signing on all hosts (default in Windows 11 24H2/Server 2025), restrict dynamic DNS registration.</t>
  </si>
  <si>
    <t xml:space="preserve">Event 4624 type 3 with SYSTEM/machine account from its own IP; DNS registrations with anomalous hostnames.</t>
  </si>
  <si>
    <t xml:space="preserve">T1187, T1557, T1068</t>
  </si>
  <si>
    <t xml:space="preserve">Windows 10/11 and Windows Server 2008 R2 through 2025 without the update of 10 June 2025 and without enforced SMB signing</t>
  </si>
  <si>
    <t xml:space="preserve">Update of June 2025 (e.g. 10.0.19045.5965 / 10.0.22631.5472)</t>
  </si>
  <si>
    <t xml:space="preserve">Yes - KEV since 2025-10-20</t>
  </si>
  <si>
    <t xml:space="preserve">Yes (public PoCs)</t>
  </si>
  <si>
    <t xml:space="preserve">AV-NET-08, AV-AD-14, AV-NET-03</t>
  </si>
  <si>
    <t xml:space="preserve">KEV (2025-10-20); Synacktiv/RedTeam Pentesting; CVSS source: CNA</t>
  </si>
  <si>
    <t xml:space="preserve">https://msrc.microsoft.com/update-guide/vulnerability/CVE-2025-33073; https://nvd.nist.gov/vuln/detail/CVE-2025-33073</t>
  </si>
  <si>
    <t xml:space="preserve">CVE-2025-24054</t>
  </si>
  <si>
    <t xml:space="preserve">Windows NTLM - hash disclosure via .library-ms files</t>
  </si>
  <si>
    <t xml:space="preserve">Extracting or even merely viewing (Explorer) a manipulated .library-ms file that points to an SMB path makes Windows automatically perform NTLM authentication to the attacker's server; the NetNTLMv2 hash can be cracked offline or relayed.</t>
  </si>
  <si>
    <t xml:space="preserve">Leakage of user hashes with minimal interaction; stepping stone to relay and account compromise; exploited immediately after publication (including against Polish and Romanian organizations).</t>
  </si>
  <si>
    <t xml:space="preserve">Check the patch level (March 2025) and whether outbound SMB (445) to the internet is blocked; test (RoE) whether a .library-ms file triggers an authentication to your own listener.</t>
  </si>
  <si>
    <t xml:space="preserve">Patch (March 2025), block outbound SMB to the internet at the perimeter and host firewall, restrict NTLM (Restrict NTLM: outgoing), mail filtering for .library-ms/.lnk/.url in archives.</t>
  </si>
  <si>
    <t xml:space="preserve">Alert on outbound SMB connections to external IPs and on NTLM authentication to unknown servers.</t>
  </si>
  <si>
    <t xml:space="preserve">T1187, T1566.001</t>
  </si>
  <si>
    <t xml:space="preserve">CWE-73</t>
  </si>
  <si>
    <t xml:space="preserve">Active Directory Attack - NTLM Hash Leak</t>
  </si>
  <si>
    <t xml:space="preserve">CVSS:3.1/AV:N/AC:L/PR:N/UI:R/S:U/C:H/I:N/A:N</t>
  </si>
  <si>
    <t xml:space="preserve">Windows 10/11 and Server 2008 R2 through 2025 without the update of 11 March 2025</t>
  </si>
  <si>
    <t xml:space="preserve">Update of March 2025</t>
  </si>
  <si>
    <t xml:space="preserve">Yes - KEV since 2025-04-17</t>
  </si>
  <si>
    <t xml:space="preserve">Yes (exploited in the wild, public PoC)</t>
  </si>
  <si>
    <t xml:space="preserve">AV-NET-02, AV-NET-03, AV-SE-11</t>
  </si>
  <si>
    <t xml:space="preserve">KEV (2025-04-17); CVSS source: CNA</t>
  </si>
  <si>
    <t xml:space="preserve">https://msrc.microsoft.com/update-guide/vulnerability/CVE-2025-24054; https://nvd.nist.gov/vuln/detail/CVE-2025-24054</t>
  </si>
  <si>
    <t xml:space="preserve">CVE-2026-32202</t>
  </si>
  <si>
    <t xml:space="preserve">Windows Shell - NTLM credential coercion via LNK files (spoofing)</t>
  </si>
  <si>
    <t xml:space="preserve">A manipulated LNK file causes Windows Shell, when it is displayed in Explorer (without clicking), to establish a connection to a UNC path chosen by the attacker, leaking the user's NTLM credentials; exploited in the wild via phishing attachments and shared folders.</t>
  </si>
  <si>
    <t xml:space="preserve">Leakage of NetNTLMv2 hashes for offline cracking or relay without user interaction beyond opening a folder.</t>
  </si>
  <si>
    <t xml:space="preserve">Check the patch level (April 2026) and whether outbound SMB/WebDAV to the internet is blocked; test (RoE) with an LNK that points to your own listener.</t>
  </si>
  <si>
    <t xml:space="preserve">Install the April 2026 update, block outbound SMB/WebDAV to the internet, restrict NTLM usage (Restrict NTLM), filter LNK attachments.</t>
  </si>
  <si>
    <t xml:space="preserve">Alert on NTLM authentication to unknown hosts and on outbound SMB to external addresses.</t>
  </si>
  <si>
    <t xml:space="preserve">CVSS:3.1/AV:N/AC:L/PR:N/UI:R/S:U/C:L/I:N/A:N</t>
  </si>
  <si>
    <t xml:space="preserve">Windows 10/11 and Windows Server 2008 R2 through 2025 without the update of 14 April 2026</t>
  </si>
  <si>
    <t xml:space="preserve">Update of April 2026 (e.g. 10.0.19045.7548 / 10.0.22631.7376)</t>
  </si>
  <si>
    <t xml:space="preserve">Yes - KEV since 2026-04-28</t>
  </si>
  <si>
    <t xml:space="preserve">Exploited in the wild (KEV); limited public details</t>
  </si>
  <si>
    <t xml:space="preserve">CVE-2025-24054, AV-SE-11, AV-NET-03</t>
  </si>
  <si>
    <t xml:space="preserve">KEV (2026-04-28); CVSS source: CNA</t>
  </si>
  <si>
    <t xml:space="preserve">https://msrc.microsoft.com/update-guide/vulnerability/CVE-2026-32202; https://nvd.nist.gov/vuln/detail/CVE-2026-32202</t>
  </si>
  <si>
    <t xml:space="preserve">CVE-2024-21410</t>
  </si>
  <si>
    <t xml:space="preserve">Microsoft Exchange Server - NTLM relay to Exchange (privilege escalation)</t>
  </si>
  <si>
    <t xml:space="preserve">Unauthenticated attackers could relay leaked or coerced NTLM credentials of users to an on-premises Exchange server (without Extended Protection for Authentication) and thus act as that user, including mailbox access and impersonation.</t>
  </si>
  <si>
    <t xml:space="preserve">Mailbox takeover and further escalation within the Exchange organization; used in targeted attacks (Microsoft cites active exploitation).</t>
  </si>
  <si>
    <t xml:space="preserve">Check the Exchange build (CU14 or higher with EPA enabled) and whether Extended Protection is active on all virtual directories (ExchangeExtendedProtectionManagement script).</t>
  </si>
  <si>
    <t xml:space="preserve">Install Exchange 2019 CU14 (EPA on by default) or enable Extended Protection on CU13/2016 CU23 with the November 2023 SU; phase out NTLM.</t>
  </si>
  <si>
    <t xml:space="preserve">Event 4624 with NTLM logons on Exchange from unexpected source IPs; IIS logs with anomalous authentication patterns.</t>
  </si>
  <si>
    <t xml:space="preserve">T1557, T1114.002</t>
  </si>
  <si>
    <t xml:space="preserve">CVSS:3.1/AV:N/AC:L/PR:N/UI:N/S:U/C:H/I:H/A:H</t>
  </si>
  <si>
    <t xml:space="preserve">Exchange Server 2016 CU23 and 2019 CU13/CU14 without the February 2024 SU or without Extended Protection</t>
  </si>
  <si>
    <t xml:space="preserve">Exchange 2019 CU14 (February 2024) / February 2024 SU with EPA enabled</t>
  </si>
  <si>
    <t xml:space="preserve">Yes - KEV since 2024-02-15</t>
  </si>
  <si>
    <t xml:space="preserve">Exploited in the wild; relay tooling public</t>
  </si>
  <si>
    <t xml:space="preserve">AV-NET-03, AV-AD-14, CVE-2021-26855</t>
  </si>
  <si>
    <t xml:space="preserve">KEV (2024-02-15); CVSS source: CNA</t>
  </si>
  <si>
    <t xml:space="preserve">https://msrc.microsoft.com/update-guide/vulnerability/CVE-2024-21410; https://nvd.nist.gov/vuln/detail/CVE-2024-21410</t>
  </si>
  <si>
    <t xml:space="preserve">CVE-2017-0144</t>
  </si>
  <si>
    <t xml:space="preserve">Windows SMBv1 - remote code execution (EternalBlue / MS17-010)</t>
  </si>
  <si>
    <t xml:space="preserve">A kernel pool overflow in the SMBv1 server allows unauthenticated code execution as SYSTEM via port 445; used by WannaCry and NotPetya and still present on legacy systems (Windows 7/2008/2003, embedded devices).</t>
  </si>
  <si>
    <t xml:space="preserve">Full compromise of the host and worm-like spread through the network.</t>
  </si>
  <si>
    <t xml:space="preserve">Scan for SMBv1 and use a non-destructive MS17-010 check (e.g. nmap smb-vuln-ms17-010) within scope; exploitation only on explicitly approved systems due to crash risk.</t>
  </si>
  <si>
    <t xml:space="preserve">Install MS17-010, disable SMBv1 (domain-wide via GPO), replace EOL systems, block 445 between workstations.</t>
  </si>
  <si>
    <t xml:space="preserve">IDS signatures for EternalBlue patterns; alert on SMBv1 negotiation and unexpected lsass/spoolsv crashes.</t>
  </si>
  <si>
    <t xml:space="preserve">T1210, T1570</t>
  </si>
  <si>
    <t xml:space="preserve">CWE-119</t>
  </si>
  <si>
    <t xml:space="preserve">Windows Vista/7/8.1/10 (through 1607), Server 2008/2008 R2/2012/2012 R2/2016 without MS17-010; Windows XP/2003 via separate update</t>
  </si>
  <si>
    <t xml:space="preserve">MS17-010 (14 March 2017), KB4012598 for XP/2003 (May 2017)</t>
  </si>
  <si>
    <t xml:space="preserve">Yes - KEV since 2022-02-10</t>
  </si>
  <si>
    <t xml:space="preserve">Yes (Metasploit, public exploits)</t>
  </si>
  <si>
    <t xml:space="preserve">AV-NET-18, AV-NET-21, AV-NET-04</t>
  </si>
  <si>
    <t xml:space="preserve">KEV (2022-02-10); CVSS source: ADP CISA-ADP</t>
  </si>
  <si>
    <t xml:space="preserve">https://www.exploit-db.com/exploits/42031/; https://www.exploit-db.com/exploits/42030/; https://nvd.nist.gov/vuln/detail/CVE-2017-0144</t>
  </si>
  <si>
    <t xml:space="preserve">CVE-2019-0708</t>
  </si>
  <si>
    <t xml:space="preserve">Windows Remote Desktop Services - pre-auth remote code execution (BlueKeep)</t>
  </si>
  <si>
    <t xml:space="preserve">A use-after-free in the RDP service (MS_T120 channel) allows an unauthenticated attacker to execute code as SYSTEM on Windows 7/Server 2008 (R2) and older; wormable, exploitation can crash the system.</t>
  </si>
  <si>
    <t xml:space="preserve">Full compromise of legacy hosts with RDP; spread within the network.</t>
  </si>
  <si>
    <t xml:space="preserve">Identify RDP services on legacy OS versions and use a non-destructive check (nmap rdp-vuln-ms12-020-like/rdpscan) within scope; no exploitation on production without explicit permission.</t>
  </si>
  <si>
    <t xml:space="preserve">Patch (May 2019), enable NLA, remove RDP from the internet and restrict it internally to management zones, replace EOL systems.</t>
  </si>
  <si>
    <t xml:space="preserve">IDS signatures for BlueKeep handshakes; alert on RDP connections without NLA to legacy hosts.</t>
  </si>
  <si>
    <t xml:space="preserve">T1210, T1133</t>
  </si>
  <si>
    <t xml:space="preserve">CWE-416</t>
  </si>
  <si>
    <t xml:space="preserve">Windows XP, Vista, 7, Server 2003, 2008, 2008 R2 without the update of 14 May 2019</t>
  </si>
  <si>
    <t xml:space="preserve">Update of May 2019 (KB4499175 and others)</t>
  </si>
  <si>
    <t xml:space="preserve">Yes (Metasploit; unstable)</t>
  </si>
  <si>
    <t xml:space="preserve">AV-NET-17, AV-NET-21</t>
  </si>
  <si>
    <t xml:space="preserve">KEV (2021-11-03); CVSS source: ADP CISA-ADP</t>
  </si>
  <si>
    <t xml:space="preserve">https://portal.msrc.microsoft.com/en-US/security-guidance/advisory/CVE-2019-0708; https://cert-portal.siemens.com/productcert/pdf/ssa-932041.pdf; https://nvd.nist.gov/vuln/detail/CVE-2019-0708</t>
  </si>
  <si>
    <t xml:space="preserve">CVE-2020-0796</t>
  </si>
  <si>
    <t xml:space="preserve">Windows SMBv3 compression - remote code execution / LPE (SMBGhost)</t>
  </si>
  <si>
    <t xml:space="preserve">An integer overflow in SMBv3.1.1 compression (srv2.sys) allows unauthenticated RCE as SYSTEM against SMB servers and, via a malicious server, against SMB clients; also usable as local privilege escalation.</t>
  </si>
  <si>
    <t xml:space="preserve">Wormable compromise of Windows 10 1903/1909 hosts; local escalation to SYSTEM.</t>
  </si>
  <si>
    <t xml:space="preserve">Check the OS build and patch level (March 2020) and whether SMB compression is disabled (DisableCompression); only use the non-destructive version check.</t>
  </si>
  <si>
    <t xml:space="preserve">Install KB4551762 (March 2020); as a workaround, disable compression and block 445.</t>
  </si>
  <si>
    <t xml:space="preserve">IDS signatures for SMB compression headers with anomalous lengths; alert on srv2.sys crashes.</t>
  </si>
  <si>
    <t xml:space="preserve">Windows 10 1903/1909 and Windows Server version 1903/1909 (Core) without KB4551762</t>
  </si>
  <si>
    <t xml:space="preserve">KB4551762 (12 March 2020)</t>
  </si>
  <si>
    <t xml:space="preserve">Yes (public RCE and LPE PoCs)</t>
  </si>
  <si>
    <t xml:space="preserve">AV-NET-18, AV-HOST-07</t>
  </si>
  <si>
    <t xml:space="preserve">https://portal.msrc.microsoft.com/en-US/security-guidance/advisory/CVE-2020-0796; http://packetstormsecurity.com/files/156731/CoronaBlue-SMBGhost-Microsoft-Windows-10-SMB-3.1.1-Proof-Of-Concept.html; https://nvd.nist.gov/vuln/detail/CVE-2020-0796</t>
  </si>
  <si>
    <t xml:space="preserve">CVE-2025-59287</t>
  </si>
  <si>
    <t xml:space="preserve">Windows Server Update Services (WSUS) - unauthenticated deserialization RCE</t>
  </si>
  <si>
    <t xml:space="preserve">Insecure deserialization of an AuthorizationCookie in the WSUS web service lets an unauthenticated attacker execute code as SYSTEM on servers with the WSUS role (ports 8530/8531); actively exploited within days after the out-of-band update.</t>
  </si>
  <si>
    <t xml:space="preserve">Takeover of the update infrastructure and thereby potentially of all managed clients (malicious updates), plus credentials on the server.</t>
  </si>
  <si>
    <t xml:space="preserve">Identify WSUS servers (8530/8531) and check for the out-of-band update of 23 October 2025; check network exposure (internet/workstation VLANs).</t>
  </si>
  <si>
    <t xml:space="preserve">Install the out-of-band update of 23 October 2025 (or later), restrict access to 8530/8531 to clients, consider migration to Intune/WUfB.</t>
  </si>
  <si>
    <t xml:space="preserve">Alert on child processes of wsusservice.exe/w3wp (cmd/powershell) and on connections to WSUS from unknown hosts.</t>
  </si>
  <si>
    <t xml:space="preserve">T1190, T1072</t>
  </si>
  <si>
    <t xml:space="preserve">Windows Server 2012 through 2025 with WSUS role without the OOB update of 23 October 2025</t>
  </si>
  <si>
    <t xml:space="preserve">OOB update 23 October 2025 (e.g. 6.3.9600.22826 / 10.0.14393.8524)</t>
  </si>
  <si>
    <t xml:space="preserve">Yes - KEV since 2025-10-24</t>
  </si>
  <si>
    <t xml:space="preserve">Yes (public PoC; exploited in the wild)</t>
  </si>
  <si>
    <t xml:space="preserve">AV-CLD-14, AV-NET-23</t>
  </si>
  <si>
    <t xml:space="preserve">KEV (2025-10-24); CVSS source: CNA</t>
  </si>
  <si>
    <t xml:space="preserve">https://msrc.microsoft.com/update-guide/vulnerability/CVE-2025-59287; https://nvd.nist.gov/vuln/detail/CVE-2025-59287</t>
  </si>
  <si>
    <t xml:space="preserve">CVE-2026-33824</t>
  </si>
  <si>
    <t xml:space="preserve">Windows IKE Extension (IKEEXT) - pre-auth remote code execution as SYSTEM</t>
  </si>
  <si>
    <t xml:space="preserve">A double free in the Windows IKE service (UDP 500/4500, active on hosts with the IKEEXT service, including VPN/RRAS servers) lets an unauthenticated attacker execute code as SYSTEM; exploited in the wild since August 2026.</t>
  </si>
  <si>
    <t xml:space="preserve">Full compromise of hosts that accept IKE/IPsec, including perimeter VPN servers on Windows.</t>
  </si>
  <si>
    <t xml:space="preserve">Inventory hosts with UDP 500/4500 open (RRAS, Always On VPN, IPsec policy) and check the patch level (April 2026 or later).</t>
  </si>
  <si>
    <t xml:space="preserve">Install the update of April 2026; restrict UDP 500/4500 to necessary sources; disable IKEEXT on hosts without IPsec usage.</t>
  </si>
  <si>
    <t xml:space="preserve">Alert on crashes/restarts of the IKEEXT service and on anomalous IKE traffic from the internet.</t>
  </si>
  <si>
    <t xml:space="preserve">CWE-415</t>
  </si>
  <si>
    <t xml:space="preserve">Update of April 2026 (e.g. 10.0.19045.7184 / 10.0.22631.6936)</t>
  </si>
  <si>
    <t xml:space="preserve">Yes - KEV since 2026-08-18</t>
  </si>
  <si>
    <t xml:space="preserve">Exploited in the wild (KEV 2026-08-18)</t>
  </si>
  <si>
    <t xml:space="preserve">AV-EXT-05, AV-NET-17</t>
  </si>
  <si>
    <t xml:space="preserve">https://msrc.microsoft.com/update-guide/vulnerability/CVE-2026-33824; https://nvd.nist.gov/vuln/detail/CVE-2026-33824</t>
  </si>
  <si>
    <t xml:space="preserve">CVE-2013-4786</t>
  </si>
  <si>
    <t xml:space="preserve">IPMI 2.0 RAKP - remote password hash disclosure (BMC/iLO/iDRAC)</t>
  </si>
  <si>
    <t xml:space="preserve">The RAKP authentication protocol of IPMI 2.0 sends an HMAC of the user password to any client that supplies a valid username, allowing the BMC password to be cracked offline; often combined with cipher 0 (no authentication) and default accounts (ADMIN/ADMIN, root/calvin).</t>
  </si>
  <si>
    <t xml:space="preserve">Takeover of the server via the BMC (console, virtual media, power), bypassing the OS and EDR.</t>
  </si>
  <si>
    <t xml:space="preserve">Scan UDP 623, enumerate IPMI version/cipher suites and retrieve (with permission) RAKP hashes for offline strength assessment; test default credentials.</t>
  </si>
  <si>
    <t xml:space="preserve">IPMI only in an isolated OOB management network, strong unique passwords (20+ characters), cipher 0 off, firmware updates, IPMI-over-LAN off where not needed.</t>
  </si>
  <si>
    <t xml:space="preserve">Alert on IPMI traffic (UDP 623) from non-management networks.</t>
  </si>
  <si>
    <t xml:space="preserve">T1110.002, T1078.001</t>
  </si>
  <si>
    <t xml:space="preserve">CVSS:2.0/AV:N/AC:L/Au:N/C:C/I:N/A:N</t>
  </si>
  <si>
    <t xml:space="preserve">All IPMI 2.0 implementations (design flaw in the specification); mitigation depends on the vendor</t>
  </si>
  <si>
    <t xml:space="preserve">No protocol fix; compensating measures and vendor firmware</t>
  </si>
  <si>
    <t xml:space="preserve">Yes (Metasploit ipmi_dumphashes)</t>
  </si>
  <si>
    <t xml:space="preserve">AV-NET-12, AV-NET-05</t>
  </si>
  <si>
    <t xml:space="preserve">Design flaw in the IPMI 2.0 specification; CVSS source: NVD CVSSv2 (no CVSSv3 score available)</t>
  </si>
  <si>
    <t xml:space="preserve">https://community.rapid7.com/community/metasploit/blog/2013/07/02/a-penetration-testers-guide-to-ipmi; http://fish2.com/ipmi/remote-pw-cracking.html; https://nvd.nist.gov/vuln/detail/CVE-2013-4786</t>
  </si>
  <si>
    <t xml:space="preserve">CVE-2021-21972</t>
  </si>
  <si>
    <t xml:space="preserve">VMware vCenter Server - unauthenticated file upload RCE (vROps plugin)</t>
  </si>
  <si>
    <t xml:space="preserve">The vSphere Client plugin endpoint /ui/vropspluginui/rest/services/uploadova accepted uploads with path traversal without authentication, allowing a webshell or SSH key to be placed on the vCenter appliance.</t>
  </si>
  <si>
    <t xml:space="preserve">Root on vCenter and thereby control of all ESXi hosts and VMs (including DCs via VMDK access).</t>
  </si>
  <si>
    <t xml:space="preserve">Check the vCenter build (7.0 U1c / 6.7 U3l / 6.5 U3n or higher) and whether the plugin endpoint responds without authentication (GET returns 405 instead of 401 on vulnerable versions).</t>
  </si>
  <si>
    <t xml:space="preserve">Update vCenter; as a workaround disable the vROps plugin (KB82374); vCenter only reachable from the management zone.</t>
  </si>
  <si>
    <t xml:space="preserve">Alert on requests to /ui/vropspluginui/ and on new files in the vCenter webroot.</t>
  </si>
  <si>
    <t xml:space="preserve">CWE-22, CWE-434</t>
  </si>
  <si>
    <t xml:space="preserve">vCenter Server 7.0 &lt; 7.0 U1c, 6.7 &lt; 6.7 U3l, 6.5 &lt; 6.5 U3n; Cloud Foundation 4.x &lt; 4.2, 3.x &lt; 3.10.1.2</t>
  </si>
  <si>
    <t xml:space="preserve">vCenter 7.0 U1c / 6.7 U3l / 6.5 U3n (VMSA-2021-0002)</t>
  </si>
  <si>
    <t xml:space="preserve">Yes (Metasploit, public PoCs)</t>
  </si>
  <si>
    <t xml:space="preserve">https://www.vmware.com/security/advisories/VMSA-2021-0002.html; http://packetstormsecurity.com/files/161590/VMware-vCenter-Server-7.0-Arbitrary-File-Upload.html; https://nvd.nist.gov/vuln/detail/CVE-2021-21972</t>
  </si>
  <si>
    <t xml:space="preserve">CVE-2024-37085</t>
  </si>
  <si>
    <t xml:space="preserve">VMware ESXi - Active Directory group authentication bypass (ESX Admins)</t>
  </si>
  <si>
    <t xml:space="preserve">ESXi hosts joined to AD automatically grant full administrative privileges to members of a group named 'ESX Admins', even if that group was deleted after joining and recreated by a user with permissions to create groups; ransomware groups (Storm-0506, Akira, Black Basta) used this to encrypt hypervisors.</t>
  </si>
  <si>
    <t xml:space="preserve">Full control of ESXi hosts and all VMs from limited AD privileges.</t>
  </si>
  <si>
    <t xml:space="preserve">Check whether ESXi hosts are AD-joined, which group is configured as the admin group (Config.HostAgent.plugins.hostsvc.esxAdminsGroup) and who is allowed to create groups in AD; check the ESXi build.</t>
  </si>
  <si>
    <t xml:space="preserve">Update to ESXi 8.0 U3; set esxAdminsGroupAutoAdd to false and use a protected, existing group; manage ESXi via vCenter with MFA.</t>
  </si>
  <si>
    <t xml:space="preserve">Alert on creation of groups named ESX Admins (Event 4727/4731) and on new AD logons on ESXi.</t>
  </si>
  <si>
    <t xml:space="preserve">CWE-305</t>
  </si>
  <si>
    <t xml:space="preserve">CVSS:3.1/AV:N/AC:L/PR:H/UI:R/S:U/C:H/I:H/A:H</t>
  </si>
  <si>
    <t xml:space="preserve">ESXi 7.0 and 8.0 (&lt; ESXi80U3-24022510) with AD integration; Cloud Foundation 4.x/5.x</t>
  </si>
  <si>
    <t xml:space="preserve">ESXi 8.0 U3 (no fix for 7.0; workaround via advanced settings)</t>
  </si>
  <si>
    <t xml:space="preserve">Yes - KEV since 2024-07-30</t>
  </si>
  <si>
    <t xml:space="preserve">Yes (in the wild by ransomware groups; trivial)</t>
  </si>
  <si>
    <t xml:space="preserve">AV-NET-22, AV-AD-16</t>
  </si>
  <si>
    <t xml:space="preserve">KEV (2024-07-30); CVSS source: CNA</t>
  </si>
  <si>
    <t xml:space="preserve">https://support.broadcom.com/web/ecx/support-content-notification/-/external/content/SecurityAdvisories/0/24505; https://nvd.nist.gov/vuln/detail/CVE-2024-37085</t>
  </si>
  <si>
    <t xml:space="preserve">CVE-2025-22224</t>
  </si>
  <si>
    <t xml:space="preserve">VMware ESXi / Workstation - VMCI heap overflow (VM escape)</t>
  </si>
  <si>
    <t xml:space="preserve">A TOCTOU race in the VMCI driver lets an attacker with local admin privileges in a VM execute code in the VMX process on the hypervisor (VM escape); exploited as a zero-day together with CVE-2025-22225 (arbitrary write to the kernel) and CVE-2025-22226 (info leak).</t>
  </si>
  <si>
    <t xml:space="preserve">Escape from a compromised VM to the ESXi host and thereby to all VMs on that host.</t>
  </si>
  <si>
    <t xml:space="preserve">Check the ESXi/Workstation build against VMSA-2025-0004 (ESXi80U3d-24585383, ESXi80U2d-24585300, ESXi70U3s-24585291); no exploitation on production.</t>
  </si>
  <si>
    <t xml:space="preserve">Install the patches of 4 March 2025 on ESXi, Workstation and Fusion/Cloud Foundation; isolate multi-tenant VMs.</t>
  </si>
  <si>
    <t xml:space="preserve">Alert on VMX crashes and unexpected processes on the ESXi host.</t>
  </si>
  <si>
    <t xml:space="preserve">T1611, T1068</t>
  </si>
  <si>
    <t xml:space="preserve">CWE-367</t>
  </si>
  <si>
    <t xml:space="preserve">CVSS:3.1/AV:L/AC:L/PR:N/UI:N/S:C/C:H/I:H/A:H</t>
  </si>
  <si>
    <t xml:space="preserve">ESXi 7.0/8.0, Workstation 17.x &lt; 17.6.3, Fusion 13.x, Cloud Foundation 4.5.x/5.x, Telco Cloud</t>
  </si>
  <si>
    <t xml:space="preserve">VMSA-2025-0004 (4 March 2025)</t>
  </si>
  <si>
    <t xml:space="preserve">Yes - KEV since 2025-03-04</t>
  </si>
  <si>
    <t xml:space="preserve">Exploited in the wild (Microsoft Threat Intelligence); no public PoC known</t>
  </si>
  <si>
    <t xml:space="preserve">KEV (2025-03-04); CVSS source: CNA; Related CVEs without their own row: CVE-2025-22225</t>
  </si>
  <si>
    <t xml:space="preserve">https://support.broadcom.com/web/ecx/support-content-notification/-/external/content/SecurityAdvisories/0/25390; https://nvd.nist.gov/vuln/detail/CVE-2025-22224</t>
  </si>
  <si>
    <t xml:space="preserve">CVE-2026-59310</t>
  </si>
  <si>
    <t xml:space="preserve">VMware vCenter - syslog server directory traversal RCE</t>
  </si>
  <si>
    <t xml:space="preserve">A directory traversal in the syslog receiver of vCenter lets an unauthenticated attacker with network access write files outside the intended directory and thus execute code on the appliance; exploited in the wild since August 2026.</t>
  </si>
  <si>
    <t xml:space="preserve">Root on vCenter and control of the entire virtual infrastructure.</t>
  </si>
  <si>
    <t xml:space="preserve">Check the vCenter build (9.1.0.0300, 9.0.2.0100 or 8.0 U3k and higher) and whether the syslog ports (514/1514) are reachable from non-management networks.</t>
  </si>
  <si>
    <t xml:space="preserve">Update vCenter in accordance with the Broadcom advisory (38017); restrict syslog reception to known sources in the management zone.</t>
  </si>
  <si>
    <t xml:space="preserve">Alert on syslog messages with path sequences and on new files/processes on the vCenter appliance.</t>
  </si>
  <si>
    <t xml:space="preserve">CWE-22</t>
  </si>
  <si>
    <t xml:space="preserve">Directory Traversal</t>
  </si>
  <si>
    <t xml:space="preserve">vCenter 9.1.x &lt; 9.1.0.0300, 9.0.x &lt; 9.0.2.0100, 8.0 &lt; 8.0 U3k; Cloud Foundation 5.x/9.x; Telco Cloud</t>
  </si>
  <si>
    <t xml:space="preserve">vCenter 9.1.0.0300 / 9.0.2.0100 / 8.0 U3k (July-August 2026)</t>
  </si>
  <si>
    <t xml:space="preserve">AV-NET-22, CVE-2021-21972</t>
  </si>
  <si>
    <t xml:space="preserve">https://support.broadcom.com/web/ecx/support-content-notification/-/external/content/SecurityAdvisories/0/38017; https://nvd.nist.gov/vuln/detail/CVE-2026-59310</t>
  </si>
  <si>
    <t xml:space="preserve">CVE-2025-32433</t>
  </si>
  <si>
    <t xml:space="preserve">Erlang/OTP SSH - pre-authentication remote code execution</t>
  </si>
  <si>
    <t xml:space="preserve">The SSH server in Erlang/OTP processed connection protocol messages before authentication, allowing an unauthenticated attacker to execute commands with the privileges of the SSH daemon (often root); affects, among others, Cisco, Ericsson and OT products that embed OTP SSH.</t>
  </si>
  <si>
    <t xml:space="preserve">Full compromise of network and telecom equipment and of applications with an embedded Erlang SSH server.</t>
  </si>
  <si>
    <t xml:space="preserve">Fingerprint SSH banners for Erlang/OTP (e.g. 'Erlang/OTP') and check the OTP version; consult vendor advisories (Cisco) for embedded use.</t>
  </si>
  <si>
    <t xml:space="preserve">Update to OTP-27.3.3 / 26.2.5.11 / 25.3.2.20 or the vendor fix; disable the Erlang SSH server or restrict access via firewall.</t>
  </si>
  <si>
    <t xml:space="preserve">Alert on SSH sessions with channel/exec messages before completed authentication (IDS) and on unexpected processes from beam.smp.</t>
  </si>
  <si>
    <t xml:space="preserve">Erlang/OTP &lt; OTP-27.3.3, &lt; OTP-26.2.5.11, &lt; OTP-25.3.2.20 (ssh application); embedded in Cisco ConfD/NSO, among others</t>
  </si>
  <si>
    <t xml:space="preserve">OTP-27.3.3 / 26.2.5.11 / 25.3.2.20 (16 April 2025)</t>
  </si>
  <si>
    <t xml:space="preserve">Yes - KEV since 2025-06-09</t>
  </si>
  <si>
    <t xml:space="preserve">Yes (public PoCs within days)</t>
  </si>
  <si>
    <t xml:space="preserve">AV-NET-17, AV-NET-12</t>
  </si>
  <si>
    <t xml:space="preserve">KEV (2025-06-09); CVSS source: CNA</t>
  </si>
  <si>
    <t xml:space="preserve">https://github.com/erlang/otp/security/advisories/GHSA-37cp-fgq5-7wc2; https://github.com/erlang/otp/commit/0fcd9c56524b28615e8ece65fc0c3f66ef6e4c12; https://nvd.nist.gov/vuln/detail/CVE-2025-32433</t>
  </si>
  <si>
    <t xml:space="preserve">CVE-2018-0171</t>
  </si>
  <si>
    <t xml:space="preserve">Cisco IOS / IOS XE Smart Install - unauthenticated RCE / DoS</t>
  </si>
  <si>
    <t xml:space="preserve">The Smart Install client (TCP 4786) insufficiently validates packets, allowing an unauthenticated attacker to trigger a buffer overflow for DoS or code execution; still exploited in 2024-2025 by state actors (Salt Typhoon/Static Tundra) to steal configurations from unpatched switches.</t>
  </si>
  <si>
    <t xml:space="preserve">Takeover or outage of switches, configuration and credential theft (TACACS/SNMP), persistent network access.</t>
  </si>
  <si>
    <t xml:space="preserve">Scan for TCP 4786, check whether Smart Install is active (show vstack config) and whether the IOS version is patched.</t>
  </si>
  <si>
    <t xml:space="preserve">Patch IOS/IOS XE and disable Smart Install (no vstack); management traffic only from the management zone; rotate credentials if exploitation is suspected.</t>
  </si>
  <si>
    <t xml:space="preserve">Alert on connections to TCP 4786 and on unexpected configuration exports (TFTP) from switches.</t>
  </si>
  <si>
    <t xml:space="preserve">T1190, T1602.002</t>
  </si>
  <si>
    <t xml:space="preserve">CVSS:3.1/AV:N/AC:L/PR:N/UI:N/S:U/C:N/I:N/A:H</t>
  </si>
  <si>
    <t xml:space="preserve">Cisco IOS and IOS XE with Smart Install client enabled (default on many Catalyst switches) without the March 2018 fix</t>
  </si>
  <si>
    <t xml:space="preserve">Cisco advisory cisco-sa-20180328-smi2; no vstack</t>
  </si>
  <si>
    <t xml:space="preserve">Yes (public PoCs; Metasploit module for config dump)</t>
  </si>
  <si>
    <t xml:space="preserve">AV-NET-12, AV-NET-21</t>
  </si>
  <si>
    <t xml:space="preserve">KEV (2021-11-03); CISA advisory 2025 on Static Tundra; CVSS source: ADP CISA-ADP</t>
  </si>
  <si>
    <t xml:space="preserve">https://ics-cert.us-cert.gov/advisories/ICSA-18-107-04; http://www.securitytracker.com/id/1040580; https://nvd.nist.gov/vuln/detail/CVE-2018-0171</t>
  </si>
  <si>
    <t xml:space="preserve">CVE-2025-20352</t>
  </si>
  <si>
    <t xml:space="preserve">Cisco IOS / IOS XE SNMP - stack overflow (DoS / RCE as root)</t>
  </si>
  <si>
    <t xml:space="preserve">A stack overflow in the SNMP subsystem of IOS/IOS XE lets an attacker with a (read-only) community string or SNMPv3 credentials reboot the device; with privilege 15 credentials, code execution as root is possible. Exploited as a zero-day after theft of local admin credentials.</t>
  </si>
  <si>
    <t xml:space="preserve">Outage of network equipment with only a community string; rootkit installation (Operation Zero Disco) when administrators are compromised.</t>
  </si>
  <si>
    <t xml:space="preserve">Inventory SNMP exposure and community strings (public/private) on Cisco equipment and check the IOS/IOS XE version against the Cisco advisory of September 2025.</t>
  </si>
  <si>
    <t xml:space="preserve">Patch in accordance with cisco-sa-snmp-x4LPhte; restrict SNMP to management sources with views/ACLs, use SNMPv3 with authPriv, remove default community strings.</t>
  </si>
  <si>
    <t xml:space="preserve">Alert on unexpected reboots of network equipment and on SNMP traffic from unknown sources.</t>
  </si>
  <si>
    <t xml:space="preserve">T1190, T1499</t>
  </si>
  <si>
    <t xml:space="preserve">CWE-121</t>
  </si>
  <si>
    <t xml:space="preserve">CVSS:3.1/AV:N/AC:L/PR:L/UI:N/S:C/C:N/I:N/A:H</t>
  </si>
  <si>
    <t xml:space="preserve">All IOS/IOS XE versions with SNMP enabled before the September 2025 fix (also Meraki MS390 / Catalyst 9300 with Meraki OS)</t>
  </si>
  <si>
    <t xml:space="preserve">Fixed releases according to Cisco Software Checker (advisory September 2025)</t>
  </si>
  <si>
    <t xml:space="preserve">Yes - KEV since 2025-09-29</t>
  </si>
  <si>
    <t xml:space="preserve">Exploited in the wild (KEV 2025-09-29)</t>
  </si>
  <si>
    <t xml:space="preserve">AV-NET-09, AV-NET-12</t>
  </si>
  <si>
    <t xml:space="preserve">https://sec.cloudapps.cisco.com/security/center/content/CiscoSecurityAdvisory/cisco-sa-snmp-x4LPhte; https://nvd.nist.gov/vuln/detail/CVE-2025-20352</t>
  </si>
  <si>
    <t xml:space="preserve">CVE-2026-76460</t>
  </si>
  <si>
    <t xml:space="preserve">Cisco Identity Services Engine (ISE) - unauthenticated API authentication bypass (also CVE-2025-20281/20337 RCE)</t>
  </si>
  <si>
    <t xml:space="preserve">An API endpoint of Cisco ISE insufficiently checks authentication, allowing a remote unauthenticated attacker to obtain administrator access to the ISE web interface; in 2025, similar API flaws (CVE-2025-20281/20337) already allowed unauthenticated root RCE.</t>
  </si>
  <si>
    <t xml:space="preserve">Takeover of the NAC/RADIUS infrastructure: disabling network access control, extracting AD/RADIUS credentials and certificates, lateral movement.</t>
  </si>
  <si>
    <t xml:space="preserve">Check the ISE version and patch level against the Cisco advisory of September 2026 and whether the admin API/GUI is reachable outside the management zone.</t>
  </si>
  <si>
    <t xml:space="preserve">Install the Cisco patches (September 2026 and July 2025 respectively); restrict the ISE management interface to the management zone; rotate credentials in case of compromise.</t>
  </si>
  <si>
    <t xml:space="preserve">Alert on new admin sessions/API calls without a preceding login and on configuration changes outside change windows.</t>
  </si>
  <si>
    <t xml:space="preserve">A03:2025, A07:2025</t>
  </si>
  <si>
    <t xml:space="preserve">T1190, T1078</t>
  </si>
  <si>
    <t xml:space="preserve">CWE-648</t>
  </si>
  <si>
    <t xml:space="preserve">Cisco ISE 3.1 (p8-p10), 3.2 (p7), 3.3 (p1-p6), 3.4 (incl. p1); ISE-PIC 3.4/3.5</t>
  </si>
  <si>
    <t xml:space="preserve">Cisco advisory cisco-sa-ISE-ABP-VNSW7Tn5 (September 2026)</t>
  </si>
  <si>
    <t xml:space="preserve">Yes - KEV since 2026-09-16</t>
  </si>
  <si>
    <t xml:space="preserve">Exploited in the wild (KEV 2026-09-16)</t>
  </si>
  <si>
    <t xml:space="preserve">KEV; CVSS source: CNA; Related CVEs without their own row: CVE-2025-20281, CVE-2025-20337</t>
  </si>
  <si>
    <t xml:space="preserve">https://sec.cloudapps.cisco.com/security/center/content/CiscoSecurityAdvisory/cisco-sa-ISE-ABP-VNSW7Tn5; https://nvd.nist.gov/vuln/detail/CVE-2026-76460</t>
  </si>
  <si>
    <t xml:space="preserve">CVE-2024-40711</t>
  </si>
  <si>
    <t xml:space="preserve">Veeam Backup &amp; Replication - unauthenticated deserialization RCE</t>
  </si>
  <si>
    <t xml:space="preserve">Insecure deserialization in the Veeam Backup &amp; Replication service (TCP 9401 and others) lets an unauthenticated attacker execute code on the backup server; used within weeks by ransomware groups (Akira, Fog, Frag) to delete backups and steal credentials.</t>
  </si>
  <si>
    <t xml:space="preserve">Deletion/encryption of backups, theft of stored credentials (often domain admin) and full compromise of the backup infrastructure.</t>
  </si>
  <si>
    <t xml:space="preserve">Check the VBR version (12.2.0.334 or higher) and whether the Veeam services are reachable from workstation VLANs; no exploitation on production.</t>
  </si>
  <si>
    <t xml:space="preserve">Update to Veeam Backup &amp; Replication 12.2.0.334 (September 2024) or higher; isolate the backup server, immutable backups, MFA on the console.</t>
  </si>
  <si>
    <t xml:space="preserve">Alert on child processes of Veeam.Backup.Service.exe and on deletion of backup repositories/jobs.</t>
  </si>
  <si>
    <t xml:space="preserve">T1190, T1490</t>
  </si>
  <si>
    <t xml:space="preserve">CVSS:3.0/AV:N/AC:L/PR:N/UI:N/S:U/C:H/I:H/A:H</t>
  </si>
  <si>
    <t xml:space="preserve">Veeam Backup &amp; Replication 12.1.2.172 and earlier (12.x)</t>
  </si>
  <si>
    <t xml:space="preserve">12.2.0.334 (4 September 2024)</t>
  </si>
  <si>
    <t xml:space="preserve">Yes - KEV since 2024-10-17</t>
  </si>
  <si>
    <t xml:space="preserve">Yes (public PoC; in the wild by ransomware)</t>
  </si>
  <si>
    <t xml:space="preserve">KEV (2024-10-17); CVSS source: CNA</t>
  </si>
  <si>
    <t xml:space="preserve">https://www.veeam.com/kb4649; https://nvd.nist.gov/vuln/detail/CVE-2024-40711</t>
  </si>
  <si>
    <t xml:space="preserve">CVE-2023-27350</t>
  </si>
  <si>
    <t xml:space="preserve">PaperCut NG/MF - authentication bypass to RCE as SYSTEM (also CVE-2026-82078)</t>
  </si>
  <si>
    <t xml:space="preserve">Via the SetupCompleted page, the authentication of the PaperCut management interface (9191/9192) could be bypassed; with admin access, an attacker executes commands as SYSTEM via scripting/print scripts. In 2026, new PaperCut vulnerabilities followed (CVE-2026-81578 auth bypass, CVE-2026-82078 class loading RCE) that were likewise exploited in the wild.</t>
  </si>
  <si>
    <t xml:space="preserve">Takeover of the print server (often domain-joined with service accounts), initial access for ransomware (Bl00dy, Clop).</t>
  </si>
  <si>
    <t xml:space="preserve">Check the PaperCut version (20.1.7 / 21.2.11 / 22.0.9 or higher; for the 2026 CVEs 24.1.10 / 25.0.13 / 26.0.5) and whether the management interface is reachable from workstations or the internet.</t>
  </si>
  <si>
    <t xml:space="preserve">Update PaperCut; restrict access to the management interface to administrators; run the service under a least-privilege account.</t>
  </si>
  <si>
    <t xml:space="preserve">Alert on child processes of pc-app.exe (cmd/powershell) and on logins to the PaperCut console from unknown addresses.</t>
  </si>
  <si>
    <t xml:space="preserve">PaperCut NG/MF 8.0 through 22.0.8 (CVE-2023-27350); PaperCut MF/NG &lt; 24.1.10, 25.0.0-25.0.12, 26.0.0-26.0.4 (CVE-2026-82078)</t>
  </si>
  <si>
    <t xml:space="preserve">20.1.7 / 21.2.11 / 22.0.9 (March 2023); 24.1.10 / 25.0.13 / 26.0.5 (August 2026)</t>
  </si>
  <si>
    <t xml:space="preserve">Yes - KEV since 2023-04-21</t>
  </si>
  <si>
    <t xml:space="preserve">KEV (2023-04-21; 2026-08-28); CVSS source: CNA; Related CVEs without their own row: CVE-2026-82078</t>
  </si>
  <si>
    <t xml:space="preserve">https://www.zerodayinitiative.com/advisories/ZDI-23-233/; https://www.papercut.com/kb/Main/PO-1216-and-PO-1219; https://nvd.nist.gov/vuln/detail/CVE-2023-27350</t>
  </si>
  <si>
    <t xml:space="preserve">CVE-2025-14847</t>
  </si>
  <si>
    <t xml:space="preserve">MongoDB Server - unauthenticated heap memory disclosure via zlib header (MongoBleed)</t>
  </si>
  <si>
    <t xml:space="preserve">Inconsistent length fields in zlib-compressed protocol headers let an unauthenticated client read uninitialized heap memory of the MongoDB server, which can contain credentials, queries and documents; all versions since 3.6 affected, actively exploited.</t>
  </si>
  <si>
    <t xml:space="preserve">Leakage of sensitive data and authentication material from the memory of database servers without credentials.</t>
  </si>
  <si>
    <t xml:space="preserve">Inventory MongoDB instances (27017) and versions; check whether compression (zlib) is enabled and whether the server is reachable from non-application hosts.</t>
  </si>
  <si>
    <t xml:space="preserve">Update to 8.2.3 / 8.0.17 / 7.0.28 / 6.0.27 / 5.0.32 / 4.4.30; disable zlib compression as a workaround; restrict network access to application servers.</t>
  </si>
  <si>
    <t xml:space="preserve">Alert on connections to MongoDB from unknown hosts and on anomalous compression headers (IDS).</t>
  </si>
  <si>
    <t xml:space="preserve">T1190, T1005</t>
  </si>
  <si>
    <t xml:space="preserve">CWE-130</t>
  </si>
  <si>
    <t xml:space="preserve">MongoDB Server 3.6 through 8.2.2 (all versions with zlib compression)</t>
  </si>
  <si>
    <t xml:space="preserve">8.2.3 / 8.0.17 / 7.0.28 / 6.0.27 / 5.0.32 / 4.4.30 (December 2025)</t>
  </si>
  <si>
    <t xml:space="preserve">Yes - KEV since 2025-12-29</t>
  </si>
  <si>
    <t xml:space="preserve">Yes (public PoCs; exploited in the wild)</t>
  </si>
  <si>
    <t xml:space="preserve">KEV (2025-12-29); CVSS source: CNA</t>
  </si>
  <si>
    <t xml:space="preserve">https://jira.mongodb.org/browse/SERVER-115508; https://nvd.nist.gov/vuln/detail/CVE-2025-14847</t>
  </si>
  <si>
    <t xml:space="preserve">CVE-2025-49844</t>
  </si>
  <si>
    <t xml:space="preserve">Redis Lua - use-after-free remote code execution (RediShell)</t>
  </si>
  <si>
    <t xml:space="preserve">A 13-year-old use-after-free in the Lua interpreter of Redis lets an authenticated client (or anyone on a Redis without a password, the default) escape the sandbox via a script and execute native code on the host.</t>
  </si>
  <si>
    <t xml:space="preserve">RCE on cache/database servers; theft of sessions, credentials and pivoting within the environment. Hundreds of thousands of Redis instances were exposed to the internet without authentication.</t>
  </si>
  <si>
    <t xml:space="preserve">Inventory Redis instances (6379), check version (&lt; 8.2.2 vulnerable), authentication (requirepass/ACL) and whether EVAL/EVALSHA is allowed for clients.</t>
  </si>
  <si>
    <t xml:space="preserve">Update to Redis 8.2.2 (or 7.4.6 / 7.2.11 / 6.2.20); restrict EVAL/EVALSHA/FUNCTION via ACLs; authentication and network isolation mandatory.</t>
  </si>
  <si>
    <t xml:space="preserve">Alert on EVAL commands from unexpected clients and on child processes of redis-server.</t>
  </si>
  <si>
    <t xml:space="preserve">CVSS:3.1/AV:N/AC:L/PR:L/UI:N/S:C/C:H/I:H/A:H</t>
  </si>
  <si>
    <t xml:space="preserve">All Redis versions with Lua scripting through 8.2.1</t>
  </si>
  <si>
    <t xml:space="preserve">Redis 8.2.2 / 7.4.6 / 7.2.11 / 6.2.20 (3 October 2025)</t>
  </si>
  <si>
    <t xml:space="preserve">Yes (details public; exploitation requires Lua access)</t>
  </si>
  <si>
    <t xml:space="preserve">Wiz Research; CVSS source: CNA</t>
  </si>
  <si>
    <t xml:space="preserve">https://github.com/redis/redis/security/advisories/GHSA-4789-qfc9-5f9q; https://github.com/redis/redis/commit/d5728cb5795c966c5b5b1e0f0ac576a7e69af539; https://nvd.nist.gov/vuln/detail/CVE-2025-49844</t>
  </si>
  <si>
    <t xml:space="preserve">CVE-2024-6387</t>
  </si>
  <si>
    <t xml:space="preserve">OpenSSH server - signal handler race condition RCE (regreSSHion)</t>
  </si>
  <si>
    <t xml:space="preserve">A regression of CVE-2006-5051 in sshd (glibc Linux) lets an unauthenticated attacker execute code as root via a race in the SIGALRM handler; exploitation requires many attempts (hours) and is difficult in practice on 64-bit systems, but scanners report it widely.</t>
  </si>
  <si>
    <t xml:space="preserve">Theoretical root RCE on internet-exposed SSH servers; in practice mainly DoS due to the many connections.</t>
  </si>
  <si>
    <t xml:space="preserve">Fingerprint the OpenSSH version (8.5p1 through 9.7p1 vulnerable; check distro backports) and LoginGraceTime; exploitation is not realistic within a pentest.</t>
  </si>
  <si>
    <t xml:space="preserve">Update to OpenSSH 9.8p1 or the distro patch; as a workaround LoginGraceTime 0 (with DoS risk) and do not expose SSH directly to the internet.</t>
  </si>
  <si>
    <t xml:space="preserve">Alert on large numbers of incomplete SSH connections from a single source.</t>
  </si>
  <si>
    <t xml:space="preserve">CWE-364</t>
  </si>
  <si>
    <t xml:space="preserve">CVSS:3.1/AV:N/AC:H/PR:N/UI:N/S:U/C:H/I:H/A:H</t>
  </si>
  <si>
    <t xml:space="preserve">OpenSSH 8.5p1 through 9.7p1 on glibc-based Linux (and &lt; 4.4p1); OpenBSD not vulnerable</t>
  </si>
  <si>
    <t xml:space="preserve">OpenSSH 9.8p1 (1 July 2024) or distro backport</t>
  </si>
  <si>
    <t xml:space="preserve">Yes (PoCs; unreliable)</t>
  </si>
  <si>
    <t xml:space="preserve">Qualys TRU; not in KEV; CVSS source: CNA</t>
  </si>
  <si>
    <t xml:space="preserve">https://access.redhat.com/errata/RHSA-2024:4312; https://access.redhat.com/errata/RHSA-2024:4340; https://nvd.nist.gov/vuln/detail/CVE-2024-6387</t>
  </si>
  <si>
    <t xml:space="preserve">CVE-2014-0160</t>
  </si>
  <si>
    <t xml:space="preserve">OpenSSL TLS heartbeat - memory disclosure (Heartbleed)</t>
  </si>
  <si>
    <t xml:space="preserve">A buffer over-read in the TLS/DTLS heartbeat extension of OpenSSL 1.0.1-1.0.1f lets an unauthenticated client read up to 64 KB of server memory per request, including private keys, session cookies and passwords; still present on old appliances, IoT and embedded systems.</t>
  </si>
  <si>
    <t xml:space="preserve">Theft of private keys and credentials; decryption and impersonation of the service.</t>
  </si>
  <si>
    <t xml:space="preserve">Scan TLS services with a heartbleed check (nmap ssl-heartbleed / testssl.sh) and identify the OpenSSL version of appliances.</t>
  </si>
  <si>
    <t xml:space="preserve">Update OpenSSL (1.0.1g+ / 1.0.2+), replace certificates and rotate credentials after patching, replace EOL equipment.</t>
  </si>
  <si>
    <t xml:space="preserve">IDS signatures for heartbeat requests with anomalous length.</t>
  </si>
  <si>
    <t xml:space="preserve">A03:2025, A04:2025</t>
  </si>
  <si>
    <t xml:space="preserve">T1040, T1552</t>
  </si>
  <si>
    <t xml:space="preserve">CWE-125</t>
  </si>
  <si>
    <t xml:space="preserve">OpenSSL 1.0.1 through 1.0.1f and 1.0.2-beta (2012-2014) and products that embed these</t>
  </si>
  <si>
    <t xml:space="preserve">OpenSSL 1.0.1g (7 April 2014)</t>
  </si>
  <si>
    <t xml:space="preserve">Yes - KEV since 2022-05-04</t>
  </si>
  <si>
    <t xml:space="preserve">Yes (Metasploit, public scanners)</t>
  </si>
  <si>
    <t xml:space="preserve">AV-WEB-20, AV-NET-21</t>
  </si>
  <si>
    <t xml:space="preserve">KEV (2022-05-04); CVSS source: ADP CISA-ADP</t>
  </si>
  <si>
    <t xml:space="preserve">https://support.f5.com/kb/en-us/solutions/public/15000/100/sol15159.html?sr=36517217; http://www.securitytracker.com/id/1030077; https://nvd.nist.gov/vuln/detail/CVE-2014-0160</t>
  </si>
  <si>
    <t xml:space="preserve">CVE-2014-6271</t>
  </si>
  <si>
    <t xml:space="preserve">GNU Bash - environment variable code injection (Shellshock)</t>
  </si>
  <si>
    <t xml:space="preserve">Bash executed code that followed a function definition in an environment variable; via CGI scripts, DHCP clients, SSH ForceCommand and other paths where input ends up in environment variables, this leads to unauthenticated RCE. Still present on old appliances and embedded Linux.</t>
  </si>
  <si>
    <t xml:space="preserve">Code execution as the web server/service user; in practice often root on appliances.</t>
  </si>
  <si>
    <t xml:space="preserve">Look for CGI endpoints and devices with old Bash; test with a harmless payload in User-Agent/Referer (e.g. echo of a marker) within scope.</t>
  </si>
  <si>
    <t xml:space="preserve">Update Bash (incl. CVE-2014-7169 follow-up fix), replace EOL equipment, avoid CGI.</t>
  </si>
  <si>
    <t xml:space="preserve">IDS/WAF signatures for '() { :;};' in headers.</t>
  </si>
  <si>
    <t xml:space="preserve">A03:2025, A05:2025</t>
  </si>
  <si>
    <t xml:space="preserve">T1190, T1059.004</t>
  </si>
  <si>
    <t xml:space="preserve">GNU Bash through 4.3 (patches before September 2014) and products that embed it</t>
  </si>
  <si>
    <t xml:space="preserve">Bash patches of 24-27 September 2014 (also CVE-2014-7169)</t>
  </si>
  <si>
    <t xml:space="preserve">Yes - KEV since 2022-01-28</t>
  </si>
  <si>
    <t xml:space="preserve">Yes (Metasploit, trivial)</t>
  </si>
  <si>
    <t xml:space="preserve">AV-WEB-04, AV-NET-21</t>
  </si>
  <si>
    <t xml:space="preserve">KEV (2022-01-28); CVSS source: ADP CISA-ADP</t>
  </si>
  <si>
    <t xml:space="preserve">https://www.exploit-db.com/exploits/37816/; http://packetstormsecurity.com/files/128517/VMware-Security-Advisory-2014-0010.html; https://nvd.nist.gov/vuln/detail/CVE-2014-6271</t>
  </si>
  <si>
    <t xml:space="preserve">CVE-2026-20253</t>
  </si>
  <si>
    <t xml:space="preserve">Splunk Enterprise - unauthenticated arbitrary file creation via PostgreSQL sidecar (RCE)</t>
  </si>
  <si>
    <t xml:space="preserve">A PostgreSQL sidecar service endpoint in Splunk Enterprise 10.x lacks authentication, allowing any network user to create or truncate arbitrary files, which leads to code execution on the Splunk server; exploited since June 2026.</t>
  </si>
  <si>
    <t xml:space="preserve">Compromise of the SIEM: manipulation/deletion of logs, access to all collected data and credentials, blind spot for detection.</t>
  </si>
  <si>
    <t xml:space="preserve">Check the Splunk Enterprise version (10.2.4 / 10.0.7 or higher) and whether the sidecar port is reachable from non-management networks; versions 9.4 and older are not affected.</t>
  </si>
  <si>
    <t xml:space="preserve">Update to 10.2.4 / 10.0.7; disable the PostgreSQL sidecar if an immediate upgrade is not possible; restrict network access to Splunk management ports.</t>
  </si>
  <si>
    <t xml:space="preserve">Alert on unexpected file changes in the Splunk installation and on new processes from splunkd.</t>
  </si>
  <si>
    <t xml:space="preserve">T1190, T1562.001</t>
  </si>
  <si>
    <t xml:space="preserve">Splunk Enterprise 10.2 &lt; 10.2.4 and 10.0 &lt; 10.0.7</t>
  </si>
  <si>
    <t xml:space="preserve">10.2.4 / 10.0.7 (SVD-2026-0603, June 2026)</t>
  </si>
  <si>
    <t xml:space="preserve">Yes - KEV since 2026-06-18</t>
  </si>
  <si>
    <t xml:space="preserve">Exploited in the wild (KEV 2026-06-18)</t>
  </si>
  <si>
    <t xml:space="preserve">AV-WEB-50, AV-NET-15</t>
  </si>
  <si>
    <t xml:space="preserve">https://advisory.splunk.com/advisories/SVD-2026-0603; https://nvd.nist.gov/vuln/detail/CVE-2026-20253</t>
  </si>
  <si>
    <t xml:space="preserve">CVE-2026-34910</t>
  </si>
  <si>
    <t xml:space="preserve">Ubiquiti UniFi OS - unauthenticated command injection (with CVE-2026-34908/34909)</t>
  </si>
  <si>
    <t xml:space="preserve">Three vulnerabilities in UniFi OS (improper access control, path traversal with leakage of signing keys, and command injection in the package update endpoint) allow an attacker with network access to the UniFi console (Dream Machine, UniFi OS Server) to obtain root privileges; added to KEV in June 2026.</t>
  </si>
  <si>
    <t xml:space="preserve">Takeover of the network controller/gateway: modification of firewall/VLAN configuration, interception of traffic, access to the entire network.</t>
  </si>
  <si>
    <t xml:space="preserve">Inventory UniFi consoles and check the UniFi OS version (UDM/UDM-Pro/SE/Pro-Max &gt;= 5.1.12, UDM-Beast &gt;= 5.1.11, UniFi OS Server &gt;= 5.0.8) and whether the management interface is reachable from user/guest networks.</t>
  </si>
  <si>
    <t xml:space="preserve">Update UniFi OS, restrict access to the console to a management VLAN, disable remote access via the cloud where not needed, MFA on Ubiquiti accounts.</t>
  </si>
  <si>
    <t xml:space="preserve">Alert on logins and configuration changes on the UniFi console outside maintenance windows.</t>
  </si>
  <si>
    <t xml:space="preserve">CWE-20, CWE-78</t>
  </si>
  <si>
    <t xml:space="preserve">UniFi OS Server &lt; 5.0.8; UDM/UDM-Pro/UDM-SE/UDM-Pro-Max &lt; 5.1.12; UDM-Beast &lt; 5.1.11</t>
  </si>
  <si>
    <t xml:space="preserve">UniFi OS 5.1.12 / 5.1.11 / UniFi OS Server 5.0.8 (Security Advisory Bulletin 064, May 2026)</t>
  </si>
  <si>
    <t xml:space="preserve">Yes - KEV since 2026-06-23</t>
  </si>
  <si>
    <t xml:space="preserve">Exploited in the wild (KEV 2026-06-23)</t>
  </si>
  <si>
    <t xml:space="preserve">AV-NET-12, AV-NET-15</t>
  </si>
  <si>
    <t xml:space="preserve">KEV; CVSS source: CNA; Related CVEs without their own row: CVE-2026-34908</t>
  </si>
  <si>
    <t xml:space="preserve">https://community.ui.com/releases/Security-Advisory-Bulletin-064-064/84811c09-4cf4-42ab-bd61-cc994445963b; https://nvd.nist.gov/vuln/detail/CVE-2026-34910</t>
  </si>
  <si>
    <t xml:space="preserve">CVE-2026-86060</t>
  </si>
  <si>
    <t xml:space="preserve">MikroTik RouterOS - SSH argument injection privilege escalation (pre-auth)</t>
  </si>
  <si>
    <t xml:space="preserve">A flaw in the handling of usernames in the SSH login path of RouterOS allows an unauthenticated attacker who reaches the login helper to manipulate the session's policy mask and thus obtain elevated privileges on the router; actively exploited (CERT Polska, September 2026).</t>
  </si>
  <si>
    <t xml:space="preserve">Takeover of routers/firewalls: traffic redirection, DNS manipulation, VPN access and use in botnets.</t>
  </si>
  <si>
    <t xml:space="preserve">Inventory RouterOS devices and versions (6.49.21 LTS, 7.23.4 LTS, 7.24.2 stable or higher) and whether SSH (22) is reachable from the internet or user networks.</t>
  </si>
  <si>
    <t xml:space="preserve">Update RouterOS; restrict SSH/Winbox/WWW to management addresses via firewall and IP services; strong passwords and no default admin.</t>
  </si>
  <si>
    <t xml:space="preserve">Alert on SSH logins with unusual usernames and on configuration changes on routers.</t>
  </si>
  <si>
    <t xml:space="preserve">CWE-88</t>
  </si>
  <si>
    <t xml:space="preserve">CVSS:4.0/AV:N/AC:L/AT:P/PR:N/UI:N/VC:H/VI:H/VA:H/SC:N/SI:N/SA:N</t>
  </si>
  <si>
    <t xml:space="preserve">RouterOS 6.x &lt; 6.49.21, 7.x &lt; 7.23.4 (LTS) and 7.24 &lt; 7.24.2 (stable)</t>
  </si>
  <si>
    <t xml:space="preserve">RouterOS 6.49.21 / 7.23.4 / 7.24.2 (September 2026)</t>
  </si>
  <si>
    <t xml:space="preserve">Yes - KEV since 2026-09-10</t>
  </si>
  <si>
    <t xml:space="preserve">Exploited in the wild (KEV 2026-09-10)</t>
  </si>
  <si>
    <t xml:space="preserve">AV-NET-12, AV-EXT-02</t>
  </si>
  <si>
    <t xml:space="preserve">KEV; CVE-2026-67277/67279 related RouterOS vulnerabilities; CVSS source: CNA</t>
  </si>
  <si>
    <t xml:space="preserve">https://cert.pl/en/posts/2026/09/mikrotik-routeros-cve; https://cert.pl/en/posts/2026/09/vulnerabilities-in-mikrotik-routeros-actively-exploited/; https://nvd.nist.gov/vuln/detail/CVE-2026-86060</t>
  </si>
  <si>
    <t xml:space="preserve">CVE-2018-13379</t>
  </si>
  <si>
    <t xml:space="preserve">Fortinet FortiOS SSL-VPN - path traversal credential disclosure</t>
  </si>
  <si>
    <t xml:space="preserve">Via /remote/fgt_lang?lang=/../../../..//////////dev/cmdb/sslvpn_websession an unauthenticated attacker can download the session file of the SSL-VPN portal with usernames and passwords in cleartext; mass exploited for years and still present on appliances that have not been updated.</t>
  </si>
  <si>
    <t xml:space="preserve">Valid VPN credentials and thereby direct access to the internal network.</t>
  </si>
  <si>
    <t xml:space="preserve">Fingerprint the FortiOS version and test the traversal path with a non-destructive GET (within the RoE); check whether leaked credentials have since been rotated.</t>
  </si>
  <si>
    <t xml:space="preserve">Update FortiOS (5.4.13 / 5.6.8 / 6.0.5 / 6.2.0+), rotate all VPN credentials, MFA on VPN, monitor for exploitation.</t>
  </si>
  <si>
    <t xml:space="preserve">Alert on requests to /remote/fgt_lang with traversal sequences.</t>
  </si>
  <si>
    <t xml:space="preserve">A03:2025, A01:2025</t>
  </si>
  <si>
    <t xml:space="preserve">T1190, T1133, T1078</t>
  </si>
  <si>
    <t xml:space="preserve">CVSS:3.1/AV:N/AC:L/PR:N/UI:N/S:U/C:H/I:N/A:H</t>
  </si>
  <si>
    <t xml:space="preserve">FortiOS 6.0.0-6.0.4, 5.6.3-5.6.7, 5.4.6-5.4.12; FortiProxy 2.0.0, 1.2.0-1.2.8, 1.1.0-1.1.6, 1.0.0-1.0.7</t>
  </si>
  <si>
    <t xml:space="preserve">FortiOS 5.4.13 / 5.6.8 / 6.0.5 / 6.2.0; FortiProxy 1.2.9 / 2.0.1</t>
  </si>
  <si>
    <t xml:space="preserve">Yes (public PoCs, Metasploit)</t>
  </si>
  <si>
    <t xml:space="preserve">KEV (2021-11-03); CVSS source: CNA</t>
  </si>
  <si>
    <t xml:space="preserve">https://fortiguard.com/advisory/FG-IR-18-384; https://www.fortiguard.com/psirt/FG-IR-20-233; https://nvd.nist.gov/vuln/detail/CVE-2018-13379</t>
  </si>
  <si>
    <t xml:space="preserve">CVE-2022-40684</t>
  </si>
  <si>
    <t xml:space="preserve">Fortinet FortiOS / FortiProxy / FortiSwitchManager - authentication bypass on administrative interface</t>
  </si>
  <si>
    <t xml:space="preserve">By sending the headers Forwarded: for=127.0.0.1 and User-Agent: Report Runner, the management API treats requests as originating from the local Node.js component, allowing an unauthenticated attacker to perform admin actions (e.g. adding an SSH key).</t>
  </si>
  <si>
    <t xml:space="preserve">Full takeover of the firewall/proxy via the (internet-exposed) management interface.</t>
  </si>
  <si>
    <t xml:space="preserve">Fingerprint the version and check whether the management interface is reachable from the internet; only perform a read action via the API as PoC (RoE).</t>
  </si>
  <si>
    <t xml:space="preserve">Update to FortiOS 7.0.7 / 7.2.2 (or higher), FortiProxy 7.0.7 / 7.2.1, FortiSwitchManager 7.0.1 / 7.2.1; management interface not exposed to the internet; audit of admin accounts and SSH keys.</t>
  </si>
  <si>
    <t xml:space="preserve">Alert on API requests with User-Agent 'Report Runner' and on unexpected admin changes (new users, keys).</t>
  </si>
  <si>
    <t xml:space="preserve">CWE-288</t>
  </si>
  <si>
    <t xml:space="preserve">FortiOS 7.0.0-7.0.6 and 7.2.0-7.2.1; FortiProxy 7.0.0-7.0.6 and 7.2.0; FortiSwitchManager 7.0.0 and 7.2.0</t>
  </si>
  <si>
    <t xml:space="preserve">FortiOS 7.0.7 / 7.2.2; FortiProxy 7.0.7 / 7.2.1; FortiSwitchManager 7.0.1 / 7.2.1 (October 2022)</t>
  </si>
  <si>
    <t xml:space="preserve">Yes - KEV since 2022-10-11</t>
  </si>
  <si>
    <t xml:space="preserve">AV-EXT-02, AV-EXT-05</t>
  </si>
  <si>
    <t xml:space="preserve">KEV (2022-10-11); CVSS source: CNA</t>
  </si>
  <si>
    <t xml:space="preserve">https://fortiguard.com/psirt/FG-IR-22-377; http://packetstormsecurity.com/files/169431/Fortinet-FortiOS-FortiProxy-FortiSwitchManager-Authentication-Bypass.html; https://nvd.nist.gov/vuln/detail/CVE-2022-40684</t>
  </si>
  <si>
    <t xml:space="preserve">CVE-2024-55591</t>
  </si>
  <si>
    <t xml:space="preserve">Fortinet FortiOS / FortiProxy - authentication bypass via Node.js websocket (super-admin)</t>
  </si>
  <si>
    <t xml:space="preserve">Crafted requests to the Node.js websocket module of the management interface give an unauthenticated attacker super-admin privileges; exploited as a zero-day (Arctic Wolf, December 2024) to create admin accounts and SSL-VPN access.</t>
  </si>
  <si>
    <t xml:space="preserve">Full takeover of the firewall and persistent VPN access to the internal network.</t>
  </si>
  <si>
    <t xml:space="preserve">Check the FortiOS version (7.0.17+ not vulnerable) and whether HTTP(S) management is open on a WAN interface; look for unknown admin accounts and SSL-VPN users in the configuration.</t>
  </si>
  <si>
    <t xml:space="preserve">Update to FortiOS 7.0.17 / FortiProxy 7.0.20 / 7.2.13 or higher; disable the management interface on WAN; audit of admins, local users and firewall policies.</t>
  </si>
  <si>
    <t xml:space="preserve">Alert on 'login from jsconsole' with unfamiliar source IPs and on creation of admin/VPN accounts in the logs.</t>
  </si>
  <si>
    <t xml:space="preserve">T1190, T1136, T1133</t>
  </si>
  <si>
    <t xml:space="preserve">FortiOS 7.0.0-7.0.16; FortiProxy 7.0.0-7.0.19 and 7.2.0-7.2.12</t>
  </si>
  <si>
    <t xml:space="preserve">FortiOS 7.0.17; FortiProxy 7.0.20 / 7.2.13 (January 2025)</t>
  </si>
  <si>
    <t xml:space="preserve">Yes - KEV since 2025-01-14</t>
  </si>
  <si>
    <t xml:space="preserve">Yes (public PoC; in the wild)</t>
  </si>
  <si>
    <t xml:space="preserve">CVE-2022-40684, AV-EXT-05</t>
  </si>
  <si>
    <t xml:space="preserve">KEV (2025-01-14); see also CVE-2025-24472; CVSS source: CNA; Related CVEs without their own row: CVE-2024-21762</t>
  </si>
  <si>
    <t xml:space="preserve">https://fortiguard.fortinet.com/psirt/FG-IR-24-535; https://nvd.nist.gov/vuln/detail/CVE-2024-55591</t>
  </si>
  <si>
    <t xml:space="preserve">CVE-2024-47575</t>
  </si>
  <si>
    <t xml:space="preserve">Fortinet FortiManager - missing authentication in FGFM (FortiJump)</t>
  </si>
  <si>
    <t xml:space="preserve">The FGFM protocol (TCP 541) of FortiManager accepted registration of unknown devices with a valid certificate from a FortiGate, after which arbitrary commands/code could be executed on the FortiManager via the management channel; used to steal configurations and credentials of all managed firewalls (UNC5820).</t>
  </si>
  <si>
    <t xml:space="preserve">Compromise of the central management server and thereby of all managed FortiGates.</t>
  </si>
  <si>
    <t xml:space="preserve">Check the FortiManager version and whether TCP 541 is reachable from the internet; check for unknown devices in the device list and the fgfm-deny-unknown setting.</t>
  </si>
  <si>
    <t xml:space="preserve">Update to 7.6.1 / 7.4.5 / 7.2.8 / 7.0.13 / 6.4.15; set fgfm-deny-unknown enable; restrict FGFM to known source IPs; rotate credentials of managed devices on suspicion of compromise.</t>
  </si>
  <si>
    <t xml:space="preserve">Alert on registrations of unknown serial numbers and on logins with 'Unregistered device' in FortiManager logs.</t>
  </si>
  <si>
    <t xml:space="preserve">FortiManager 7.6.0, 7.4.0-7.4.4, 7.2.0-7.2.7, 7.0.0-7.0.12, 6.4.0-6.4.14, 6.2.0-6.2.12; FortiManager Cloud 7.4.1-7.4.4 and others</t>
  </si>
  <si>
    <t xml:space="preserve">7.6.1 / 7.4.5 / 7.2.8 / 7.0.13 / 6.4.15 (October 2024)</t>
  </si>
  <si>
    <t xml:space="preserve">Yes - KEV since 2024-10-23</t>
  </si>
  <si>
    <t xml:space="preserve">AV-NET-12, AV-EXT-05</t>
  </si>
  <si>
    <t xml:space="preserve">KEV (2024-10-23); CVSS source: CNA</t>
  </si>
  <si>
    <t xml:space="preserve">https://fortiguard.fortinet.com/psirt/FG-IR-24-423; https://nvd.nist.gov/vuln/detail/CVE-2024-47575</t>
  </si>
  <si>
    <t xml:space="preserve">CVE-2025-64446</t>
  </si>
  <si>
    <t xml:space="preserve">Fortinet FortiWeb - relative path traversal to administrative command execution</t>
  </si>
  <si>
    <t xml:space="preserve">A relative path traversal in the management interface of FortiWeb allows an unauthenticated attacker to execute administrative commands (including creating admin accounts) via crafted HTTP(S) requests; silently patched and exploited as a zero-day (November 2025).</t>
  </si>
  <si>
    <t xml:space="preserve">Takeover of the web application firewall; disabling of protection and access to backend applications/TLS keys.</t>
  </si>
  <si>
    <t xml:space="preserve">Check the FortiWeb version (8.0.2 / 7.6.5 / 7.4.10 / 7.2.12 / 7.0.12 or higher) and whether the management interface is reachable from the internet; look for unknown admin accounts.</t>
  </si>
  <si>
    <t xml:space="preserve">Update FortiWeb; management interface only from the management zone; audit of admin accounts.</t>
  </si>
  <si>
    <t xml:space="preserve">Alert on creation of admin accounts and on requests with traversal sequences to the management API.</t>
  </si>
  <si>
    <t xml:space="preserve">T1190, T1136</t>
  </si>
  <si>
    <t xml:space="preserve">FortiWeb 8.0.0-8.0.1, 7.6.0-7.6.4, 7.4.0-7.4.9, 7.2.0-7.2.11, 7.0.0-7.0.11</t>
  </si>
  <si>
    <t xml:space="preserve">FortiWeb 8.0.2 / 7.6.5 / 7.4.10 / 7.2.12 / 7.0.12 (November 2025)</t>
  </si>
  <si>
    <t xml:space="preserve">Yes - KEV since 2025-11-14</t>
  </si>
  <si>
    <t xml:space="preserve">KEV (2025-11-14); see also CVE-2025-58034; CVSS source: CNA</t>
  </si>
  <si>
    <t xml:space="preserve">https://fortiguard.fortinet.com/psirt/FG-IR-25-910; https://nvd.nist.gov/vuln/detail/CVE-2025-64446</t>
  </si>
  <si>
    <t xml:space="preserve">CVE-2026-24858</t>
  </si>
  <si>
    <t xml:space="preserve">Fortinet FortiCloud SSO - cross-tenant authentication bypass (FortiOS, FortiManager, FortiAnalyzer, FortiWeb, FortiProxy)</t>
  </si>
  <si>
    <t xml:space="preserve">With FortiCloud SSO enabled, an attacker with their own FortiCloud account and a registered device could log in to devices of other FortiCloud accounts, across product lines; added to KEV in January 2026.</t>
  </si>
  <si>
    <t xml:space="preserve">Administrator access to firewalls and management servers of other organizations without their credentials.</t>
  </si>
  <si>
    <t xml:space="preserve">Check whether FortiCloud SSO (admin login via FortiCloud) is enabled and whether the firmware has been updated beyond the affected ranges; audit SSO logins for unknown FortiCloud identities.</t>
  </si>
  <si>
    <t xml:space="preserve">Update firmware in accordance with FG-IR-26-060; disable FortiCloud SSO login until after the update; audit admin logins.</t>
  </si>
  <si>
    <t xml:space="preserve">Alert on SSO admin logins from unknown FortiCloud accounts/IPs.</t>
  </si>
  <si>
    <t xml:space="preserve">T1078.004, T1190</t>
  </si>
  <si>
    <t xml:space="preserve">FortiOS 7.0.0-7.6.5; FortiManager/FortiAnalyzer 7.0.0-7.6.5; FortiProxy 7.0.0-7.6.4; FortiWeb 7.4.0-8.0.3; FortiNAC-F 7.6.3-7.6.5 (with FortiCloud SSO)</t>
  </si>
  <si>
    <t xml:space="preserve">See FG-IR-26-060 (January 2026)</t>
  </si>
  <si>
    <t xml:space="preserve">Yes - KEV since 2026-01-27</t>
  </si>
  <si>
    <t xml:space="preserve">Exploited in the wild (KEV 2026-01-27)</t>
  </si>
  <si>
    <t xml:space="preserve">AV-CLD-16, AV-EXT-05</t>
  </si>
  <si>
    <t xml:space="preserve">https://fortiguard.fortinet.com/psirt/FG-IR-26-060; https://nvd.nist.gov/vuln/detail/CVE-2026-24858</t>
  </si>
  <si>
    <t xml:space="preserve">CVE-2026-104286</t>
  </si>
  <si>
    <t xml:space="preserve">Fortinet FortiMail - unauthenticated path traversal arbitrary file write</t>
  </si>
  <si>
    <t xml:space="preserve">A path traversal in the FortiMail web interface allows an unauthenticated attacker to write arbitrary files on the underlying system via crafted HTTP(S) requests, leading to code execution; added to KEV on 1 October 2026.</t>
  </si>
  <si>
    <t xml:space="preserve">Takeover of the mail gateway: reading/manipulating email, credential theft and pivoting to the internal network.</t>
  </si>
  <si>
    <t xml:space="preserve">Check the FortiMail version (8.0.2 / 7.6.7 / 7.4.9 / 7.2.10 or higher according to FG-IR-26-175) and the exposure of the web interface.</t>
  </si>
  <si>
    <t xml:space="preserve">Update FortiMail in accordance with FG-IR-26-175; restrict the management/webmail interface; check for planted files/webshells.</t>
  </si>
  <si>
    <t xml:space="preserve">Alert on requests with traversal sequences and on new files in the FortiMail webroot.</t>
  </si>
  <si>
    <t xml:space="preserve">FortiMail 8.0.0-8.0.1, 7.6.0-7.6.6, 7.4.0-7.4.8, 7.2.0-7.2.9</t>
  </si>
  <si>
    <t xml:space="preserve">See FG-IR-26-175 (October 2026)</t>
  </si>
  <si>
    <t xml:space="preserve">Yes - KEV since 2026-10-01</t>
  </si>
  <si>
    <t xml:space="preserve">Exploited in the wild (KEV 2026-10-01)</t>
  </si>
  <si>
    <t xml:space="preserve">https://fortiguard.fortinet.com/psirt/FG-IR-26-175; https://nvd.nist.gov/vuln/detail/CVE-2026-104286</t>
  </si>
  <si>
    <t xml:space="preserve">CVE-2019-19781</t>
  </si>
  <si>
    <t xml:space="preserve">Citrix ADC / Gateway - directory traversal to unauthenticated RCE (Shitrix)</t>
  </si>
  <si>
    <t xml:space="preserve">A path traversal (/vpn/../vpns/) in the Citrix ADC/Gateway web interface gave access to Perl scripts with which an unauthenticated attacker could execute code as nobody and subsequently root; mass exploited in January 2020 (also in the Netherlands, including Medisch Centrum Leeuwarden and municipalities).</t>
  </si>
  <si>
    <t xml:space="preserve">Full takeover of the remote access gateway and access to the internal network.</t>
  </si>
  <si>
    <t xml:space="preserve">Fingerprint the build (10.5/11.1/12.0/12.1/13.0 before fix) and test the traversal path with a non-destructive GET (smb.conf check) within the RoE.</t>
  </si>
  <si>
    <t xml:space="preserve">Update to fixed builds (January 2020) and run the Citrix IoC scanner; rotate credentials/certificates in case of prior exposure.</t>
  </si>
  <si>
    <t xml:space="preserve">Alert on requests with /vpn/../vpns/ and on new files in /netscaler/portal/templates.</t>
  </si>
  <si>
    <t xml:space="preserve">Citrix ADC and Gateway 10.5, 11.1, 12.0, 12.1, 13.0; SD-WAN WANOP 10.2.x/11.0.x</t>
  </si>
  <si>
    <t xml:space="preserve">Builds 11.1.63.15, 12.0.63.13, 12.1.55.18, 13.0.47.24, 10.5.70.12 (January 2020)</t>
  </si>
  <si>
    <t xml:space="preserve">Yes (public exploits, Metasploit)</t>
  </si>
  <si>
    <t xml:space="preserve">https://support.citrix.com/article/CTX267027; https://www.kb.cert.org/vuls/id/619785; https://nvd.nist.gov/vuln/detail/CVE-2019-19781</t>
  </si>
  <si>
    <t xml:space="preserve">CVE-2023-4966</t>
  </si>
  <si>
    <t xml:space="preserve">Citrix NetScaler ADC / Gateway - session token disclosure (Citrix Bleed)</t>
  </si>
  <si>
    <t xml:space="preserve">An out-of-bounds read in the OpenID configuration endpoint (/oauth/idp/.well-known/openid-configuration) with an overly long Host header leaks memory containing valid session tokens of logged-in users, bypassing MFA; used by LockBit (including Boeing) and other groups.</t>
  </si>
  <si>
    <t xml:space="preserve">Session takeover of VPN/Gateway users including administrators; access to the internal network without credentials or MFA.</t>
  </si>
  <si>
    <t xml:space="preserve">Check the build (14.1-8.50, 13.1-49.15, 13.0-92.19 or higher) and whether the device is configured as Gateway/AAA; a PoC only reads its own memory and is only performed within the RoE.</t>
  </si>
  <si>
    <t xml:space="preserve">Update to fixed builds and then terminate all active sessions (kill icaconnection/aaa session); rotate credentials of logged-in administrators.</t>
  </si>
  <si>
    <t xml:space="preserve">Alert on requests to the openid-configuration endpoint with anomalous Host headers and on sessions whose source IP changes.</t>
  </si>
  <si>
    <t xml:space="preserve">T1190, T1539, T1133</t>
  </si>
  <si>
    <t xml:space="preserve">CVSS:3.1/AV:N/AC:L/PR:N/UI:N/S:U/C:H/I:H/A:L</t>
  </si>
  <si>
    <t xml:space="preserve">NetScaler ADC/Gateway 14.1 &lt; 14.1-8.50, 13.1 &lt; 13.1-49.15, 13.0 &lt; 13.0-92.19, 13.1-FIPS &lt; 13.1-37.164, 12.1-FIPS/NDcPP &lt; 12.1-55.300 (as Gateway or AAA server)</t>
  </si>
  <si>
    <t xml:space="preserve">14.1-8.50 / 13.1-49.15 / 13.0-92.19 (October 2023)</t>
  </si>
  <si>
    <t xml:space="preserve">Yes - KEV since 2023-10-18</t>
  </si>
  <si>
    <t xml:space="preserve">Yes (public PoCs; mass exploited)</t>
  </si>
  <si>
    <t xml:space="preserve">AV-EXT-05, AV-WEB-13</t>
  </si>
  <si>
    <t xml:space="preserve">KEV (2023-10-18); CVSS source: CNA</t>
  </si>
  <si>
    <t xml:space="preserve">https://support.citrix.com/article/CTX579459; http://packetstormsecurity.com/files/175323/Citrix-Bleed-Session-Token-Leakage-Proof-Of-Concept.html; https://nvd.nist.gov/vuln/detail/CVE-2023-4966</t>
  </si>
  <si>
    <t xml:space="preserve">CVE-2025-5777</t>
  </si>
  <si>
    <t xml:space="preserve">Citrix NetScaler ADC / Gateway - memory overread (Citrix Bleed 2)</t>
  </si>
  <si>
    <t xml:space="preserve">Insufficient input validation in the login handling (missing value for the login parameter) allows an unauthenticated attacker to read memory of the NetScaler, including session tokens and credentials, when the device is configured as Gateway or AAA server.</t>
  </si>
  <si>
    <t xml:space="preserve">Session takeover and MFA bypass, comparable to Citrix Bleed; actively exploited since June 2025.</t>
  </si>
  <si>
    <t xml:space="preserve">Check the build (14.1-43.56, 13.1-58.32 or higher; 12.1/13.0 are EOL and vulnerable) and the Gateway/AAA configuration; PoC only within the RoE.</t>
  </si>
  <si>
    <t xml:space="preserve">Update to 14.1-43.56 / 13.1-58.32 (or 13.1-FIPS 37.235) and terminate all active ICA/PCoIP/AAA sessions after the update; replace EOL versions.</t>
  </si>
  <si>
    <t xml:space="preserve">Alert on POST /p/u/doAuthentication.do without a value for login and on sessions with changing source IPs.</t>
  </si>
  <si>
    <t xml:space="preserve">T1190, T1539</t>
  </si>
  <si>
    <t xml:space="preserve">CVSS:4.0/AV:N/AC:L/AT:N/PR:N/UI:N/VC:H/VI:H/VA:H/SC:L/SI:L/SA:L</t>
  </si>
  <si>
    <t xml:space="preserve">NetScaler ADC/Gateway 14.1 &lt; 14.1-43.56, 13.1 &lt; 13.1-58.32, 13.1-FIPS/NDcPP &lt; 13.1-37.235; 12.1 and 13.0 (EOL) vulnerable</t>
  </si>
  <si>
    <t xml:space="preserve">14.1-43.56 / 13.1-58.32 / 13.1-FIPS 37.235 (June 2025)</t>
  </si>
  <si>
    <t xml:space="preserve">Yes - KEV since 2025-07-10</t>
  </si>
  <si>
    <t xml:space="preserve">Yes (public PoCs; in the wild)</t>
  </si>
  <si>
    <t xml:space="preserve">CVE-2023-4966, AV-EXT-05</t>
  </si>
  <si>
    <t xml:space="preserve">KEV (2025-07-10); CVSS source: CNA</t>
  </si>
  <si>
    <t xml:space="preserve">https://support.citrix.com/support-home/kbsearch/article?articleNumber=CTX693420; https://nvd.nist.gov/vuln/detail/CVE-2025-5777</t>
  </si>
  <si>
    <t xml:space="preserve">CVE-2025-6543</t>
  </si>
  <si>
    <t xml:space="preserve">Citrix NetScaler ADC / Gateway - memory overflow RCE/DoS (zero-day, incl. Dutch Public Prosecution Service breach)</t>
  </si>
  <si>
    <t xml:space="preserve">A memory overflow in NetScaler, configured as Gateway or AAA server, leads to unintended control flow and DoS and has in practice been exploited for code execution; deployed as a zero-day since May 2025, including in the breach at the Dutch Public Prosecution Service (Openbaar Ministerie; NCSC-NL advisory).</t>
  </si>
  <si>
    <t xml:space="preserve">Takeover of the remote access gateway and access to the internal network; long-term undetected access.</t>
  </si>
  <si>
    <t xml:space="preserve">Check the build (14.1-47.46, 13.1-59.19 or higher) and run the NCSC-NL/Citrix IoC script on the appliance; no exploitation.</t>
  </si>
  <si>
    <t xml:space="preserve">Update, perform forensic investigation on appliances that were exposed before the patch (webshells), rotate credentials and certificates, terminate sessions.</t>
  </si>
  <si>
    <t xml:space="preserve">Check for unknown files in /var/netscaler/logon and /netscaler/ns_gui, anomalous crontab entries and unexpected outbound connections.</t>
  </si>
  <si>
    <t xml:space="preserve">CVSS:4.0/AV:N/AC:H/AT:P/PR:N/UI:N/VC:H/VI:H/VA:H/SC:L/SI:L/SA:L</t>
  </si>
  <si>
    <t xml:space="preserve">NetScaler ADC/Gateway 14.1 &lt; 14.1-47.46, 13.1 &lt; 13.1-59.19, 13.1-FIPS/NDcPP &lt; 13.1-37.236 (as Gateway/AAA)</t>
  </si>
  <si>
    <t xml:space="preserve">14.1-47.46 / 13.1-59.19 / 13.1-FIPS 37.236 (June 2025)</t>
  </si>
  <si>
    <t xml:space="preserve">Yes - KEV since 2025-06-30</t>
  </si>
  <si>
    <t xml:space="preserve">Exploited in the wild (zero-day); no reliable public PoC</t>
  </si>
  <si>
    <t xml:space="preserve">AV-EXT-05, CVE-2025-5777</t>
  </si>
  <si>
    <t xml:space="preserve">KEV (2025-06-30); NCSC-NL advisory August 2025; CVSS source: CNA</t>
  </si>
  <si>
    <t xml:space="preserve">https://support.citrix.com/support-home/kbsearch/article?articleNumber=CTX694788; https://nvd.nist.gov/vuln/detail/CVE-2025-6543</t>
  </si>
  <si>
    <t xml:space="preserve">CVE-2025-7775</t>
  </si>
  <si>
    <t xml:space="preserve">Citrix NetScaler ADC / Gateway - memory overflow pre-auth RCE (webshells in the wild)</t>
  </si>
  <si>
    <t xml:space="preserve">A memory overflow in NetScaler (Gateway/AAA, or LB virtual servers with IPv6 services and CR virtual servers of type HDX) allows unauthenticated code execution; Citrix already reported webshells on compromised appliances at the time of publication.</t>
  </si>
  <si>
    <t xml:space="preserve">Pre-auth RCE on the perimeter and persistent access via webshells.</t>
  </si>
  <si>
    <t xml:space="preserve">Check the build (14.1-47.48, 13.1-59.22, 13.1-FIPS 37.241, 12.1-FIPS 55.330 or higher) and the configuration (Gateway/AAA, IPv6 backends, HDX-CR); look for IoCs.</t>
  </si>
  <si>
    <t xml:space="preserve">Update as a priority; investigate appliances for webshells and rotate secrets; replace EOL versions 12.1/13.0.</t>
  </si>
  <si>
    <t xml:space="preserve">New PHP/Perl files in the webroot, anomalous nsppe crashes and unexpected outbound connections from the appliance.</t>
  </si>
  <si>
    <t xml:space="preserve">NetScaler ADC/Gateway 14.1 &lt; 14.1-47.48, 13.1 &lt; 13.1-59.22, 13.1-FIPS/NDcPP &lt; 13.1-37.241, 12.1-FIPS/NDcPP &lt; 12.1-55.330</t>
  </si>
  <si>
    <t xml:space="preserve">14.1-47.48 / 13.1-59.22 (August 2025)</t>
  </si>
  <si>
    <t xml:space="preserve">Yes - KEV since 2025-08-26</t>
  </si>
  <si>
    <t xml:space="preserve">Exploited in the wild (KEV 2025-08-26)</t>
  </si>
  <si>
    <t xml:space="preserve">CVE-2025-6543, AV-EXT-05</t>
  </si>
  <si>
    <t xml:space="preserve">https://support.citrix.com/support-home/kbsearch/article?articleNumber=CTX694938; https://nvd.nist.gov/vuln/detail/CVE-2025-7775</t>
  </si>
  <si>
    <t xml:space="preserve">CVE-2026-88771</t>
  </si>
  <si>
    <t xml:space="preserve">Citrix NetScaler ADC / Gateway - pre-auth command injection RCE (also CVE-2026-19490 auth bypass, CVE-2026-3055)</t>
  </si>
  <si>
    <t xml:space="preserve">Insufficient input validation in NetScaler ADC/Gateway allows an unauthenticated attacker to execute arbitrary commands; earlier in 2026, an authentication bypass (CVE-2026-19490) and a SAML IdP memory overread (CVE-2026-3055) were also actively exploited. NetScaler thus remains one of the most attacked perimeter products.</t>
  </si>
  <si>
    <t xml:space="preserve">Full takeover of the gateway and access to the internal network; session and credential theft.</t>
  </si>
  <si>
    <t xml:space="preserve">Check the build (14.1-73.37, 13.1-64.23 or higher; FIPS 13.1-37.279) and whether earlier advisories from 2026 (CTX696939, CTX696300) have been applied; perform IoC checks.</t>
  </si>
  <si>
    <t xml:space="preserve">Update immediately, terminate sessions, investigate for compromise, consider a ZTNA architecture so that the gateway is less exposed.</t>
  </si>
  <si>
    <t xml:space="preserve">Alert on anomalous processes on the appliance, new files in the webroot and configuration changes.</t>
  </si>
  <si>
    <t xml:space="preserve">CWE-20, CWE-77</t>
  </si>
  <si>
    <t xml:space="preserve">CVSS:4.0/AV:N/AC:L/AT:P/PR:N/UI:N/VC:H/VI:H/VA:H/SC:H/SI:H/SA:H</t>
  </si>
  <si>
    <t xml:space="preserve">NetScaler ADC/Gateway 14.1 &lt; 14.1-73.37, 13.1 &lt; 13.1-64.23, 13.1-FIPS/NDcPP &lt; 13.1-37.279</t>
  </si>
  <si>
    <t xml:space="preserve">14.1-73.37 / 13.1-64.23 (CTX697096, September 2026)</t>
  </si>
  <si>
    <t xml:space="preserve">Yes - KEV since 2026-09-27</t>
  </si>
  <si>
    <t xml:space="preserve">Exploited in the wild (KEV 2026-09-27)</t>
  </si>
  <si>
    <t xml:space="preserve">CVE-2025-7775, AV-EXT-05</t>
  </si>
  <si>
    <t xml:space="preserve">KEV; CVSS source: CNA; Related CVEs without their own row: CVE-2026-19490, CVE-2026-3055</t>
  </si>
  <si>
    <t xml:space="preserve">https://support.citrix.com/support-home/kbsearch/article?articleNumber=CTX697096; https://nvd.nist.gov/vuln/detail/CVE-2026-88771</t>
  </si>
  <si>
    <t xml:space="preserve">CVE-2024-21887</t>
  </si>
  <si>
    <t xml:space="preserve">Ivanti Connect Secure / Policy Secure - command injection chained with auth bypass CVE-2023-46805</t>
  </si>
  <si>
    <t xml:space="preserve">The authentication bypass in the web component (CVE-2023-46805, /api/v1/totp/user-backup-code/../) combined with command injection in /api/v1/license/keys-status/ (CVE-2024-21887) gave unauthenticated RCE as root on ICS/IPS appliances; mass exploited by UNC5221 from December 2023 (webshells, credential harvesting).</t>
  </si>
  <si>
    <t xml:space="preserve">Full compromise of the VPN appliance, theft of all VPN credentials and access to the internal network.</t>
  </si>
  <si>
    <t xml:space="preserve">Check version/patch against the Ivanti advisory, run the external Ivanti Integrity Checker (the internal ICT may have been tampered with) and check the mitigation XML if applied.</t>
  </si>
  <si>
    <t xml:space="preserve">Patch to the fixed releases of January-February 2024 (after a factory reset in case of compromise), rotate all credentials/certificates, monitor for persistence.</t>
  </si>
  <si>
    <t xml:space="preserve">Alert on requests to /api/v1/totp/user-backup-code/ and /api/v1/license/keys-status/ with command syntax; ICT mismatch.</t>
  </si>
  <si>
    <t xml:space="preserve">T1190, T1505.003, T1133</t>
  </si>
  <si>
    <t xml:space="preserve">CWE-77, CWE-287</t>
  </si>
  <si>
    <t xml:space="preserve">CVSS:3.0/AV:N/AC:L/PR:H/UI:N/S:C/C:H/I:H/A:H</t>
  </si>
  <si>
    <t xml:space="preserve">Ivanti Connect Secure and Policy Secure 9.x and 22.x (through 9.1R18 / 22.6R2) without patch</t>
  </si>
  <si>
    <t xml:space="preserve">Fixed releases according to the Ivanti advisory (patches from 31 January 2024, including 22.5R2.2 and 9.1R18.3)</t>
  </si>
  <si>
    <t xml:space="preserve">Yes - KEV since 2024-01-10</t>
  </si>
  <si>
    <t xml:space="preserve">KEV (2024-01-10); CISA ED 24-01; CVSS source: CNA; Related CVEs without their own row: CVE-2023-46805</t>
  </si>
  <si>
    <t xml:space="preserve">https://forums.ivanti.com/s/article/CVE-2023-46805-Authentication-Bypass-CVE-2024-21887-Command-Injection-for-Ivanti-Connect-Secure-and-Ivanti-Policy-Secure-Gateways?language=en_US; http://packetstormsecurity.com/files/176668/Ivanti-Connect-Secure-Unauthenticated-Remote-Code-Execution.html; https://nvd.nist.gov/vuln/detail/CVE-2024-21887</t>
  </si>
  <si>
    <t xml:space="preserve">CVE-2025-0282</t>
  </si>
  <si>
    <t xml:space="preserve">Ivanti Connect Secure - stack-based buffer overflow pre-auth RCE (zero-day, January 2025)</t>
  </si>
  <si>
    <t xml:space="preserve">A stack-based buffer overflow in the web server of Ivanti Connect Secure (IFT protocol) allows unauthenticated code execution; exploited as a zero-day since December 2024 (UNC5337, SPAWN malware family), with manipulation of the internal Integrity Checker.</t>
  </si>
  <si>
    <t xml:space="preserve">Full compromise of the VPN appliance and access to the internal network.</t>
  </si>
  <si>
    <t xml:space="preserve">Check the version (22.7R2.5 or higher), run the external ICT and look for IoCs (modified system files, SPAWN components).</t>
  </si>
  <si>
    <t xml:space="preserve">Update to 22.7R2.5 (ICS), 22.7R1.2 (IPS), 22.7R2.3 (ZTA); in case of ICT anomalies, factory reset and reinstall; rotate credentials.</t>
  </si>
  <si>
    <t xml:space="preserve">ICT mismatch, unexpected crashes of the web server and outbound connections from the appliance.</t>
  </si>
  <si>
    <t xml:space="preserve">CVSS:3.1/AV:N/AC:H/PR:N/UI:N/S:C/C:H/I:H/A:H</t>
  </si>
  <si>
    <t xml:space="preserve">Ivanti Connect Secure 22.7R2 through 22.7R2.4; Policy Secure &lt; 22.7R1.2; Neurons for ZTA Gateways &lt; 22.7R2.3</t>
  </si>
  <si>
    <t xml:space="preserve">22.7R2.5 / 22.7R1.2 / 22.7R2.3 (January 2025)</t>
  </si>
  <si>
    <t xml:space="preserve">Yes - KEV since 2025-01-08</t>
  </si>
  <si>
    <t xml:space="preserve">CVE-2025-22457, AV-EXT-05</t>
  </si>
  <si>
    <t xml:space="preserve">KEV (2025-01-08); CVSS source: CNA</t>
  </si>
  <si>
    <t xml:space="preserve">https://forums.ivanti.com/s/article/Security-Advisory-Ivanti-Connect-Secure-Policy-Secure-ZTA-Gateways-CVE-2025-0282-CVE-2025-0283; https://nvd.nist.gov/vuln/detail/CVE-2025-0282</t>
  </si>
  <si>
    <t xml:space="preserve">CVE-2025-22457</t>
  </si>
  <si>
    <t xml:space="preserve">Ivanti Connect Secure - stack-based buffer overflow pre-auth RCE (April 2025)</t>
  </si>
  <si>
    <t xml:space="preserve">A buffer overflow initially assessed as DoS (only digits and periods in the X-Forwarded-For header) turned out to lead to RCE; UNC5221 exploited it from March 2025 against ICS 22.7R2.5 and older (TRAILBLAZE/BRUSHFIRE malware).</t>
  </si>
  <si>
    <t xml:space="preserve">Pre-auth RCE on the VPN appliance; persistent access and credential theft.</t>
  </si>
  <si>
    <t xml:space="preserve">Check the version (22.7R2.6 or higher) and run the external ICT; check whether EOL versions (9.x, Pulse Connect Secure) are still in use.</t>
  </si>
  <si>
    <t xml:space="preserve">Update to 22.7R2.6 (ICS), 22.7R1.4 (IPS), 22.8R2.2 (ZTA); replace EOL appliances; factory reset in case of IoCs.</t>
  </si>
  <si>
    <t xml:space="preserve">Crashes of the web server (core dumps) and ICT anomalies; outbound connections from the appliance.</t>
  </si>
  <si>
    <t xml:space="preserve">Ivanti Connect Secure &lt;= 22.7R2.5; Policy Secure &lt;= 22.7R1.3; ZTA Gateways &lt;= 22.8R2.1; Pulse Connect Secure 9.1x (EOL)</t>
  </si>
  <si>
    <t xml:space="preserve">22.7R2.6 / 22.7R1.4 / 22.8R2.2 (April 2025)</t>
  </si>
  <si>
    <t xml:space="preserve">Yes - KEV since 2025-04-04</t>
  </si>
  <si>
    <t xml:space="preserve">CVE-2025-0282, AV-EXT-05</t>
  </si>
  <si>
    <t xml:space="preserve">KEV (2025-04-04); CVSS source: CNA</t>
  </si>
  <si>
    <t xml:space="preserve">https://forums.ivanti.com/s/article/April-Security-Advisory-Ivanti-Connect-Secure-Policy-Secure-ZTA-Gateways-CVE-2025-22457; https://nvd.nist.gov/vuln/detail/CVE-2025-22457</t>
  </si>
  <si>
    <t xml:space="preserve">CVE-2025-4428</t>
  </si>
  <si>
    <t xml:space="preserve">Ivanti Endpoint Manager Mobile (EPMM) - RCE chained with auth bypass CVE-2025-4427</t>
  </si>
  <si>
    <t xml:space="preserve">An authentication bypass in the API (CVE-2025-4427) combined with code injection via an open-source library (CVE-2025-4428, Hibernate Validator EL injection) gave unauthenticated RCE on the MDM server; exploited as a zero-day in May 2025 (UNC5221), with theft of device and LDAP data.</t>
  </si>
  <si>
    <t xml:space="preserve">Takeover of the MDM server: access to all managed mobile devices, LDAP credentials and certificates.</t>
  </si>
  <si>
    <t xml:space="preserve">Check the EPMM version (12.5.0.1 / 12.4.0.2 / 12.3.0.2 or higher) and whether the API is reachable from the internet without filtering (RBAC/portal ACL).</t>
  </si>
  <si>
    <t xml:space="preserve">Update EPMM; restrict API access via the built-in Portal ACLs or a WAF; rotate LDAP/service credentials on suspicion of compromise.</t>
  </si>
  <si>
    <t xml:space="preserve">Alert on requests to /api/v2/featureusage with EL expressions (${...}) and on child processes of the EPMM web server.</t>
  </si>
  <si>
    <t xml:space="preserve">CWE-94, CWE-288</t>
  </si>
  <si>
    <t xml:space="preserve">Ivanti EPMM 11.12.0.4 and earlier, 12.3.0.1, 12.4.0.1, 12.5.0.0 and earlier</t>
  </si>
  <si>
    <t xml:space="preserve">12.5.0.1 / 12.4.0.2 / 12.3.0.2 / 11.12.0.5 (May 2025)</t>
  </si>
  <si>
    <t xml:space="preserve">Yes - KEV since 2025-05-19</t>
  </si>
  <si>
    <t xml:space="preserve">CVE-2026-1281, AV-MOB-11</t>
  </si>
  <si>
    <t xml:space="preserve">KEV (2025-05-19); CVSS source: CNA; Related CVEs without their own row: CVE-2025-4427</t>
  </si>
  <si>
    <t xml:space="preserve">https://forums.ivanti.com/s/article/Security-Advisory-Ivanti-Endpoint-Manager-Mobile-EPMM; https://nvd.nist.gov/vuln/detail/CVE-2025-4428</t>
  </si>
  <si>
    <t xml:space="preserve">CVE-2026-1281</t>
  </si>
  <si>
    <t xml:space="preserve">Ivanti Endpoint Manager Mobile (EPMM) - unauthenticated code injection RCE (with CVE-2026-1340)</t>
  </si>
  <si>
    <t xml:space="preserve">Two code injection flaws in EPMM allow unauthenticated code execution on the MDM server; CVE-2026-1281 was exploited as a zero-day in late January 2026 and CVE-2026-1340 followed in KEV in April 2026.</t>
  </si>
  <si>
    <t xml:space="preserve">Takeover of the MDM server and all managed devices, LDAP credentials and certificates.</t>
  </si>
  <si>
    <t xml:space="preserve">Check the EPMM version against the Ivanti advisory (12.x.0.x / 12.x.1.x RPM fixes) and the exposure of the API; check for IoCs from the advisory.</t>
  </si>
  <si>
    <t xml:space="preserve">Install the RPM fixes from Ivanti and upgrade to the latest release; restrict API access; rotate credentials.</t>
  </si>
  <si>
    <t xml:space="preserve">Alert on anomalous API requests and child processes of the EPMM web server.</t>
  </si>
  <si>
    <t xml:space="preserve">CWE-94</t>
  </si>
  <si>
    <t xml:space="preserve">Ivanti EPMM 12.x without the January 2026 fixes (see advisory CVE-2026-1281 / CVE-2026-1340)</t>
  </si>
  <si>
    <t xml:space="preserve">January 2026 RPM fixes and subsequent releases</t>
  </si>
  <si>
    <t xml:space="preserve">Yes - KEV since 2026-01-29</t>
  </si>
  <si>
    <t xml:space="preserve">Exploited in the wild (KEV 2026-01-29 and 2026-04-08)</t>
  </si>
  <si>
    <t xml:space="preserve">CVE-2025-4428, AV-EXT-05</t>
  </si>
  <si>
    <t xml:space="preserve">KEV; CVSS source: CNA; Related CVEs without their own row: CVE-2026-1340</t>
  </si>
  <si>
    <t xml:space="preserve">https://forums.ivanti.com/s/article/Security-Advisory-Ivanti-Endpoint-Manager-Mobile-EPMM-CVE-2026-1281-CVE-2026-1340; https://nvd.nist.gov/vuln/detail/CVE-2026-1281</t>
  </si>
  <si>
    <t xml:space="preserve">CVE-2026-10520</t>
  </si>
  <si>
    <t xml:space="preserve">Ivanti Sentry - unauthenticated OS command injection (root RCE)</t>
  </si>
  <si>
    <t xml:space="preserve">An OS command injection in Ivanti Sentry (the ActiveSync/app gateway of the MobileIron suite) allows an unauthenticated attacker to execute commands as root; added to KEV in June 2026.</t>
  </si>
  <si>
    <t xml:space="preserve">Takeover of the gateway that handles mail and app traffic from mobile devices; interception of credentials and pivot to EPMM/Exchange.</t>
  </si>
  <si>
    <t xml:space="preserve">Check the Sentry version (R10.5.2 / R10.6.2 / R10.7.1 or higher) and whether the management and gateway ports (8443/443) are reachable from the internet.</t>
  </si>
  <si>
    <t xml:space="preserve">Update Sentry; restrict access to the management interface (8443) to the management zone.</t>
  </si>
  <si>
    <t xml:space="preserve">Alert on unexpected processes under the Sentry web server and on configuration changes.</t>
  </si>
  <si>
    <t xml:space="preserve">Ivanti Sentry &lt; R10.5.2, &lt; R10.6.2, &lt; R10.7.1</t>
  </si>
  <si>
    <t xml:space="preserve">R10.5.2 / R10.6.2 / R10.7.1 (June 2026)</t>
  </si>
  <si>
    <t xml:space="preserve">Yes - KEV since 2026-06-11</t>
  </si>
  <si>
    <t xml:space="preserve">Exploited in the wild (KEV 2026-06-11)</t>
  </si>
  <si>
    <t xml:space="preserve">CVE-2026-1281, AV-EXT-05</t>
  </si>
  <si>
    <t xml:space="preserve">KEV; see also CVE-2026-10523; CVSS source: CNA</t>
  </si>
  <si>
    <t xml:space="preserve">https://hub.ivanti.com/s/article/Security-Advisory-Ivanti-Sentry-CVE-2026-10520-CVE-2026-10523?language=en_US; https://nvd.nist.gov/vuln/detail/CVE-2026-10520</t>
  </si>
  <si>
    <t xml:space="preserve">CVE-2024-3400</t>
  </si>
  <si>
    <t xml:space="preserve">Palo Alto PAN-OS GlobalProtect - arbitrary file creation to command injection (root RCE)</t>
  </si>
  <si>
    <t xml:space="preserve">Via a manipulated SESSID cookie, an unauthenticated attacker could create files with chosen names on the firewall, which led via a cronjob to command injection as root (Operation MidnightEclipse, UPSTYLE backdoor); affects GlobalProtect portals/gateways on PAN-OS 10.2/11.0/11.1.</t>
  </si>
  <si>
    <t xml:space="preserve">Full takeover of the firewall and VPN gateway; configuration and credential theft, pivot to the internal network.</t>
  </si>
  <si>
    <t xml:space="preserve">Check the PAN-OS version (10.2.9-h1 / 11.0.4-h1 / 11.1.2-h3 or higher) and whether GlobalProtect is configured; check the logs for SESSID cookies with path sequences.</t>
  </si>
  <si>
    <t xml:space="preserve">Update PAN-OS (April 2024 hotfixes), enable Threat Prevention signature 95187 and following, investigate for compromise (Palo Alto levels 0-3) and reset/reinstall in case of IoCs.</t>
  </si>
  <si>
    <t xml:space="preserve">GlobalProtect logs with SESSID values that contain paths; unexpected outbound connections from the firewall.</t>
  </si>
  <si>
    <t xml:space="preserve">CWE-77, CWE-20</t>
  </si>
  <si>
    <t xml:space="preserve">PAN-OS 10.2 &lt; 10.2.9-h1, 11.0 &lt; 11.0.4-h1, 11.1 &lt; 11.1.2-h3 with GlobalProtect; Cloud NGFW, Panorama and Prisma Access not affected</t>
  </si>
  <si>
    <t xml:space="preserve">10.2.9-h1 / 11.0.4-h1 / 11.1.2-h3 (14 April 2024)</t>
  </si>
  <si>
    <t xml:space="preserve">Yes - KEV since 2024-04-12</t>
  </si>
  <si>
    <t xml:space="preserve">KEV (2024-04-12); CVSS source: CNA</t>
  </si>
  <si>
    <t xml:space="preserve">https://security.paloaltonetworks.com/CVE-2024-3400; https://unit42.paloaltonetworks.com/cve-2024-3400/; https://nvd.nist.gov/vuln/detail/CVE-2024-3400</t>
  </si>
  <si>
    <t xml:space="preserve">CVE-2024-0012</t>
  </si>
  <si>
    <t xml:space="preserve">Palo Alto PAN-OS management interface - authentication bypass (chained with CVE-2024-9474 privesc)</t>
  </si>
  <si>
    <t xml:space="preserve">An authentication bypass in the PAN-OS management interface (X-PAN-AUTHCHECK: off header) gives unauthenticated administrator access; combined with CVE-2024-9474 (command injection as root) this leads to full takeover (Operation Lunar Peek, November 2024). In 2025, CVE-2025-0108 followed with a similar effect.</t>
  </si>
  <si>
    <t xml:space="preserve">Root on the firewall via an internet-exposed management interface; webshells and configuration theft.</t>
  </si>
  <si>
    <t xml:space="preserve">Check whether the management interface is reachable from the internet or user networks and whether the version is patched (11.2.4-h1 / 11.1.5-h1 / 11.0.6-h1 / 10.2.12-h2 or higher; later hotfixes for CVE-2025-0108).</t>
  </si>
  <si>
    <t xml:space="preserve">Management interface only via a management VLAN/jump host (Palo Alto best practice), update PAN-OS, investigate for compromise in case of prior exposure.</t>
  </si>
  <si>
    <t xml:space="preserve">Alert on requests with X-PAN-AUTHCHECK: off and on unexpected admin logins or configuration changes.</t>
  </si>
  <si>
    <t xml:space="preserve">CVSS:4.0/AV:N/AC:L/AT:N/PR:N/UI:N/VC:H/VI:H/VA:H/SC:L/SI:N/SA:N</t>
  </si>
  <si>
    <t xml:space="preserve">PAN-OS 11.2 &lt; 11.2.4-h1, 11.1 &lt; 11.1.5-h1, 11.0 &lt; 11.0.6-h1, 10.2 &lt; 10.2.12-h2 (management interface exposed)</t>
  </si>
  <si>
    <t xml:space="preserve">11.2.4-h1 / 11.1.5-h1 / 11.0.6-h1 / 10.2.12-h2 (November 2024)</t>
  </si>
  <si>
    <t xml:space="preserve">Yes - KEV since 2024-11-18</t>
  </si>
  <si>
    <t xml:space="preserve">AV-EXT-02, AV-NET-12</t>
  </si>
  <si>
    <t xml:space="preserve">KEV (2024-11-18); CVSS source: CNA; Related CVEs without their own row: CVE-2024-9474, CVE-2025-0108</t>
  </si>
  <si>
    <t xml:space="preserve">https://security.paloaltonetworks.com/CVE-2024-0012; https://nvd.nist.gov/vuln/detail/CVE-2024-0012</t>
  </si>
  <si>
    <t xml:space="preserve">CVE-2026-0300</t>
  </si>
  <si>
    <t xml:space="preserve">Palo Alto PAN-OS User-ID Authentication Portal (Captive Portal) - unauthenticated buffer overflow (root RCE)</t>
  </si>
  <si>
    <t xml:space="preserve">A buffer overflow in the User-ID Authentication Portal of PAN-OS allows an unauthenticated attacker to execute code as root on PA- and VM-Series firewalls by sending specially crafted packets; added to KEV in May 2026.</t>
  </si>
  <si>
    <t xml:space="preserve">Full takeover of the firewall from any network that can reach the Captive Portal.</t>
  </si>
  <si>
    <t xml:space="preserve">Check whether the User-ID Authentication Portal is enabled and from which zones it is reachable; check the PAN-OS version (12.1.7 / 11.2.12 / 11.1.15 / 10.2.18-h6 or higher).</t>
  </si>
  <si>
    <t xml:space="preserve">Update PAN-OS; restrict the Authentication Portal to trusted internal IP ranges according to the best-practice guidelines.</t>
  </si>
  <si>
    <t xml:space="preserve">Alert on crashes of the authd/captive portal processes and on unexpected processes on the firewall.</t>
  </si>
  <si>
    <t xml:space="preserve">CWE-787</t>
  </si>
  <si>
    <t xml:space="preserve">CVSS:4.0/AV:N/AC:L/AT:N/PR:N/UI:N/VC:H/VI:H/VA:H/SC:L/SI:L/SA:N</t>
  </si>
  <si>
    <t xml:space="preserve">PAN-OS 12.1 &lt; 12.1.7, 11.2 &lt; 11.2.12, 11.1 &lt; 11.1.15, 10.2 &lt; 10.2.18-h6 with User-ID Authentication Portal; Prisma Access, Cloud NGFW and Panorama not affected</t>
  </si>
  <si>
    <t xml:space="preserve">12.1.7 / 11.2.12 / 11.1.15 / 10.2.18-h6 (May 2026)</t>
  </si>
  <si>
    <t xml:space="preserve">Yes - KEV since 2026-05-06</t>
  </si>
  <si>
    <t xml:space="preserve">Exploited in the wild (KEV 2026-05-06)</t>
  </si>
  <si>
    <t xml:space="preserve">AV-EXT-05, CVE-2024-3400</t>
  </si>
  <si>
    <t xml:space="preserve">https://security.paloaltonetworks.com/CVE-2026-0300; https://nvd.nist.gov/vuln/detail/CVE-2026-0300</t>
  </si>
  <si>
    <t xml:space="preserve">CVE-2026-0257</t>
  </si>
  <si>
    <t xml:space="preserve">Palo Alto PAN-OS GlobalProtect portal/gateway - authentication bypass (unauthorized VPN connection)</t>
  </si>
  <si>
    <t xml:space="preserve">Authentication bypass flaws in the GlobalProtect portal and gateway (trusting cookies without validation/integrity check) allow an attacker to set up a VPN connection without valid credentials; exploited in the wild since May 2026.</t>
  </si>
  <si>
    <t xml:space="preserve">Unauthorized VPN access to the internal network, bypassing authentication and MFA.</t>
  </si>
  <si>
    <t xml:space="preserve">Check the PAN-OS version against the long list of hotfixes in the advisory (including 12.1.7, 11.2.12, 11.1.15, 10.2.18-h6) and whether GlobalProtect portal/gateway are externally reachable; analyze GP logs for logins without corresponding authentication events.</t>
  </si>
  <si>
    <t xml:space="preserve">Update PAN-OS/Prisma Access in accordance with the advisory; review GlobalProtect authentication profiles and force re-authentication of clients.</t>
  </si>
  <si>
    <t xml:space="preserve">GlobalProtect logs with successful connections without an authentication event; new users/devices from unknown locations.</t>
  </si>
  <si>
    <t xml:space="preserve">CWE-565</t>
  </si>
  <si>
    <t xml:space="preserve">CVSS:4.0/AV:N/AC:L/AT:N/PR:N/UI:N/VC:L/VI:N/VA:N/SC:H/SI:H/SA:N</t>
  </si>
  <si>
    <t xml:space="preserve">PAN-OS 12.1, 11.2, 11.1 and 10.2 (various builds) with GlobalProtect; Prisma Access 10.2 &lt; 10.2.10-h36 and 11.2 &lt; 11.2.7-h13; Panorama and Cloud NGFW not affected</t>
  </si>
  <si>
    <t xml:space="preserve">See advisory CVE-2026-0257 (May 2026)</t>
  </si>
  <si>
    <t xml:space="preserve">Yes - KEV since 2026-05-29</t>
  </si>
  <si>
    <t xml:space="preserve">Exploited in the wild (KEV 2026-05-29)</t>
  </si>
  <si>
    <t xml:space="preserve">https://security.paloaltonetworks.com/CVE-2026-0257; https://nvd.nist.gov/vuln/detail/CVE-2026-0257</t>
  </si>
  <si>
    <t xml:space="preserve">CVE-2023-20198</t>
  </si>
  <si>
    <t xml:space="preserve">Cisco IOS XE web UI - privilege escalation to level 15 (implant campaign)</t>
  </si>
  <si>
    <t xml:space="preserve">A flaw in the web UI of IOS XE allows an unauthenticated attacker to create a local account with privilege 15; combined with CVE-2023-20273 (privesc to root), a Lua implant was placed on more than 40,000 devices in October 2023.</t>
  </si>
  <si>
    <t xml:space="preserve">Full control of routers/switches with exposed web UI; traffic manipulation and persistent network access.</t>
  </si>
  <si>
    <t xml:space="preserve">Check whether the HTTP(S) server is active (ip http server / secure-server) and from which networks it is reachable; check the IOS XE version and look for the implant (curl check from the Cisco advisory) and unknown level-15 users.</t>
  </si>
  <si>
    <t xml:space="preserve">Disable the web UI or restrict it via ACL to administrators; update IOS XE; remove unknown accounts and reboot (the implant is not persistent, the accounts are).</t>
  </si>
  <si>
    <t xml:space="preserve">Syslog messages about new users (%SYS-5-CONFIG_P), %WEBUI-6-INSTALL_OPERATION_INFO with unknown usernames.</t>
  </si>
  <si>
    <t xml:space="preserve">CWE-420</t>
  </si>
  <si>
    <t xml:space="preserve">Cisco IOS XE 16.x and 17.x with web UI enabled and exposed</t>
  </si>
  <si>
    <t xml:space="preserve">IOS XE 17.9.4a, 17.6.6a, 17.3.8a, 16.12.10a and others (October 2023)</t>
  </si>
  <si>
    <t xml:space="preserve">Yes - KEV since 2023-10-16</t>
  </si>
  <si>
    <t xml:space="preserve">KEV (2023-10-16); CVSS source: CNA; Related CVEs without their own row: CVE-2023-20273</t>
  </si>
  <si>
    <t xml:space="preserve">https://sec.cloudapps.cisco.com/security/center/content/CiscoSecurityAdvisory/cisco-sa-iosxe-webui-privesc-j22SaA4z; https://nvd.nist.gov/vuln/detail/CVE-2023-20198</t>
  </si>
  <si>
    <t xml:space="preserve">CVE-2025-20333</t>
  </si>
  <si>
    <t xml:space="preserve">Cisco ASA / FTD VPN web server - RCE chained with auth bypass CVE-2025-20362 (ArcaneDoor II)</t>
  </si>
  <si>
    <t xml:space="preserve">A buffer overflow in the VPN web server (CVE-2025-20333, authenticated) combined with an authorization bypass on VPN endpoints (CVE-2025-20362) gave unauthenticated root RCE on ASA/FTD; UAT4356/Storm-1849 has exploited this since May 2025 with ROM manipulation for persistence (CISA ED 25-03).</t>
  </si>
  <si>
    <t xml:space="preserve">Full compromise of the firewall/VPN concentrator, persistence that survives reboots and upgrades on older hardware.</t>
  </si>
  <si>
    <t xml:space="preserve">Check the ASA/FTD version and whether SSL VPN/WebVPN is externally active; run the Cisco core dump/forensic procedure on potentially affected devices (ED 25-03).</t>
  </si>
  <si>
    <t xml:space="preserve">Update in accordance with the Cisco advisory (September 2025), replace EOL hardware (ASA 5500-X without Secure Boot), investigate for compromise and rotate credentials/certificates.</t>
  </si>
  <si>
    <t xml:space="preserve">Unexpected reboots/crashes, disabled logging, and anomalous requests to WebVPN endpoints.</t>
  </si>
  <si>
    <t xml:space="preserve">T1190, T1133, T1542</t>
  </si>
  <si>
    <t xml:space="preserve">CWE-120, CWE-862</t>
  </si>
  <si>
    <t xml:space="preserve">Cisco Secure Firewall ASA 9.8 through 9.22 and FTD 6.2.3 through 7.7 (various builds) with VPN web services</t>
  </si>
  <si>
    <t xml:space="preserve">See cisco-sa-asaftd-webvpn-z5xP8EUB / -YROOTUW (25 September 2025)</t>
  </si>
  <si>
    <t xml:space="preserve">Yes - KEV since 2025-09-25</t>
  </si>
  <si>
    <t xml:space="preserve">Exploited in the wild (KEV 2025-09-25)</t>
  </si>
  <si>
    <t xml:space="preserve">AV-EXT-05, AV-NET-21</t>
  </si>
  <si>
    <t xml:space="preserve">KEV; CISA ED 25-03; CVSS source: CNA; Related CVEs without their own row: CVE-2025-20362</t>
  </si>
  <si>
    <t xml:space="preserve">https://sec.cloudapps.cisco.com/security/center/content/CiscoSecurityAdvisory/cisco-sa-asaftd-webvpn-z5xP8EUB; https://nvd.nist.gov/vuln/detail/CVE-2025-20333</t>
  </si>
  <si>
    <t xml:space="preserve">CVE-2026-20079</t>
  </si>
  <si>
    <t xml:space="preserve">Cisco Secure Firewall Management Center (FMC) - authentication bypass to root RCE (also CVE-2026-20131 Java deserialization)</t>
  </si>
  <si>
    <t xml:space="preserve">An improperly started system process in FMC allows an unauthenticated attacker to execute scripts via manipulated HTTP requests and become root (CVE-2026-20079); earlier in 2026, a pre-auth Java deserialization RCE (CVE-2026-20131) in the FMC web interface was also exploited.</t>
  </si>
  <si>
    <t xml:space="preserve">Takeover of the central firewall management server and thereby of all managed FTD firewalls (policy changes, traffic redirection).</t>
  </si>
  <si>
    <t xml:space="preserve">Check the FMC version against the Cisco advisories (March and September 2026) and whether the management interface is reachable from outside the management zone.</t>
  </si>
  <si>
    <t xml:space="preserve">Update FMC; management interface only from the management zone; investigate for compromise in case of prior exposure.</t>
  </si>
  <si>
    <t xml:space="preserve">Alert on new processes/accounts on FMC and on policy changes outside change windows.</t>
  </si>
  <si>
    <t xml:space="preserve">CWE-288, CWE-502</t>
  </si>
  <si>
    <t xml:space="preserve">Cisco Secure FMC 6.4.0.x, 7.0.x, 7.1.x, 7.2.x and others (see advisory)</t>
  </si>
  <si>
    <t xml:space="preserve">See cisco-sa-onprem-fmc-authbypass-5JPp45V2 and cisco-sa-fmc-rce-NKhnULJh (2026)</t>
  </si>
  <si>
    <t xml:space="preserve">Yes - KEV since 2026-09-09</t>
  </si>
  <si>
    <t xml:space="preserve">Exploited in the wild (KEV 2026-09-09; CVE-2026-20131 on 2026-03-19)</t>
  </si>
  <si>
    <t xml:space="preserve">KEV; CVSS source: CNA; Related CVEs without their own row: CVE-2026-20131</t>
  </si>
  <si>
    <t xml:space="preserve">https://sec.cloudapps.cisco.com/security/center/content/CiscoSecurityAdvisory/cisco-sa-onprem-fmc-authbypass-5JPp45V2; https://nvd.nist.gov/vuln/detail/CVE-2026-20079</t>
  </si>
  <si>
    <t xml:space="preserve">CVE-2026-20182</t>
  </si>
  <si>
    <t xml:space="preserve">Cisco Catalyst SD-WAN Controller/Manager/Validator - peering authentication bypass (also CVE-2026-20127)</t>
  </si>
  <si>
    <t xml:space="preserve">The peering authentication between SD-WAN components (vSmart/vManage/vBond) does not work correctly, allowing an unauthenticated attacker to log in as an internal highly privileged account and reconfigure the SD-WAN fabric via NETCONF; CVE-2026-20127 (February 2026) and the follow-up flaw CVE-2026-20182 (May 2026) have both been actively exploited.</t>
  </si>
  <si>
    <t xml:space="preserve">Full control of the WAN fabric: traffic redirection/interception of all branch sites and outages.</t>
  </si>
  <si>
    <t xml:space="preserve">Check the Catalyst SD-WAN versions against both Cisco advisories and whether control connection ports (DTLS/TLS 12346 and others) are reachable from the internet; use the 'show control connections' checks from the advisory.</t>
  </si>
  <si>
    <t xml:space="preserve">Update all SD-WAN controllers; restrict control plane ports to known peers; rotate certificates if compromise is suspected.</t>
  </si>
  <si>
    <t xml:space="preserve">Alert on new/unknown control connections and on configuration changes via NETCONF by internal accounts.</t>
  </si>
  <si>
    <t xml:space="preserve">T1190, T1557</t>
  </si>
  <si>
    <t xml:space="preserve">Cisco Catalyst SD-WAN Controller/Manager/Validator 17.x through 20.x (various builds, see advisory)</t>
  </si>
  <si>
    <t xml:space="preserve">See cisco-sa-sdwan-rpa-EHchtZk (February 2026) and cisco-sa-sdwan-rpa2-v69WY2SW (May 2026)</t>
  </si>
  <si>
    <t xml:space="preserve">Yes - KEV since 2026-05-14</t>
  </si>
  <si>
    <t xml:space="preserve">Exploited in the wild (KEV 2026-02-25 and 2026-05-14)</t>
  </si>
  <si>
    <t xml:space="preserve">KEV; CVSS source: CNA; Related CVEs without their own row: CVE-2026-20127</t>
  </si>
  <si>
    <t xml:space="preserve">https://sec.cloudapps.cisco.com/security/center/content/CiscoSecurityAdvisory/cisco-sa-sdwan-rpa2-v69WY2SW; https://sec.cloudapps.cisco.com/security/center/content/CiscoSecurityAdvisory/cisco-sa-sdwan-rpa-EHchtZk; https://nvd.nist.gov/vuln/detail/CVE-2026-20182</t>
  </si>
  <si>
    <t xml:space="preserve">CVE-2025-20393</t>
  </si>
  <si>
    <t xml:space="preserve">Cisco Secure Email Gateway / Email and Web Manager - unauthenticated remote command execution (Spam Quarantine)</t>
  </si>
  <si>
    <t xml:space="preserve">Insufficient validation of HTTP requests in the Spam Quarantine feature of AsyncOS allows an unauthenticated attacker to execute system commands as root; exploited as a zero-day in December 2025 (UAT-9686) with persistent malware on the appliances.</t>
  </si>
  <si>
    <t xml:space="preserve">Takeover of the mail gateway: reading/modifying email, credential theft and pivot to the internal network.</t>
  </si>
  <si>
    <t xml:space="preserve">Check whether Spam Quarantine is externally reachable and the AsyncOS version against the Cisco advisory; run the IoC checks published by Cisco.</t>
  </si>
  <si>
    <t xml:space="preserve">Update AsyncOS in accordance with the advisory; disable the external Spam Quarantine or restrict it to internal users; investigate for compromise.</t>
  </si>
  <si>
    <t xml:space="preserve">Alert on unexpected processes and files on the appliance and on configuration changes.</t>
  </si>
  <si>
    <t xml:space="preserve">Cisco Secure Email Gateway and Secure Email and Web Manager (AsyncOS 12.x through 15.x, see advisory) with Spam Quarantine enabled</t>
  </si>
  <si>
    <t xml:space="preserve">See cisco-sa-sma-attack-N9bf4 (December 2025)</t>
  </si>
  <si>
    <t xml:space="preserve">Yes - KEV since 2025-12-17</t>
  </si>
  <si>
    <t xml:space="preserve">Exploited in the wild (KEV 2025-12-17)</t>
  </si>
  <si>
    <t xml:space="preserve">AV-EXT-03, AV-EXT-02</t>
  </si>
  <si>
    <t xml:space="preserve">https://sec.cloudapps.cisco.com/security/center/content/CiscoSecurityAdvisory/cisco-sa-sma-attack-N9bf4; https://nvd.nist.gov/vuln/detail/CVE-2025-20393</t>
  </si>
  <si>
    <t xml:space="preserve">CVE-2024-24919</t>
  </si>
  <si>
    <t xml:space="preserve">Check Point Security Gateway - unauthenticated information disclosure (arbitrary file read)</t>
  </si>
  <si>
    <t xml:space="preserve">Gateways with Remote Access VPN or Mobile Access enabled allow arbitrary files to be read via a manipulated POST request (e.g. /etc/shadow, local users, SSH keys), with which attackers crack local accounts and extract AD credentials from the configuration.</t>
  </si>
  <si>
    <t xml:space="preserve">Credential theft and thereby VPN/network access; used by multiple actors since April 2024.</t>
  </si>
  <si>
    <t xml:space="preserve">Check whether IPsec VPN/Mobile Access blades are active and whether the hotfix is installed (sk182336); test with a non-destructive read of a harmless file within the RoE.</t>
  </si>
  <si>
    <t xml:space="preserve">Install the hotfix, remove local accounts with password-only authentication, rotate credentials (incl. LDAP account), MFA.</t>
  </si>
  <si>
    <t xml:space="preserve">Alert on POST requests to /clients/MyCRL with path sequences.</t>
  </si>
  <si>
    <t xml:space="preserve">T1190, T1552, T1133</t>
  </si>
  <si>
    <t xml:space="preserve">CWE-200, CWE-22</t>
  </si>
  <si>
    <t xml:space="preserve">CVSS:3.1/AV:N/AC:L/PR:N/UI:N/S:C/C:H/I:N/A:N</t>
  </si>
  <si>
    <t xml:space="preserve">Check Point Quantum Security Gateway and CloudGuard Network R81.20, R81.10, R81, R80.40; Quantum Spark R81.10.x, R80.20.x (with Remote Access VPN / Mobile Access)</t>
  </si>
  <si>
    <t xml:space="preserve">Hotfix sk182336 (28 May 2024)</t>
  </si>
  <si>
    <t xml:space="preserve">Yes - KEV since 2024-05-30</t>
  </si>
  <si>
    <t xml:space="preserve">KEV (2024-05-30); CVSS source: CNA</t>
  </si>
  <si>
    <t xml:space="preserve">https://support.checkpoint.com/results/sk/sk182336; https://nvd.nist.gov/vuln/detail/CVE-2024-24919</t>
  </si>
  <si>
    <t xml:space="preserve">CVE-2026-85102</t>
  </si>
  <si>
    <t xml:space="preserve">Check Point Quantum Security Gateway - improper certificate validation in VPN negotiation (pre-auth RCE; also CVE-2026-50751 IKEv1 auth bypass)</t>
  </si>
  <si>
    <t xml:space="preserve">Improper validation of certificate trust during the VPN negotiation allows an unauthenticated attacker to execute code on the gateway (CVE-2026-85102, September 2026); earlier in 2026, a logic flaw in the IKEv1 certificate validation (CVE-2026-50751) allowed remote access VPN connections without a password.</t>
  </si>
  <si>
    <t xml:space="preserve">Takeover of the firewall/VPN gateway and unauthorized VPN access to the internal network.</t>
  </si>
  <si>
    <t xml:space="preserve">Check the Jumbo Hotfix Take (R82.10 &gt; Take 43, R82 &gt; Take 125, R81.20 &gt; Take 165 for 85102) and whether IKEv1 is still allowed for remote access; check VPN logs for connections without user authentication.</t>
  </si>
  <si>
    <t xml:space="preserve">Install the Jumbo Hotfixes (sk1000117, sk185033), disable IKEv1 for remote access, enforce certificate and MFA authentication.</t>
  </si>
  <si>
    <t xml:space="preserve">Alert on VPN connections with anomalous certificate chains and on gateway crashes/restarts.</t>
  </si>
  <si>
    <t xml:space="preserve">CWE-295, CWE-287</t>
  </si>
  <si>
    <t xml:space="preserve">Quantum Security Gateway R82.10 (JHF &lt;= 43), R82 (JHF &lt;= 125), R81.20 (JHF &lt;= 165); for CVE-2026-50751 also R81.10/R81/R80.40 and Spark appliances</t>
  </si>
  <si>
    <t xml:space="preserve">Jumbo Hotfixes per sk1000117 (September 2026) and sk185033 (June 2026)</t>
  </si>
  <si>
    <t xml:space="preserve">Yes - KEV since 2026-09-22</t>
  </si>
  <si>
    <t xml:space="preserve">Exploited in the wild (KEV 2026-09-22; CVE-2026-50751 on 2026-06-08)</t>
  </si>
  <si>
    <t xml:space="preserve">CVE-2024-24919, AV-EXT-05</t>
  </si>
  <si>
    <t xml:space="preserve">KEV; CVSS source: CNA; Related CVEs without their own row: CVE-2026-50751</t>
  </si>
  <si>
    <t xml:space="preserve">https://support.checkpoint.com/results/sk/sk1000117; https://nvd.nist.gov/vuln/detail/CVE-2026-85102</t>
  </si>
  <si>
    <t xml:space="preserve">CVE-2024-40766</t>
  </si>
  <si>
    <t xml:space="preserve">SonicWall SonicOS - improper access control on management/SSLVPN (Akira ransomware)</t>
  </si>
  <si>
    <t xml:space="preserve">An access control flaw in SonicOS (Gen 5/6/7) gives unauthorized access to resources via the management and SSLVPN interfaces and can cause the firewall to crash; used by Akira for initial access since September 2024, especially against local SSLVPN accounts without MFA. CVE-2024-53704 (SSLVPN authentication bypass) followed later.</t>
  </si>
  <si>
    <t xml:space="preserve">Unauthorized VPN/management access and ransomware initial access.</t>
  </si>
  <si>
    <t xml:space="preserve">Check the SonicOS version (7.0.1-5035 or older vulnerable), whether management/SSLVPN are open on the WAN and whether local users have MFA; check the CVE-2024-53704 patch level (7.1.3-7015 / 8.0.0-8037).</t>
  </si>
  <si>
    <t xml:space="preserve">Update SonicOS, restrict management and SSLVPN to trusted sources, reset passwords of local users and enforce MFA, remove unused accounts.</t>
  </si>
  <si>
    <t xml:space="preserve">Alert on SSLVPN logins by local accounts from new locations and on firewall crashes.</t>
  </si>
  <si>
    <t xml:space="preserve">CVSS:3.1/AV:N/AC:L/PR:N/UI:N/S:C/C:H/I:N/A:L</t>
  </si>
  <si>
    <t xml:space="preserve">SonicOS Gen 5 (5.9.2.14-12o and older), Gen 6 (6.5.4.14-109n and older), Gen 7 (7.0.1-5035 and older)</t>
  </si>
  <si>
    <t xml:space="preserve">5.9.2.14-13o / 6.5.4.15.116n / 7.0.1-5072 (August 2024)</t>
  </si>
  <si>
    <t xml:space="preserve">Yes - KEV since 2024-09-09</t>
  </si>
  <si>
    <t xml:space="preserve">Exploited in the wild (ransomware); PoC for 53704 public</t>
  </si>
  <si>
    <t xml:space="preserve">KEV (2024-09-09); CVSS source: ADP CISA-ADP; Related CVEs without their own row: CVE-2024-53704</t>
  </si>
  <si>
    <t xml:space="preserve">https://psirt.global.sonicwall.com/vuln-detail/SNWLID-2024-0015; https://nvd.nist.gov/vuln/detail/CVE-2024-40766</t>
  </si>
  <si>
    <t xml:space="preserve">CVE-2026-83548</t>
  </si>
  <si>
    <t xml:space="preserve">SonicWall SMA1000 Work Place - pre-authentication SSRF (zero-day; also CVE-2025-23006 deserialization RCE)</t>
  </si>
  <si>
    <t xml:space="preserve">An unintended alternative access path in the Work Place interface of SMA1000 allows an unauthenticated attacker to make server-side requests to internal functions and perform unauthorized actions (September 2026); in 2025 the same product line was already affected by a pre-auth deserialization RCE in the AMC/CMC (CVE-2025-23006) and an SSRF/code injection chain (CVE-2026-15409/15410).</t>
  </si>
  <si>
    <t xml:space="preserve">Takeover of the secure access appliance and access to the internal network/credentials of VPN users.</t>
  </si>
  <si>
    <t xml:space="preserve">Check the SMA1000 firmware (12.4.3-03453/12.5.0-02835 platform hotfix and older vulnerable to 83548) and whether Work Place/AMC are externally reachable; run IoC checks.</t>
  </si>
  <si>
    <t xml:space="preserve">Install the platform hotfixes in accordance with SNWLID-2026-0016 (and earlier advisories), restrict AMC/CMC to the management zone, rotate credentials.</t>
  </si>
  <si>
    <t xml:space="preserve">Alert on internal requests originating from the Work Place component and on unexpected administrative actions.</t>
  </si>
  <si>
    <t xml:space="preserve">CWE-918, CWE-441</t>
  </si>
  <si>
    <t xml:space="preserve">SMA1000 12.4.3-03453 (platform hotfix) and older; 12.5.0-02835 (platform hotfix) and older</t>
  </si>
  <si>
    <t xml:space="preserve">See SNWLID-2026-0016 (September 2026)</t>
  </si>
  <si>
    <t xml:space="preserve">Yes - KEV since 2026-09-02</t>
  </si>
  <si>
    <t xml:space="preserve">Exploited in the wild (KEV 2026-09-02)</t>
  </si>
  <si>
    <t xml:space="preserve">KEV; CVSS source: ADP CISA-ADP; Related CVEs without their own row: CVE-2025-23006</t>
  </si>
  <si>
    <t xml:space="preserve">https://psirt.global.sonicwall.com/vuln-detail/SNWLID-2026-0016; https://nvd.nist.gov/vuln/detail/CVE-2026-83548</t>
  </si>
  <si>
    <t xml:space="preserve">CVE-2022-1388</t>
  </si>
  <si>
    <t xml:space="preserve">F5 BIG-IP iControl REST - authentication bypass to RCE</t>
  </si>
  <si>
    <t xml:space="preserve">By sending the headers Connection: X-F5-Auth-Token and an arbitrary X-F5-Auth-Token along with basic auth for 'admin', an attacker bypasses the authentication of iControl REST and can execute commands as root via /mgmt/tm/util/bash.</t>
  </si>
  <si>
    <t xml:space="preserve">Full takeover of the load balancer/WAF; interception of traffic of all backend applications.</t>
  </si>
  <si>
    <t xml:space="preserve">Check the BIG-IP version and whether the management interface/self IPs with iControl REST are reachable; perform a non-destructive read call as PoC within the RoE.</t>
  </si>
  <si>
    <t xml:space="preserve">Update to 17.0.0 / 16.1.2.2 / 15.1.5.1 / 14.1.4.6 / 13.1.5; management only via management VLAN; block iControl REST on self IPs (Allow None).</t>
  </si>
  <si>
    <t xml:space="preserve">Alert on requests to /mgmt/tm/util/bash and on X-F5-Auth-Token in Connection headers.</t>
  </si>
  <si>
    <t xml:space="preserve">BIG-IP 16.1.x &lt; 16.1.2.2, 15.1.x &lt; 15.1.5.1, 14.1.x &lt; 14.1.4.6, 13.1.x &lt; 13.1.5, all 12.1.x and 11.6.x (EoTS)</t>
  </si>
  <si>
    <t xml:space="preserve">17.0.0 / 16.1.2.2 / 15.1.5.1 / 14.1.4.6 / 13.1.5 (May 2022)</t>
  </si>
  <si>
    <t xml:space="preserve">Yes - KEV since 2022-05-10</t>
  </si>
  <si>
    <t xml:space="preserve">CVE-2020-5902, AV-NET-12, AV-EXT-02</t>
  </si>
  <si>
    <t xml:space="preserve">KEV (2022-05-10); CVSS source: CNA</t>
  </si>
  <si>
    <t xml:space="preserve">https://support.f5.com/csp/article/K23605346; http://packetstormsecurity.com/files/167007/F5-BIG-IP-Remote-Code-Execution.html; https://nvd.nist.gov/vuln/detail/CVE-2022-1388</t>
  </si>
  <si>
    <t xml:space="preserve">CVE-2020-5902</t>
  </si>
  <si>
    <t xml:space="preserve">F5 BIG-IP TMUI - directory traversal to RCE</t>
  </si>
  <si>
    <t xml:space="preserve">A path traversal (/tmui/login.jsp/..;/tmui/locallb/workspace/fileRead.jsp) in the Traffic Management User Interface gave unauthenticated access to files and JSP functions with which commands could be executed as root; mass exploited within days (July 2020).</t>
  </si>
  <si>
    <t xml:space="preserve">Full takeover of the BIG-IP and backend applications/credentials.</t>
  </si>
  <si>
    <t xml:space="preserve">Check the version and whether TMUI (443 on management/self IP) is reachable; test the traversal path with a non-destructive read within the RoE.</t>
  </si>
  <si>
    <t xml:space="preserve">Update (15.1.0.4 / 14.1.2.6 / 13.1.3.4 / 12.1.5.2 / 11.6.5.2), restrict TMUI to the management VLAN, apply the LocationMatch mitigation.</t>
  </si>
  <si>
    <t xml:space="preserve">Alert on requests with ..;/ in the path to /tmui/.</t>
  </si>
  <si>
    <t xml:space="preserve">BIG-IP 15.0.0-15.1.0.3, 14.1.0-14.1.2.5, 13.1.0-13.1.3.3, 12.1.0-12.1.5.1, 11.6.1-11.6.5.1</t>
  </si>
  <si>
    <t xml:space="preserve">15.1.0.4 / 14.1.2.6 / 13.1.3.4 / 12.1.5.2 / 11.6.5.2 (July 2020)</t>
  </si>
  <si>
    <t xml:space="preserve">CVE-2022-1388, AV-EXT-02</t>
  </si>
  <si>
    <t xml:space="preserve">https://support.f5.com/csp/article/K52145254; http://packetstormsecurity.com/files/158333/BIG-IP-TMUI-Remote-Code-Execution.html; https://nvd.nist.gov/vuln/detail/CVE-2020-5902</t>
  </si>
  <si>
    <t xml:space="preserve">CVE-2026-94127</t>
  </si>
  <si>
    <t xml:space="preserve">F5 BIG-IP APM OAuth - unauthenticated RCE in TMM (also CVE-2025-53521 APM RCE)</t>
  </si>
  <si>
    <t xml:space="preserve">A heap overflow in the APM OAuth handling of BIG-IP (configured as OAuth Authorization Server) allows an unauthenticated attacker to execute code in the TMM data plane; earlier (CVE-2025-53521, KEV March 2026) this applied to APM access policies in general. Both follow the F5 source code theft of 2025.</t>
  </si>
  <si>
    <t xml:space="preserve">Takeover of the BIG-IP via the data plane (also in Appliance mode) and thereby of all traffic to backend applications.</t>
  </si>
  <si>
    <t xml:space="preserve">Check the BIG-IP version/hotfix against K000162605 (and K000156741) and whether APM with OAuth authorization server profiles is configured on external virtual servers.</t>
  </si>
  <si>
    <t xml:space="preserve">Install the engineering hotfixes/updates; evaluate the use of APM as OAuth server; monitor F5 advisories following the source code theft (October 2025).</t>
  </si>
  <si>
    <t xml:space="preserve">Alert on TMM crashes/core dumps and on unexpected processes on the BIG-IP.</t>
  </si>
  <si>
    <t xml:space="preserve">CWE-122</t>
  </si>
  <si>
    <t xml:space="preserve">BIG-IP 21.1.0, 17.5.x, 17.1.x with APM OAuth Authorization Server (CVE-2026-94127); BIG-IP 15.1-17.5 with APM access policy (CVE-2025-53521)</t>
  </si>
  <si>
    <t xml:space="preserve">See K000162605 (September 2026) and K000156741</t>
  </si>
  <si>
    <t xml:space="preserve">Exploited in the wild (KEV 2026-09-22; CVE-2025-53521 on 2026-03-27)</t>
  </si>
  <si>
    <t xml:space="preserve">KEV; CVSS source: CNA; Related CVEs without their own row: CVE-2025-53521</t>
  </si>
  <si>
    <t xml:space="preserve">https://my.f5.com/manage/s/article/K000162605; https://nvd.nist.gov/vuln/detail/CVE-2026-94127</t>
  </si>
  <si>
    <t xml:space="preserve">CVE-2025-9242</t>
  </si>
  <si>
    <t xml:space="preserve">WatchGuard Fireware OS iked - out-of-bounds write pre-auth RCE (IKEv2)</t>
  </si>
  <si>
    <t xml:space="preserve">An out-of-bounds write in the iked process of Fireware OS lets an unauthenticated attacker execute code on Firebox firewalls with mobile user VPN (IKEv2) or branch office VPN to a dynamic peer; devices where that configuration was later removed can also remain vulnerable. Actively exploited since November 2025.</t>
  </si>
  <si>
    <t xml:space="preserve">Takeover of the firewall/VPN gateway, widely used among Dutch SMEs.</t>
  </si>
  <si>
    <t xml:space="preserve">Check the Fireware version (12.11.4 / 2025.1.1 / 12.5.13 / 12.3.1 or higher) and whether IKEv2 VPN (UDP 500/4500) is active on WAN.</t>
  </si>
  <si>
    <t xml:space="preserve">Update Fireware OS; as a workaround, disable IKEv2 VPN or restrict it to known peers; rotate VPN credentials.</t>
  </si>
  <si>
    <t xml:space="preserve">Alert on iked crashes/restarts and on unexpected configuration changes.</t>
  </si>
  <si>
    <t xml:space="preserve">CVSS:4.0/AV:N/AC:L/AT:N/PR:N/UI:N/VC:H/VI:H/VA:H/SC:N/SI:N/SA:N</t>
  </si>
  <si>
    <t xml:space="preserve">Fireware OS 11.10.2 through 11.12.4_Update1, 12.0 through 12.11.3, 2025.1 (and 12.3.1/12.5.x T-series)</t>
  </si>
  <si>
    <t xml:space="preserve">12.11.4 / 2025.1.1 / 12.5.13 / 12.3.1_Update3 (September 2025)</t>
  </si>
  <si>
    <t xml:space="preserve">Yes - KEV since 2025-11-12</t>
  </si>
  <si>
    <t xml:space="preserve">Exploited in the wild (KEV 2025-11-12); public analysis</t>
  </si>
  <si>
    <t xml:space="preserve">KEV; see also CVE-2025-14733 (December 2025); CVSS source: CNA</t>
  </si>
  <si>
    <t xml:space="preserve">https://psirt.watchguard.com/CVE-2025-9242; https://www.watchguard.com/wgrd-psirt/advisory/wgsa-2025-00015; https://nvd.nist.gov/vuln/detail/CVE-2025-9242</t>
  </si>
  <si>
    <t xml:space="preserve">CVE-2021-26855</t>
  </si>
  <si>
    <t xml:space="preserve">Microsoft Exchange Server - SSRF to RCE chain (ProxyLogon, with CVE-2021-27065)</t>
  </si>
  <si>
    <t xml:space="preserve">A pre-auth SSRF in the Exchange frontend (X-BEResource cookie) lets an attacker authenticate as the Exchange server to the backend; combined with CVE-2021-27065 (arbitrary file write) this results in RCE as SYSTEM. Exploited by Hafnium in March 2021 and mass exploited thereafter (webshells).</t>
  </si>
  <si>
    <t xml:space="preserve">Full compromise of on-premises Exchange (often with high AD privileges) and mailboxes.</t>
  </si>
  <si>
    <t xml:space="preserve">Check the Exchange build against the March 2021 SU and look for webshells/IoCs (Microsoft Test-ProxyLogon.ps1); test SSRF only non-destructively within the RoE.</t>
  </si>
  <si>
    <t xml:space="preserve">Install the security updates (March 2021) or CUs, run the Microsoft IoC scan, rotate credentials; consider Exchange Online.</t>
  </si>
  <si>
    <t xml:space="preserve">IIS logs with X-BEResource cookies and requests to /ecp/ with SSRF patterns; new .aspx files in the Exchange webroot.</t>
  </si>
  <si>
    <t xml:space="preserve">CVSS:3.1/AV:N/AC:L/PR:N/UI:N/S:U/C:H/I:H/A:N</t>
  </si>
  <si>
    <t xml:space="preserve">Exchange Server 2013 (CU21-23), 2016 (CU10-19), 2019 (CU1-8) without the SU of 2 March 2021</t>
  </si>
  <si>
    <t xml:space="preserve">Security updates of 2 March 2021 (KB5000871)</t>
  </si>
  <si>
    <t xml:space="preserve">CVE-2021-34473, CVE-2022-41040, AV-WEB-07</t>
  </si>
  <si>
    <t xml:space="preserve">https://msrc.microsoft.com/update-guide/vulnerability/CVE-2021-26855; https://nvd.nist.gov/vuln/detail/CVE-2021-26855</t>
  </si>
  <si>
    <t xml:space="preserve">CVE-2021-34473</t>
  </si>
  <si>
    <t xml:space="preserve">Microsoft Exchange Server - pre-auth path confusion to RCE (ProxyShell, with CVE-2021-34523/31207)</t>
  </si>
  <si>
    <t xml:space="preserve">Path confusion in the Autodiscover frontend (/autodiscover/autodiscover.json?@foo.com/...) gives unauthenticated access to backend endpoints; with CVE-2021-34523 (PowerShell privilege escalation) and CVE-2021-31207 (export of a mailbox with webshell) this results in RCE as SYSTEM. Mass exploited from August 2021 onward (ransomware).</t>
  </si>
  <si>
    <t xml:space="preserve">Full compromise of Exchange and mailboxes; webshells as persistence.</t>
  </si>
  <si>
    <t xml:space="preserve">Check the Exchange build (April/May 2021 SU or higher) and test the Autodiscover path confusion pattern non-destructively (401 vs 200/302) within the RoE.</t>
  </si>
  <si>
    <t xml:space="preserve">Install the SUs of April/May 2021 (or later), scan for webshells, rotate credentials.</t>
  </si>
  <si>
    <t xml:space="preserve">IIS logs with /autodiscover/autodiscover.json?@ and requests to /mapi/nspi or /PowerShell with Email parameter.</t>
  </si>
  <si>
    <t xml:space="preserve">Exchange Server 2013 CU23, 2016 CU19/20, 2019 CU8/9 without the SU of April 2021 (KB5001779) / May 2021</t>
  </si>
  <si>
    <t xml:space="preserve">SU April 2021 (KB5001779) and May 2021 (KB5003435)</t>
  </si>
  <si>
    <t xml:space="preserve">CVE-2021-26855, CVE-2022-41040</t>
  </si>
  <si>
    <t xml:space="preserve">https://msrc.microsoft.com/update-guide/vulnerability/CVE-2021-34473; https://nvd.nist.gov/vuln/detail/CVE-2021-34473</t>
  </si>
  <si>
    <t xml:space="preserve">CVE-2022-41040</t>
  </si>
  <si>
    <t xml:space="preserve">Microsoft Exchange Server - SSRF privilege escalation chained with CVE-2022-41082 RCE (ProxyNotShell)</t>
  </si>
  <si>
    <t xml:space="preserve">An authenticated SSRF in the Autodiscover frontend (CVE-2022-41040) gave access to the PowerShell backend, where CVE-2022-41082 yielded RCE via deserialization; exploited as a zero-day in August-September 2022 and later supplemented with the OWASSRF variant (CVE-2022-41080).</t>
  </si>
  <si>
    <t xml:space="preserve">RCE as SYSTEM on Exchange with a valid user account (e.g. from phishing or spraying).</t>
  </si>
  <si>
    <t xml:space="preserve">Check the Exchange build (November 2022 SU or higher) and whether the URL rewrite mitigation has been applied; test only non-destructively.</t>
  </si>
  <si>
    <t xml:space="preserve">Install the SU of November 2022 (or later) and the URL Rewrite rule; disable remote PowerShell for non-administrators.</t>
  </si>
  <si>
    <t xml:space="preserve">IIS logs with autodiscover.json?@ followed by /powershell; Exchange logs with anomalous PowerShell sessions.</t>
  </si>
  <si>
    <t xml:space="preserve">CWE-918, CWE-502</t>
  </si>
  <si>
    <t xml:space="preserve">Exchange Server 2013 CU23, 2016 CU22/23, 2019 CU11/12 without the SU of 8 November 2022</t>
  </si>
  <si>
    <t xml:space="preserve">SU November 2022 (KB5019758)</t>
  </si>
  <si>
    <t xml:space="preserve">Yes - KEV since 2022-09-30</t>
  </si>
  <si>
    <t xml:space="preserve">KEV (2022-09-30); CVSS source: CNA; Related CVEs without their own row: CVE-2022-41082</t>
  </si>
  <si>
    <t xml:space="preserve">https://msrc.microsoft.com/update-guide/vulnerability/CVE-2022-41040; https://nvd.nist.gov/vuln/detail/CVE-2022-41040</t>
  </si>
  <si>
    <t xml:space="preserve">CVE-2025-53770</t>
  </si>
  <si>
    <t xml:space="preserve">Microsoft SharePoint Server (on-prem) - unauthenticated deserialization RCE (ToolShell; with CVE-2025-53771, 49704, 49706)</t>
  </si>
  <si>
    <t xml:space="preserve">A deserialization flaw in on-premises SharePoint (patch bypass of CVE-2025-49704/49706 from Pwn2Own) allows unauthenticated code execution via /_layouts/15/ToolPane.aspx; attackers stole the ASP.NET MachineKeys to sign persistent, valid payloads. Exploited worldwide from 18 July 2025 onward (including Storm-2603 with Warlock ransomware; NCSC-NL warning).</t>
  </si>
  <si>
    <t xml:space="preserve">Full compromise of SharePoint farms, theft of MachineKeys and credentials, pivot to AD; MachineKey rotation required.</t>
  </si>
  <si>
    <t xml:space="preserve">Check the SharePoint build (2016 &gt;= 16.0.5513.1001, 2019 &gt;= 16.0.10417.20037, SE &gt;= 16.0.18526.20508), look for spinstall0.aspx and other IoCs, and check whether the MachineKeys were rotated after patching.</t>
  </si>
  <si>
    <t xml:space="preserve">Install the updates of July 2025, rotate ASP.NET MachineKeys (Update-SPMachineKey) and restart IIS, enable AMSI integration in Full Mode, investigate for compromise, consider migration to SharePoint Online.</t>
  </si>
  <si>
    <t xml:space="preserve">IIS logs with POST to /_layouts/15/ToolPane.aspx?DisplayMode=Edit with Referer /SignOut.aspx; new .aspx files in LAYOUTS; w3wp.exe starting cmd/powershell.</t>
  </si>
  <si>
    <t xml:space="preserve">T1190, T1505.003, T1552</t>
  </si>
  <si>
    <t xml:space="preserve">SharePoint Enterprise Server 2016 &lt; 16.0.5513.1001, SharePoint Server 2019 &lt; 16.0.10417.20037, Subscription Edition &lt; 16.0.18526.20508 (on-prem; SharePoint Online not affected)</t>
  </si>
  <si>
    <t xml:space="preserve">Updates of 19-21 July 2025 (KB5002768, KB5002754, KB5002760) + MachineKey rotation</t>
  </si>
  <si>
    <t xml:space="preserve">Yes - KEV since 2025-07-20</t>
  </si>
  <si>
    <t xml:space="preserve">CVE-2026-58644</t>
  </si>
  <si>
    <t xml:space="preserve">KEV (2025-07-20); CVSS source: CNA; Related CVEs without their own row: CVE-2025-53771, CVE-2025-49704, CVE-2025-49706</t>
  </si>
  <si>
    <t xml:space="preserve">https://msrc.microsoft.com/update-guide/vulnerability/CVE-2025-53770; https://nvd.nist.gov/vuln/detail/CVE-2025-53770</t>
  </si>
  <si>
    <t xml:space="preserve">Microsoft SharePoint Server (on-prem) - unauthenticated deserialization RCE 2026 (also CVE-2026-20963, 50522, 55040)</t>
  </si>
  <si>
    <t xml:space="preserve">On-premises SharePoint servers remained a target in 2026 as well: multiple deserialization RCEs (CVE-2026-20963 March, CVE-2026-50522 and CVE-2026-58644 July) and a JWT/security feature bypass (CVE-2026-55040, August) were exploited in the wild and added to KEV.</t>
  </si>
  <si>
    <t xml:space="preserve">Full compromise of the SharePoint farm and pivot to AD, comparable to ToolShell.</t>
  </si>
  <si>
    <t xml:space="preserve">Check the SharePoint build against the July/August 2026 updates (2016 &gt;= 16.0.5561.1001, 2019 &gt;= 16.0.10417.20175, SE &gt;= 16.0.19725.20434), check AMSI Full Mode and look for webshells.</t>
  </si>
  <si>
    <t xml:space="preserve">Install the latest SharePoint updates, rotate MachineKeys in case of IoCs, limit external exposure (VPN/ZTNA or migration to SharePoint Online).</t>
  </si>
  <si>
    <t xml:space="preserve">w3wp.exe with child processes, new .aspx in LAYOUTS, anomalous POST requests to _layouts endpoints.</t>
  </si>
  <si>
    <t xml:space="preserve">SharePoint Enterprise Server 2016 &lt; 16.0.5561.1001, SharePoint Server 2019 &lt; 16.0.10417.20175, Subscription Edition &lt; 16.0.19725.20434</t>
  </si>
  <si>
    <t xml:space="preserve">Updates of July and August 2026</t>
  </si>
  <si>
    <t xml:space="preserve">Yes - KEV since 2026-07-16</t>
  </si>
  <si>
    <t xml:space="preserve">Exploited in the wild (KEV 2026-07-16 and others)</t>
  </si>
  <si>
    <t xml:space="preserve">KEV; CVSS source: CNA; Related CVEs without their own row: CVE-2026-20963, CVE-2026-50522, CVE-2026-55040</t>
  </si>
  <si>
    <t xml:space="preserve">https://msrc.microsoft.com/update-guide/vulnerability/CVE-2026-58644; https://nvd.nist.gov/vuln/detail/CVE-2026-58644</t>
  </si>
  <si>
    <t xml:space="preserve">CVE-2024-1709</t>
  </si>
  <si>
    <t xml:space="preserve">ConnectWise ScreenConnect - authentication bypass (SlashAndGrab; also CVE-2026-84869)</t>
  </si>
  <si>
    <t xml:space="preserve">By calling /SetupWizard.aspx/ with an extra slash, an unauthenticated attacker could run through the setup wizard again and create a new admin; with CVE-2024-1708 (path traversal) RCE followed. Mass exploited by ransomware groups within days. In September 2026, CVE-2026-84869 (guest-to-host file transfer and execution via the client) was also actively exploited.</t>
  </si>
  <si>
    <t xml:space="preserve">Takeover of the remote support server and thereby of all managed endpoints (ransomware via RMM).</t>
  </si>
  <si>
    <t xml:space="preserve">Check the ScreenConnect version (23.9.8 or higher; for 2026 &gt;= 26.6.5) and whether the server/web interface is externally reachable; check for unknown admin users and extensions.</t>
  </si>
  <si>
    <t xml:space="preserve">Update ScreenConnect (on-prem), restrict access to the web interface, MFA for all users, audit of users/extensions.</t>
  </si>
  <si>
    <t xml:space="preserve">Alert on requests to /SetupWizard.aspx/ after installation and on creation of admin accounts/extensions.</t>
  </si>
  <si>
    <t xml:space="preserve">T1190, T1219, T1136</t>
  </si>
  <si>
    <t xml:space="preserve">ScreenConnect 23.9.7 and earlier (CVE-2024-1709); ScreenConnect &lt; 26.6.5 (CVE-2026-84869)</t>
  </si>
  <si>
    <t xml:space="preserve">23.9.8 (February 2024); 26.6.5 (September 2026)</t>
  </si>
  <si>
    <t xml:space="preserve">Yes - KEV since 2024-02-22</t>
  </si>
  <si>
    <t xml:space="preserve">KEV (2024-02-22; 2026-09-11); CVSS source: CNA; Related CVEs without their own row: CVE-2026-84869, CVE-2024-1708</t>
  </si>
  <si>
    <t xml:space="preserve">https://www.connectwise.com/company/trust/security-bulletins/connectwise-screenconnect-23.9.8; https://www.huntress.com/blog/vulnerability-reproduced-immediately-patch-screenconnect-23-9-8; https://nvd.nist.gov/vuln/detail/CVE-2024-1709</t>
  </si>
  <si>
    <t xml:space="preserve">CVE-2026-86218</t>
  </si>
  <si>
    <t xml:space="preserve">N-able N-central - pre-authentication RCE (static code injection; also CVE-2025-8875/8876, CVE-2026-18556/18577)</t>
  </si>
  <si>
    <t xml:space="preserve">N-central (RMM, widely used by MSPs) contains a pre-auth code injection that allows unauthenticated RCE on the server (September 2026); in 2025-2026 it was preceded by a deserialization/command injection pair (CVE-2025-8875/8876) and authentication bypasses (CVE-2026-18556/18577), all exploited in the wild.</t>
  </si>
  <si>
    <t xml:space="preserve">Compromise of the MSP management server and, via the agents, of all customer environments (supply chain ransomware).</t>
  </si>
  <si>
    <t xml:space="preserve">Check the N-central version (2026.3.1.14 or higher) and external exposure of the web interface; check for unknown users/scripts and agent tasks.</t>
  </si>
  <si>
    <t xml:space="preserve">Update N-central immediately upon each advisory, restrict the web interface to known IPs/VPN, mandatory MFA, monitoring of scripts executed via agents.</t>
  </si>
  <si>
    <t xml:space="preserve">Alert on new automated tasks/scripts to many endpoints and on admin logins from unknown addresses.</t>
  </si>
  <si>
    <t xml:space="preserve">CWE-96</t>
  </si>
  <si>
    <t xml:space="preserve">CVSS:4.0/AV:N/AC:L/AT:N/PR:N/UI:N/VC:H/VI:H/VA:H/SC:H/SI:H/SA:H</t>
  </si>
  <si>
    <t xml:space="preserve">N-central &lt; 2026.3.1.14 (CVE-2026-86218); &lt; 2025.3.1 (CVE-2025-8875/8876); see advisories for 18556/18577</t>
  </si>
  <si>
    <t xml:space="preserve">2026.3.1.14 (September 2026)</t>
  </si>
  <si>
    <t xml:space="preserve">Yes - KEV since 2026-09-08</t>
  </si>
  <si>
    <t xml:space="preserve">Exploited in the wild (KEV 2026-09-08)</t>
  </si>
  <si>
    <t xml:space="preserve">CVE-2024-1709, AV-CLD-14</t>
  </si>
  <si>
    <t xml:space="preserve">KEV; CVSS source: CNA; Related CVEs without their own row: CVE-2025-8875, CVE-2026-18556</t>
  </si>
  <si>
    <t xml:space="preserve">https://me.n-able.com/s/security-advisory/aArVy0000002Ld3KAE/cve202686218-preauthentication-remote-code-execution; https://nvd.nist.gov/vuln/detail/CVE-2026-86218</t>
  </si>
  <si>
    <t xml:space="preserve">CVE-2026-1731</t>
  </si>
  <si>
    <t xml:space="preserve">BeyondTrust Remote Support / Privileged Remote Access - pre-authentication OS command injection</t>
  </si>
  <si>
    <t xml:space="preserve">Manipulated requests to BeyondTrust RS (and older PRA versions) let an unauthenticated attacker execute OS commands as the site user; added to KEV in February 2026 (earlier, in December 2024, CVE-2024-12356 affected the same products and led to the compromise of the US Treasury via an API key).</t>
  </si>
  <si>
    <t xml:space="preserve">Takeover of the remote support/PAM appliance and thereby of sessions to critical systems and stored credentials.</t>
  </si>
  <si>
    <t xml:space="preserve">Check the RS version (&gt; 25.3.1) and PRA version (&gt; 24.3.4) and whether the appliance is self-hosted and externally reachable; SaaS instances have been patched by BeyondTrust.</t>
  </si>
  <si>
    <t xml:space="preserve">Install the BeyondTrust patch (BT26-02), restrict access to the appliance, rotate API keys and credentials, check session logs.</t>
  </si>
  <si>
    <t xml:space="preserve">Alert on unexpected processes under the appliance's web server and on new representatives/API accounts.</t>
  </si>
  <si>
    <t xml:space="preserve">T1190, T1219</t>
  </si>
  <si>
    <t xml:space="preserve">CVSS:4.0/AV:N/AC:L/AT:N/PR:N/UI:N/VC:H/VI:H/VA:H/SC:L/SI:H/SA:L</t>
  </si>
  <si>
    <t xml:space="preserve">BeyondTrust Remote Support &lt;= 25.3.1 and Privileged Remote Access &lt;= 24.3.4 (self-hosted)</t>
  </si>
  <si>
    <t xml:space="preserve">See BT26-02 (February 2026)</t>
  </si>
  <si>
    <t xml:space="preserve">Yes - KEV since 2026-02-13</t>
  </si>
  <si>
    <t xml:space="preserve">Exploited in the wild (KEV 2026-02-13)</t>
  </si>
  <si>
    <t xml:space="preserve">KEV; CVSS source: CNA; Related CVEs without their own row: CVE-2024-12356</t>
  </si>
  <si>
    <t xml:space="preserve">https://beyondtrustcorp.service-now.com/csm?id=csm_kb_article&amp;sysparm_article=KB0023293; https://www.beyondtrust.com/trust-center/security-advisories/bt26-02; https://nvd.nist.gov/vuln/detail/CVE-2026-1731</t>
  </si>
  <si>
    <t xml:space="preserve">CVE-2025-10035</t>
  </si>
  <si>
    <t xml:space="preserve">Fortra GoAnywhere MFT - License Servlet deserialization RCE</t>
  </si>
  <si>
    <t xml:space="preserve">The License Servlet of GoAnywhere MFT deserializes an attacker-controlled object if the license response signature is valid; attackers (Storm-1175, Medusa ransomware) evidently did not lack the private key and were already exploiting the flaw before publication (September 2025). Successor to CVE-2023-0669 (Clop, 2023).</t>
  </si>
  <si>
    <t xml:space="preserve">Pre-auth RCE on the file transfer server; theft of all exchanged files and initial access for ransomware.</t>
  </si>
  <si>
    <t xml:space="preserve">Check the version (7.8.4 / 7.6.3 Sustain or higher) and whether the admin console is externally reachable; search the logs for SignedObject.getObject errors as an IoC.</t>
  </si>
  <si>
    <t xml:space="preserve">Update GoAnywhere, keep the management console off the internet, investigate for compromise in case of prior exposure.</t>
  </si>
  <si>
    <t xml:space="preserve">Logs with 'SignedObject.getObject' stack traces; unexpected processes under the GoAnywhere service.</t>
  </si>
  <si>
    <t xml:space="preserve">CWE-502, CWE-77</t>
  </si>
  <si>
    <t xml:space="preserve">GoAnywhere MFT 7.8.3 and earlier (incl. 7.6.x Sustain)</t>
  </si>
  <si>
    <t xml:space="preserve">7.8.4 / 7.6.3 (September 2025)</t>
  </si>
  <si>
    <t xml:space="preserve">CVE-2023-34362, CVE-2025-31161</t>
  </si>
  <si>
    <t xml:space="preserve">https://www.fortra.com/security/advisories/product-security/fi-2025-012; https://nvd.nist.gov/vuln/detail/CVE-2025-10035</t>
  </si>
  <si>
    <t xml:space="preserve">CVE-2023-34362</t>
  </si>
  <si>
    <t xml:space="preserve">Progress MOVEit Transfer - unauthenticated SQL injection to RCE (Clop campaign)</t>
  </si>
  <si>
    <t xml:space="preserve">A SQL injection in the MOVEit Transfer web application (moveitisapi/guestaccess.aspx) let unauthenticated attackers manipulate the database, forge an admin session and execute code via deserialization; in May-June 2023 Clop stole data from hundreds of organizations via the LEMURLOOT webshell (human2.aspx).</t>
  </si>
  <si>
    <t xml:space="preserve">Theft of all files exchanged via MOVEit and RCE on the server.</t>
  </si>
  <si>
    <t xml:space="preserve">Check the MOVEit Transfer version (2021.0.6 / 2021.1.4 / 2022.0.4 / 2022.1.5 / 2023.0.1 or higher) and look for human2.aspx and unknown admin/session records.</t>
  </si>
  <si>
    <t xml:space="preserve">Update MOVEit, perform the Progress IoC checks, rotate service account and Azure storage credentials, restrict HTTP(S) access to the web interface.</t>
  </si>
  <si>
    <t xml:space="preserve">IIS logs with requests to human2.aspx and anomalous POSTs to guestaccess.aspx/moveitisapi.dll.</t>
  </si>
  <si>
    <t xml:space="preserve">MOVEit Transfer &lt; 2021.0.6 (13.0.6), &lt; 2021.1.4 (13.1.4), &lt; 2022.0.4 (14.0.4), &lt; 2022.1.5 (14.1.5), &lt; 2023.0.1 (15.0.1) and older versions</t>
  </si>
  <si>
    <t xml:space="preserve">Patches of 31 May 2023 (and follow-up patches June 2023)</t>
  </si>
  <si>
    <t xml:space="preserve">Yes - KEV since 2023-06-02</t>
  </si>
  <si>
    <t xml:space="preserve">CVE-2025-10035, CVE-2025-31161</t>
  </si>
  <si>
    <t xml:space="preserve">KEV (2023-06-02); CVSS source: ADP CISA-ADP</t>
  </si>
  <si>
    <t xml:space="preserve">https://community.progress.com/s/article/MOVEit-Transfer-Critical-Vulnerability-31May2023; http://packetstormsecurity.com/files/172883/MOVEit-Transfer-SQL-Injection-Remote-Code-Execution.html; https://nvd.nist.gov/vuln/detail/CVE-2023-34362</t>
  </si>
  <si>
    <t xml:space="preserve">CVE-2025-31161</t>
  </si>
  <si>
    <t xml:space="preserve">CrushFTP - authentication bypass via AWS4-HMAC header (admin takeover; also CVE-2025-54309)</t>
  </si>
  <si>
    <t xml:space="preserve">A flaw in the S3-compatible AWS4-HMAC authentication of the HTTP component lets an attacker log in without a password as any known user (e.g. crushadmin) and take control of the server, unless a DMZ proxy is used; in July 2025 CVE-2025-54309 (AS2 validation) followed with comparable impact, both exploited in the wild.</t>
  </si>
  <si>
    <t xml:space="preserve">Administrator access to the file transfer server, theft of files and RCE via admin functions.</t>
  </si>
  <si>
    <t xml:space="preserve">Check the version (10.8.4 / 11.3.1 for 31161; 10.8.5 / 11.3.4_23 for 54309 or higher) and whether the HTTP(S) interface is directly (without a DMZ proxy) externally reachable.</t>
  </si>
  <si>
    <t xml:space="preserve">Update CrushFTP, use the DMZ proxy architecture, restrict administration to internal addresses, check for unknown users.</t>
  </si>
  <si>
    <t xml:space="preserve">Alert on logins with Authorization: AWS4-HMAC headers without valid S3 users and on admin logins from unknown addresses.</t>
  </si>
  <si>
    <t xml:space="preserve">CWE-305, CWE-420</t>
  </si>
  <si>
    <t xml:space="preserve">CrushFTP 10 &lt; 10.8.4 and 11 &lt; 11.3.1 (CVE-2025-31161); 10 &lt; 10.8.5 and 11 &lt; 11.3.4_23 (CVE-2025-54309)</t>
  </si>
  <si>
    <t xml:space="preserve">10.8.4 / 11.3.1 (March 2025); 10.8.5 / 11.3.4_23 (July 2025)</t>
  </si>
  <si>
    <t xml:space="preserve">Yes - KEV since 2025-04-07</t>
  </si>
  <si>
    <t xml:space="preserve">KEV (2025-04-07; 2025-07-22); CVSS source: CNA; Related CVEs without their own row: CVE-2025-54309</t>
  </si>
  <si>
    <t xml:space="preserve">https://outpost24.com/blog/crushftp-auth-bypass-vulnerability/; https://crushftp.com/crush11wiki/Wiki.jsp?page=Update#section-Update-VulnerabilityInfo; https://nvd.nist.gov/vuln/detail/CVE-2025-31161</t>
  </si>
  <si>
    <t xml:space="preserve">CVE-2020-14008</t>
  </si>
  <si>
    <t xml:space="preserve">Zoho ManageEngine Applications Manager - authenticated RCE via JAR upload (WebLogic monitor)</t>
  </si>
  <si>
    <t xml:space="preserve">An authenticated administrator can upload a malicious weblogic.jar to the expected library path via the credential test function of the WebLogic monitor; when testing, Applications Manager loads the class weblogic.jndi.Environment from the JAR (JarLoader.loadClass/newInstance) and thus executes arbitrary Java code, usually as SYSTEM.</t>
  </si>
  <si>
    <t xml:space="preserve">Code execution as SYSTEM on the monitoring server (reverse shell), access to all stored monitoring credentials and pivot to managed systems.</t>
  </si>
  <si>
    <t xml:space="preserve">Check the build version (14720 or higher patched) and whether administrator access can be obtained (default credentials admin/admin, weak passwords); demonstrate only with a harmless JAR within the RoE.</t>
  </si>
  <si>
    <t xml:space="preserve">Update to build 14730 or higher; remove default credentials; restrict the web interface to administrators; run the service under a least-privilege account.</t>
  </si>
  <si>
    <t xml:space="preserve">Alert on uploads in the WebLogic monitor configuration and on child processes (cmd/powershell) of the Applications Manager Java service.</t>
  </si>
  <si>
    <t xml:space="preserve">T1190, T1505</t>
  </si>
  <si>
    <t xml:space="preserve">CWE-434, CWE-94</t>
  </si>
  <si>
    <t xml:space="preserve">ManageEngine Applications Manager builds 14710 and earlier (through 14720)</t>
  </si>
  <si>
    <t xml:space="preserve">Build 14730 (September 2020)</t>
  </si>
  <si>
    <t xml:space="preserve">Yes (public PoC: github.com/0x0d3ad/CVE-2020-14008; Metasploit)</t>
  </si>
  <si>
    <t xml:space="preserve">AV-WEB-10, AV-NET-05, CVE-2021-40539, CVE-2022-47966</t>
  </si>
  <si>
    <t xml:space="preserve">Original row from v0.9.1, expanded; CVSS source: NVD</t>
  </si>
  <si>
    <t xml:space="preserve">https://www.manageengine.com/products/applications_manager/issues.html#14730; https://nvd.nist.gov/vuln/detail/CVE-2020-14008</t>
  </si>
  <si>
    <t xml:space="preserve">CVE-2021-40539</t>
  </si>
  <si>
    <t xml:space="preserve">Zoho ManageEngine ADSelfService Plus - REST API authentication bypass to RCE</t>
  </si>
  <si>
    <t xml:space="preserve">An authentication bypass in the REST API (/./RestAPI/...) of ADSelfService Plus lets an unauthenticated attacker upload a file and execute code; the product often runs with domain admin privileges for password resets and therefore directly constitutes an AD compromise (exploited by state actors, CISA/FBI advisory 2021).</t>
  </si>
  <si>
    <t xml:space="preserve">RCE as SYSTEM on a server with privileged AD credentials; direct domain compromise.</t>
  </si>
  <si>
    <t xml:space="preserve">Check the build (6114 or higher) and whether the application is externally reachable; test the REST API bypass only non-destructively (status code difference) within the RoE.</t>
  </si>
  <si>
    <t xml:space="preserve">Update to build 6114+, put the portal behind VPN/MFA, run with a least-privilege service account, investigate for webshells in case of prior exposure.</t>
  </si>
  <si>
    <t xml:space="preserve">Alert on requests to /./RestAPI/ and on new .jsp files in the webroot.</t>
  </si>
  <si>
    <t xml:space="preserve">CWE-706, CWE-287</t>
  </si>
  <si>
    <t xml:space="preserve">ADSelfService Plus builds 6113 and earlier</t>
  </si>
  <si>
    <t xml:space="preserve">Build 6114 (September 2021)</t>
  </si>
  <si>
    <t xml:space="preserve">CVE-2022-47966, CVE-2020-14008, AV-AD-20</t>
  </si>
  <si>
    <t xml:space="preserve">https://www.manageengine.com; https://www.manageengine.com/products/self-service-password/kb/how-to-fix-authentication-bypass-vulnerability-in-REST-API.html; https://nvd.nist.gov/vuln/detail/CVE-2021-40539</t>
  </si>
  <si>
    <t xml:space="preserve">Zoho ManageEngine (24 products) - unauthenticated RCE via SAML (Apache Santuario XSLT)</t>
  </si>
  <si>
    <t xml:space="preserve">Due to the use of the outdated Apache Santuario xmlsec 1.4.1, ManageEngine products processed XSLT transformations in SAML responses, allowing an unauthenticated attacker to execute code once SAML SSO had ever been configured (ServiceDesk Plus, ADSelfService Plus, Endpoint Central, PAM360, Password Manager Pro and others).</t>
  </si>
  <si>
    <t xml:space="preserve">RCE as SYSTEM on servers with privileged credentials (PAM/password management) and AD integration.</t>
  </si>
  <si>
    <t xml:space="preserve">Inventory ManageEngine products and builds against the Zoho advisory and check whether SAML SSO has (ever) been configured; PoC only with a harmless payload within the RoE.</t>
  </si>
  <si>
    <t xml:space="preserve">Update all ManageEngine products to the fixed builds (January 2023), limit external exposure, rotate credentials in case of compromise.</t>
  </si>
  <si>
    <t xml:space="preserve">Alert on SAML responses with XSLT elements and on child processes of the ManageEngine Java services.</t>
  </si>
  <si>
    <t xml:space="preserve">CWE-20, CWE-91</t>
  </si>
  <si>
    <t xml:space="preserve">Zoho ManageEngine on-premise products (including ServiceDesk Plus &lt; 14004, ADSelfService Plus &lt; 6211, Endpoint Central &lt; 10.1.2228.11, Password Manager Pro &lt; 12124, PAM360 &lt; 5713) with SAML SSO</t>
  </si>
  <si>
    <t xml:space="preserve">See Zoho advisory CVE-2022-47966 (October 2022 - January 2023)</t>
  </si>
  <si>
    <t xml:space="preserve">Yes - KEV since 2023-01-23</t>
  </si>
  <si>
    <t xml:space="preserve">AV-WEB-31, CVE-2021-40539</t>
  </si>
  <si>
    <t xml:space="preserve">KEV (2023-01-23); CVSS source: ADP CISA-ADP</t>
  </si>
  <si>
    <t xml:space="preserve">https://github.com/apache/santuario-xml-security-java/tags?after=1.4.6; https://www.manageengine.com/security/advisory/CVE/cve-2022-47966.html; https://nvd.nist.gov/vuln/detail/CVE-2022-47966</t>
  </si>
  <si>
    <t xml:space="preserve">CVE-2021-44228</t>
  </si>
  <si>
    <t xml:space="preserve">Apache Log4j 2 - JNDI lookup remote code execution (Log4Shell)</t>
  </si>
  <si>
    <t xml:space="preserve">Log4j 2.0-beta9 through 2.14.1 performs JNDI lookups (${jndi:ldap://...}) in logged strings, so that any attacker-controlled input that gets logged (headers, usernames, parameters) leads to the loading of an external class and RCE; present in countless Java applications and appliances (VMware Horizon, vCenter, Unifi, Elasticsearch and others).</t>
  </si>
  <si>
    <t xml:space="preserve">Unauthenticated RCE on servers and appliances; still present years later in legacy software and embedded components.</t>
  </si>
  <si>
    <t xml:space="preserve">Inject a unique DNS callback payload (own listener/Canary) into headers and input fields; inventory Java applications and Log4j versions via SCA/file system (log4j-core-*.jar) within scope.</t>
  </si>
  <si>
    <t xml:space="preserve">Update Log4j to 2.17.1+ (2.12.4 / 2.3.2 for old Java), remove the JndiLookup class as a workaround, patch affected products, egress filtering for LDAP/RMI.</t>
  </si>
  <si>
    <t xml:space="preserve">WAF/IDS signatures on ${jndi: and variants; alert on outbound LDAP/RMI connections from application servers.</t>
  </si>
  <si>
    <t xml:space="preserve">CWE-502, CWE-917</t>
  </si>
  <si>
    <t xml:space="preserve">Methodology and Resources - Log4Shell</t>
  </si>
  <si>
    <t xml:space="preserve">Apache Log4j 2.0-beta9 through 2.14.1 (2.15.0 incomplete; see CVE-2021-45046/45105/44832); log4j 1.x not via this CVE</t>
  </si>
  <si>
    <t xml:space="preserve">Log4j 2.17.1 (Java 8+), 2.12.4 (Java 7), 2.3.2 (Java 6)</t>
  </si>
  <si>
    <t xml:space="preserve">Yes - KEV since 2021-12-10</t>
  </si>
  <si>
    <t xml:space="preserve">Yes (public PoCs, Metasploit, mass scanned)</t>
  </si>
  <si>
    <t xml:space="preserve">AV-WEB-23, AV-WEB-09</t>
  </si>
  <si>
    <t xml:space="preserve">KEV (2021-12-10); CVSS source: ADP CISA-ADP</t>
  </si>
  <si>
    <t xml:space="preserve">https://logging.apache.org/log4j/2.x/security.html; http://www.openwall.com/lists/oss-security/2021/12/10/1; https://nvd.nist.gov/vuln/detail/CVE-2021-44228</t>
  </si>
  <si>
    <t xml:space="preserve">CVE-2022-22965</t>
  </si>
  <si>
    <t xml:space="preserve">Spring Framework - RCE via data binding (Spring4Shell)</t>
  </si>
  <si>
    <t xml:space="preserve">Spring MVC/WebFlux on JDK 9+ allows Tomcat logging properties to be manipulated via class.module.classLoader binding of request parameters, whereby a JSP webshell is written to the webroot; requires a WAR deployment on Tomcat (Spring Boot JARs are by default not vulnerable via this route).</t>
  </si>
  <si>
    <t xml:space="preserve">RCE on Java web applications on Tomcat; webshell persistence.</t>
  </si>
  <si>
    <t xml:space="preserve">Identify Spring applications (WAR on Tomcat, JDK 9+) and Spring versions; test the class.module.classLoader parameter binding non-destructively (e.g. 400 vs 200 behavior) within the RoE.</t>
  </si>
  <si>
    <t xml:space="preserve">Update to Spring Framework 5.3.18+ / 5.2.20+ (Spring Boot 2.6.6 / 2.5.12), use allowedFields in WebDataBinder, update Tomcat (10.0.20 / 9.0.62 / 8.5.78).</t>
  </si>
  <si>
    <t xml:space="preserve">WAF signatures on class.module.classLoader in parameters; alert on new .jsp files in the webroot.</t>
  </si>
  <si>
    <t xml:space="preserve">Spring Framework 5.3.0-5.3.17, 5.2.0-5.2.19 and older (JDK 9+, Tomcat WAR)</t>
  </si>
  <si>
    <t xml:space="preserve">Spring Framework 5.3.18 / 5.2.20 (31 March 2022)</t>
  </si>
  <si>
    <t xml:space="preserve">Yes - KEV since 2022-04-04</t>
  </si>
  <si>
    <t xml:space="preserve">AV-WEB-23, CVE-2021-44228</t>
  </si>
  <si>
    <t xml:space="preserve">KEV (2022-04-04); CVSS source: ADP CISA-ADP</t>
  </si>
  <si>
    <t xml:space="preserve">https://tanzu.vmware.com/security/cve-2022-22965; https://tools.cisco.com/security/center/content/CiscoSecurityAdvisory/cisco-sa-java-spring-rce-Zx9GUc67; https://nvd.nist.gov/vuln/detail/CVE-2022-22965</t>
  </si>
  <si>
    <t xml:space="preserve">CVE-2017-5638</t>
  </si>
  <si>
    <t xml:space="preserve">Apache Struts 2 - Jakarta Multipart parser OGNL injection RCE (Equifax)</t>
  </si>
  <si>
    <t xml:space="preserve">An OGNL expression in the Content-Type header of a multipart request is evaluated when an error message occurs, allowing an unauthenticated attacker to execute commands as the web server user; responsible for the Equifax data breach (2017) and still present in legacy Java applications.</t>
  </si>
  <si>
    <t xml:space="preserve">Unauthenticated RCE on Struts applications.</t>
  </si>
  <si>
    <t xml:space="preserve">Identify Struts 2 applications (.action/.do endpoints, version via library files) and test with a harmless OGNL payload in Content-Type (e.g. a header echo) within the RoE.</t>
  </si>
  <si>
    <t xml:space="preserve">Update to Struts 2.3.32 / 2.5.10.1 or higher (and follow later Struts advisories such as CVE-2018-11776, CVE-2023-50164, CVE-2024-53677), or migrate away from Struts 2.</t>
  </si>
  <si>
    <t xml:space="preserve">WAF/IDS signatures on OGNL (%{ and #cmd=) in Content-Type/Content-Disposition.</t>
  </si>
  <si>
    <t xml:space="preserve">CWE-20, CWE-917</t>
  </si>
  <si>
    <t xml:space="preserve">Apache Struts 2.3.5-2.3.31 and 2.5-2.5.10</t>
  </si>
  <si>
    <t xml:space="preserve">Struts 2.3.32 / 2.5.10.1 (March 2017)</t>
  </si>
  <si>
    <t xml:space="preserve">AV-WEB-39, AV-WEB-23</t>
  </si>
  <si>
    <t xml:space="preserve">https://nmap.org/nsedoc/scripts/http-vuln-cve2017-5638.html; http://www.arubanetworks.com/assets/alert/ARUBA-PSA-2017-002.txt; https://nvd.nist.gov/vuln/detail/CVE-2017-5638</t>
  </si>
  <si>
    <t xml:space="preserve">CVE-2021-41773</t>
  </si>
  <si>
    <t xml:space="preserve">Apache HTTP Server 2.4.49/2.4.50 - path traversal and RCE (with CVE-2021-42013)</t>
  </si>
  <si>
    <t xml:space="preserve">A path normalization flaw in Apache 2.4.49 (incompletely fixed in 2.4.50, CVE-2021-42013) allows reading files outside the DocumentRoot via %2e%2e/ and, with mod_cgi enabled, executing commands; requires that 'require all denied' is not active for the paths in question.</t>
  </si>
  <si>
    <t xml:space="preserve">Reading of source files/credentials and RCE as the web server user.</t>
  </si>
  <si>
    <t xml:space="preserve">Check the Apache version (2.4.49/2.4.50) and test the traversal path (/cgi-bin/.%2e/%2e%2e/.../etc/passwd) non-destructively within the RoE.</t>
  </si>
  <si>
    <t xml:space="preserve">Update to Apache 2.4.51 or later; 'Require all denied' on the filesystem root; mod_cgi only where needed.</t>
  </si>
  <si>
    <t xml:space="preserve">WAF/IDS signatures for %2e%2e and %%32%65 in URL paths.</t>
  </si>
  <si>
    <t xml:space="preserve">Apache HTTP Server 2.4.49 (CVE-2021-41773) and 2.4.50 (CVE-2021-42013)</t>
  </si>
  <si>
    <t xml:space="preserve">Apache HTTP Server 2.4.51 (October 2021)</t>
  </si>
  <si>
    <t xml:space="preserve">KEV (2021-11-03); CVSS source: ADP CISA-ADP; Related CVEs without their own row: CVE-2021-42013</t>
  </si>
  <si>
    <t xml:space="preserve">https://httpd.apache.org/security/vulnerabilities_24.html; https://lists.apache.org/thread.html/r6abf5f2ba6f1aa8b1030f95367aaf17660c4e4c78cb2338aee18982f%40%3Cusers.httpd.apache.org%3E; https://nvd.nist.gov/vuln/detail/CVE-2021-41773</t>
  </si>
  <si>
    <t xml:space="preserve">CVE-2022-26134</t>
  </si>
  <si>
    <t xml:space="preserve">Atlassian Confluence Server/Data Center - OGNL injection pre-auth RCE</t>
  </si>
  <si>
    <t xml:space="preserve">An OGNL injection in the URL handling (${...} in the URI path) of Confluence Server and Data Center allows an unauthenticated attacker to execute code; exploited as a zero-day (June 2022) for webshells (BEHINDER) and cryptominers.</t>
  </si>
  <si>
    <t xml:space="preserve">RCE as the Confluence user; access to all wiki content (often credentials/architecture documentation) and pivot.</t>
  </si>
  <si>
    <t xml:space="preserve">Check the Confluence version (7.4.17 / 7.13.7 / 7.14.3 / 7.15.2 / 7.16.4 / 7.17.4 / 7.18.1 or later) and test with a harmless OGNL expression (header echo) within the RoE.</t>
  </si>
  <si>
    <t xml:space="preserve">Update Confluence or apply the xwork jar mitigation; limit external exposure (VPN/SSO); investigate for webshells.</t>
  </si>
  <si>
    <t xml:space="preserve">Access logs with ${ in the URI path; new .jsp files and child processes of the Confluence Java service.</t>
  </si>
  <si>
    <t xml:space="preserve">CWE-917</t>
  </si>
  <si>
    <t xml:space="preserve">Confluence Server/Data Center 1.3.0 through 7.4.16, 7.13.0-7.13.6, 7.14.0-7.14.2, 7.15.0-7.15.1, 7.16.0-7.16.3, 7.17.0-7.17.3, 7.18.0</t>
  </si>
  <si>
    <t xml:space="preserve">7.4.17 / 7.13.7 / 7.14.3 / 7.15.2 / 7.16.4 / 7.17.4 / 7.18.1 (3 June 2022)</t>
  </si>
  <si>
    <t xml:space="preserve">Yes - KEV since 2022-06-02</t>
  </si>
  <si>
    <t xml:space="preserve">CVE-2023-22515, CVE-2023-22527, AV-WEB-39</t>
  </si>
  <si>
    <t xml:space="preserve">KEV (2022-06-02); CVSS source: ADP CISA-ADP</t>
  </si>
  <si>
    <t xml:space="preserve">https://jira.atlassian.com/browse/CONFSERVER-79016; http://packetstormsecurity.com/files/167432/Confluence-OGNL-Injection-Proof-Of-Concept.html; https://nvd.nist.gov/vuln/detail/CVE-2022-26134</t>
  </si>
  <si>
    <t xml:space="preserve">CVE-2023-22515</t>
  </si>
  <si>
    <t xml:space="preserve">Atlassian Confluence Data Center/Server - broken access control (unauthenticated admin account creation)</t>
  </si>
  <si>
    <t xml:space="preserve">Via the endpoint /server-info.action?bootstrapStatusProvider.applicationConfig.setupComplete=false the setup mode could be reopened, after which /setup/setupadministrator.action creates a new administrator; exploited as a zero-day (Storm-0062, September 2023).</t>
  </si>
  <si>
    <t xml:space="preserve">Administrator access to Confluence and subsequently RCE via plugins; full access to documentation.</t>
  </si>
  <si>
    <t xml:space="preserve">Check the version (8.3.3 / 8.4.3 / 8.5.2 or later; &lt; 8.0.0 not vulnerable) and whether /setup/ endpoints are reachable; look for unexpected admin accounts and confluence-administrators members.</t>
  </si>
  <si>
    <t xml:space="preserve">Update Confluence, block /setup/* on the reverse proxy, audit admin accounts, limit external exposure.</t>
  </si>
  <si>
    <t xml:space="preserve">Access logs with setupComplete=false and requests to /setup/setupadministrator.action; new users in confluence-administrators.</t>
  </si>
  <si>
    <t xml:space="preserve">CWE-20, CWE-284</t>
  </si>
  <si>
    <t xml:space="preserve">CVSS:3.0/AV:N/AC:L/PR:N/UI:N/S:C/C:H/I:H/A:H</t>
  </si>
  <si>
    <t xml:space="preserve">Confluence Data Center and Server 8.0.0 through 8.3.2, 8.4.0-8.4.2, 8.5.0-8.5.1 (Atlassian Cloud not affected)</t>
  </si>
  <si>
    <t xml:space="preserve">8.3.3 / 8.4.3 / 8.5.2 (October 2023)</t>
  </si>
  <si>
    <t xml:space="preserve">Yes - KEV since 2023-10-05</t>
  </si>
  <si>
    <t xml:space="preserve">CVE-2022-26134, CVE-2023-22527</t>
  </si>
  <si>
    <t xml:space="preserve">KEV (2023-10-05); CVSS source: CNA</t>
  </si>
  <si>
    <t xml:space="preserve">http://packetstormsecurity.com/files/175225/Atlassian-Confluence-Unauthenticated-Remote-Code-Execution.html; https://confluence.atlassian.com/display/KB/FAQ+for+CVE-2023-22515; https://nvd.nist.gov/vuln/detail/CVE-2023-22515</t>
  </si>
  <si>
    <t xml:space="preserve">CVE-2023-22527</t>
  </si>
  <si>
    <t xml:space="preserve">Atlassian Confluence Data Center/Server - server-side template injection pre-auth RCE</t>
  </si>
  <si>
    <t xml:space="preserve">A template injection (OGNL via Velocity templates, /template/aui/text-inline.vm) in older Confluence 8.x versions gives unauthenticated RCE; mass exploited within days of publication (January 2024), including for cryptominers and ransomware (Cerber).</t>
  </si>
  <si>
    <t xml:space="preserve">RCE as the Confluence user and access to all wiki data.</t>
  </si>
  <si>
    <t xml:space="preserve">Check the version (8.5.4 / 8.6.0 or later not vulnerable) and test with a harmless OGNL payload (header echo) in the label parameter within the RoE.</t>
  </si>
  <si>
    <t xml:space="preserve">Update to 8.5.4+ (LTS) or 8.6+; limit external exposure.</t>
  </si>
  <si>
    <t xml:space="preserve">Access logs with POST to /template/aui/text-inline.vm; child processes of the Confluence service.</t>
  </si>
  <si>
    <t xml:space="preserve">CWE-74, CWE-1336</t>
  </si>
  <si>
    <t xml:space="preserve">Confluence Data Center/Server 8.0.x through 8.4.x and 8.5.0-8.5.3</t>
  </si>
  <si>
    <t xml:space="preserve">8.5.4 (LTS) / 8.6.0+ (December 2023)</t>
  </si>
  <si>
    <t xml:space="preserve">Yes - KEV since 2024-01-24</t>
  </si>
  <si>
    <t xml:space="preserve">AV-WEB-16, CVE-2022-26134</t>
  </si>
  <si>
    <t xml:space="preserve">KEV (2024-01-24); CVSS source: CNA</t>
  </si>
  <si>
    <t xml:space="preserve">https://confluence.atlassian.com/pages/viewpage.action?pageId=1333335615; https://jira.atlassian.com/browse/CONFSERVER-93833; https://nvd.nist.gov/vuln/detail/CVE-2023-22527</t>
  </si>
  <si>
    <t xml:space="preserve">CVE-2024-4577</t>
  </si>
  <si>
    <t xml:space="preserve">PHP-CGI on Windows - argument injection RCE (Best-Fit encoding)</t>
  </si>
  <si>
    <t xml:space="preserve">On Windows servers with certain code pages (including Chinese/Japanese, but also via other locale settings) 'Best-Fit' translates a soft hyphen (%AD) into a hyphen, causing PHP-CGI to accept arguments such as -d allow_url_include=1 and execute code from the request body; bypass of CVE-2012-1823. Exploited immediately after publication (TellYouThePass ransomware) and present by default in XAMPP.</t>
  </si>
  <si>
    <t xml:space="preserve">Unauthenticated RCE on PHP web servers on Windows.</t>
  </si>
  <si>
    <t xml:space="preserve">Identify PHP on Windows in CGI mode (XAMPP, IIS with php-cgi) and the PHP version; test with a harmless payload (phpinfo) via the %ADd parameter within the RoE.</t>
  </si>
  <si>
    <t xml:space="preserve">Update PHP to 8.3.8 / 8.2.20 / 8.1.29; use FastCGI/FPM instead of CGI; mod_rewrite mitigation for %AD; replace PHP 8.0/7.x (EOL).</t>
  </si>
  <si>
    <t xml:space="preserve">WAF signatures for %ADd in query strings; alert on child processes of php-cgi.exe.</t>
  </si>
  <si>
    <t xml:space="preserve">CWE-78, CWE-88</t>
  </si>
  <si>
    <t xml:space="preserve">PHP 8.3 &lt; 8.3.8, 8.2 &lt; 8.2.20, 8.1 &lt; 8.1.29 and all EOL versions (8.0, 7.x, 5.x) in CGI mode on Windows</t>
  </si>
  <si>
    <t xml:space="preserve">PHP 8.3.8 / 8.2.20 / 8.1.29 (6 June 2024)</t>
  </si>
  <si>
    <t xml:space="preserve">Yes - KEV since 2024-06-12</t>
  </si>
  <si>
    <t xml:space="preserve">AV-WEB-04, AV-WEB-18</t>
  </si>
  <si>
    <t xml:space="preserve">KEV (2024-06-12); CVSS source: CNA</t>
  </si>
  <si>
    <t xml:space="preserve">https://github.com/php/php-src/security/advisories/GHSA-3qgc-jrrr-25jv; https://blog.orange.tw/2024/06/cve-2024-4577-yet-another-php-rce.html; https://nvd.nist.gov/vuln/detail/CVE-2024-4577</t>
  </si>
  <si>
    <t xml:space="preserve">CVE-2019-18935</t>
  </si>
  <si>
    <t xml:space="preserve">Progress Telerik UI for ASP.NET AJAX - RadAsyncUpload deserialization RCE</t>
  </si>
  <si>
    <t xml:space="preserve">The RadAsyncUpload handler deserializes .NET objects from the rauPostData parameter; with known or crackable encryption keys (CVE-2017-11317/11357, default keys) an attacker can upload and load a DLL for RCE as the IIS app pool. Still frequently present in older .NET applications (government, healthcare).</t>
  </si>
  <si>
    <t xml:space="preserve">RCE on .NET web applications; used by state actors against US government agencies (CISA 2023).</t>
  </si>
  <si>
    <t xml:space="preserve">Identify Telerik components and versions (Telerik.Web.UI.dll, /Telerik.Web.UI.WebResource.axd?type=rau) and check for version &lt; 2020.1.114 and whether the encryption keys are default or known; PoC only within the RoE.</t>
  </si>
  <si>
    <t xml:space="preserve">Update to Telerik UI 2020.1.114+ (and configure type allowlisting), set strong unique encryption keys, remove unused handlers.</t>
  </si>
  <si>
    <t xml:space="preserve">IIS logs with POST to Telerik.Web.UI.WebResource.axd?type=rau; unexpected DLLs in Windows\Temp and child processes of w3wp.exe.</t>
  </si>
  <si>
    <t xml:space="preserve">Telerik UI for ASP.NET AJAX 2011.1.315 through 2019.3.1023 (especially &lt; 2017.2.621 with known default keys)</t>
  </si>
  <si>
    <t xml:space="preserve">2020.1.114 (default setting prevents exploitation) and strong keys</t>
  </si>
  <si>
    <t xml:space="preserve">AV-WEB-09, AV-WEB-23</t>
  </si>
  <si>
    <t xml:space="preserve">https://www.telerik.com/support/whats-new/release-history; https://codewhitesec.blogspot.com/2019/02/telerik-revisited.html; https://nvd.nist.gov/vuln/detail/CVE-2019-18935</t>
  </si>
  <si>
    <t xml:space="preserve">CVE-2023-23752</t>
  </si>
  <si>
    <t xml:space="preserve">Joomla! 4.x - improper access check on webservice endpoints (config/credential disclosure)</t>
  </si>
  <si>
    <t xml:space="preserve">The REST API of Joomla 4.0.0-4.2.7 allows unauthenticated access via ?public=true to /api/index.php/v1/config/application, which contains database credentials and configuration; combined with exposed MySQL this leads to takeover of the site.</t>
  </si>
  <si>
    <t xml:space="preserve">Leakage of database credentials and user lists; often direct takeover of the website.</t>
  </si>
  <si>
    <t xml:space="preserve">Check the Joomla version and request the config endpoint with public=true (non-destructive) within the RoE.</t>
  </si>
  <si>
    <t xml:space="preserve">Update to Joomla 4.2.8 or later; rotate database credentials; MySQL reachable locally only.</t>
  </si>
  <si>
    <t xml:space="preserve">Access logs with /api/index.php/v1/config/application?public=true.</t>
  </si>
  <si>
    <t xml:space="preserve">CVSS:3.1/AV:N/AC:L/PR:N/UI:N/S:U/C:L/I:N/A:N</t>
  </si>
  <si>
    <t xml:space="preserve">Joomla! 4.0.0 through 4.2.7</t>
  </si>
  <si>
    <t xml:space="preserve">Joomla! 4.2.8 (February 2023)</t>
  </si>
  <si>
    <t xml:space="preserve">Yes - KEV since 2024-01-08</t>
  </si>
  <si>
    <t xml:space="preserve">AV-WEB-48, CVE-2026-48907</t>
  </si>
  <si>
    <t xml:space="preserve">KEV (2024-01-08); CVSS source: ADP CISA-ADP</t>
  </si>
  <si>
    <t xml:space="preserve">https://developer.joomla.org/security-centre/894-20230201-core-improper-access-check-in-webservice-endpoints.html; https://nvd.nist.gov/vuln/detail/CVE-2023-23752</t>
  </si>
  <si>
    <t xml:space="preserve">CVE-2026-48907</t>
  </si>
  <si>
    <t xml:space="preserve">Joomla JCE editor extension - unauthenticated profile creation to PHP upload/RCE</t>
  </si>
  <si>
    <t xml:space="preserve">The JCE editor extension (very widely used on Joomla sites) allowed unauthenticated users to create new editor profiles, through which PHP files could subsequently be uploaded and executed; added to KEV in June 2026, followed by similar upload RCEs in other Joomla extensions (SP Page Builder, Balbooa Forms, iCagenda, Page Builder CK).</t>
  </si>
  <si>
    <t xml:space="preserve">Full takeover of the website (webshell), defacement and use as a phishing/malware host.</t>
  </si>
  <si>
    <t xml:space="preserve">Inventory installed Joomla extensions and versions (JCE &lt; 2.9.99.5) and check whether the profile/upload endpoints are reachable without authentication.</t>
  </si>
  <si>
    <t xml:space="preserve">Update JCE to 2.9.99.5+ and all other extensions; remove unused extensions; block PHP execution in upload directories; WAF.</t>
  </si>
  <si>
    <t xml:space="preserve">Alert on new .php files in images/media directories and on POST requests to JCE profile endpoints.</t>
  </si>
  <si>
    <t xml:space="preserve">CWE-284, CWE-434</t>
  </si>
  <si>
    <t xml:space="preserve">JCE extension for Joomla 1.0.0 through 2.9.99.4</t>
  </si>
  <si>
    <t xml:space="preserve">JCE 2.9.99.5 (June 2026)</t>
  </si>
  <si>
    <t xml:space="preserve">Yes - KEV since 2026-06-16</t>
  </si>
  <si>
    <t xml:space="preserve">Exploited in the wild (KEV 2026-06-16)</t>
  </si>
  <si>
    <t xml:space="preserve">CVE-2023-23752, AV-WEB-10, AV-WEB-23</t>
  </si>
  <si>
    <t xml:space="preserve">KEV; related: CVE-2026-48908, CVE-2026-56290, CVE-2026-56291, CVE-2026-48939; CVSS source: CNA</t>
  </si>
  <si>
    <t xml:space="preserve">https://www.joomlacontenteditor.net/; https://nvd.nist.gov/vuln/detail/CVE-2026-48907</t>
  </si>
  <si>
    <t xml:space="preserve">CVE-2018-7600</t>
  </si>
  <si>
    <t xml:space="preserve">Drupal 7/8 - unauthenticated RCE via Form API renderable arrays (Drupalgeddon2)</t>
  </si>
  <si>
    <t xml:space="preserve">Insufficient input sanitization in the Form API (# keys in render arrays) allows an unauthenticated attacker to execute PHP code via, among others, the registration form (user/register) or AJAX callbacks; mass exploited in 2018 and still present on abandoned Drupal sites.</t>
  </si>
  <si>
    <t xml:space="preserve">RCE as the web server user and full takeover of the site/database.</t>
  </si>
  <si>
    <t xml:space="preserve">Check the Drupal version (&lt; 7.58 / 8.3.9 / 8.4.6 / 8.5.1) and test with a harmless payload (echo) via the known form endpoints within the RoE.</t>
  </si>
  <si>
    <t xml:space="preserve">Update Drupal (and follow SA-CORE-2018-004 for Drupalgeddon3); migrate abandoned 7.x/8.x sites (EOL).</t>
  </si>
  <si>
    <t xml:space="preserve">WAF signatures for #post_render/#markup in POST parameters; new PHP files in sites/default/files.</t>
  </si>
  <si>
    <t xml:space="preserve">CWE-20, CWE-94</t>
  </si>
  <si>
    <t xml:space="preserve">Drupal &lt; 7.58, 8.x &lt; 8.3.9, 8.4.x &lt; 8.4.6, 8.5.x &lt; 8.5.1</t>
  </si>
  <si>
    <t xml:space="preserve">Drupal 7.58 / 8.3.9 / 8.4.6 / 8.5.1 (28 March 2018)</t>
  </si>
  <si>
    <t xml:space="preserve">CVE-2026-9082, AV-WEB-23</t>
  </si>
  <si>
    <t xml:space="preserve">https://github.com/g0rx/CVE-2018-7600-Drupal-RCE; http://www.securitytracker.com/id/1040598; https://nvd.nist.gov/vuln/detail/CVE-2018-7600</t>
  </si>
  <si>
    <t xml:space="preserve">CVE-2026-9082</t>
  </si>
  <si>
    <t xml:space="preserve">Drupal core - highly critical unauthenticated SQL injection (SA-CORE-2026-004)</t>
  </si>
  <si>
    <t xml:space="preserve">A SQL injection in Drupal core (8.9 through 11.3) allows an unauthenticated attacker to manipulate the database, resulting in account takeover and code execution; classified by Drupal as 'highly critical' and added to KEV in May 2026.</t>
  </si>
  <si>
    <t xml:space="preserve">Takeover of Drupal sites (admin accounts, PHP execution via modules) and data breach of the database.</t>
  </si>
  <si>
    <t xml:space="preserve">Check the Drupal version (10.4.10 / 10.5.10 / 10.6.9 / 11.1.10 / 11.2.12 / 11.3.10 or later) via CHANGELOG/composer.lock; PoC only non-destructively (e.g. time-based check) within the RoE.</t>
  </si>
  <si>
    <t xml:space="preserve">Update Drupal core immediately; rotate database credentials and check for new admin accounts in case of prior exposure.</t>
  </si>
  <si>
    <t xml:space="preserve">WAF logs with SQL metacharacters in the affected parameters; database queries with sleep/benchmark; new users with the administrator role.</t>
  </si>
  <si>
    <t xml:space="preserve">Drupal core 8.9.0 through 10.4.9, 10.5.0-10.5.9, 10.6.0-10.6.8, 11.0.0-11.1.9, 11.2.0-11.2.11, 11.3.0-11.3.9</t>
  </si>
  <si>
    <t xml:space="preserve">10.4.10 / 10.5.10 / 10.6.9 / 11.1.10 / 11.2.12 / 11.3.10 (May 2026)</t>
  </si>
  <si>
    <t xml:space="preserve">Yes - KEV since 2026-05-22</t>
  </si>
  <si>
    <t xml:space="preserve">Exploited in the wild (KEV 2026-05-22)</t>
  </si>
  <si>
    <t xml:space="preserve">CVE-2018-7600, AV-WEB-03</t>
  </si>
  <si>
    <t xml:space="preserve">https://www.drupal.org/sa-core-2026-004; https://nvd.nist.gov/vuln/detail/CVE-2026-9082</t>
  </si>
  <si>
    <t xml:space="preserve">CVE-2026-63030</t>
  </si>
  <si>
    <t xml:space="preserve">WordPress core - REST API batch-route confusion + SQL injection to RCE (with CVE-2026-60137, CVE-2026-87902)</t>
  </si>
  <si>
    <t xml:space="preserve">A route confusion in the REST API batch endpoint combined with a SQL injection in WP_Query (author__not_in, CVE-2026-60137) gives unauthenticated attackers SQL injection and ultimately RCE on WordPress 6.9.x/7.0.x; mass exploited in July 2026. In September 2026 an LFI-to-RCE in the template resolution followed (CVE-2026-87902).</t>
  </si>
  <si>
    <t xml:space="preserve">Large-scale takeover of WordPress sites (approx. 40% of the web), webshells, SEO spam and phishing hosting.</t>
  </si>
  <si>
    <t xml:space="preserve">Check the WordPress version (6.9.5 / 7.0.2 or later; for 87902 7.1.2) via readme/HTML; test the batch route only non-destructively within the RoE.</t>
  </si>
  <si>
    <t xml:space="preserve">Enable automatic core updates, update to 7.0.2+/7.1.2+, WAF, restrict the REST API for anonymous users where possible.</t>
  </si>
  <si>
    <t xml:space="preserve">Access logs with POST /wp-json/batch/v1 with nested routes and SQL metacharacters; new PHP files in wp-content/uploads.</t>
  </si>
  <si>
    <t xml:space="preserve">CWE-436, CWE-89</t>
  </si>
  <si>
    <t xml:space="preserve">WordPress 6.9.0 through 6.9.4 and 7.0.0 through 7.0.1 (CVE-2026-63030); WordPress &lt; 7.1.2 (CVE-2026-87902)</t>
  </si>
  <si>
    <t xml:space="preserve">WordPress 6.9.5 / 7.0.2 (July 2026); 7.1.2 (September 2026)</t>
  </si>
  <si>
    <t xml:space="preserve">Yes - KEV since 2026-07-21</t>
  </si>
  <si>
    <t xml:space="preserve">Exploited in the wild (KEV 2026-07-21; 2026-09-25)</t>
  </si>
  <si>
    <t xml:space="preserve">AV-WEB-03, AV-WEB-23</t>
  </si>
  <si>
    <t xml:space="preserve">KEV; CVSS source: CNA; Related CVEs without their own row: CVE-2026-60137, CVE-2026-87902</t>
  </si>
  <si>
    <t xml:space="preserve">https://github.com/WordPress/wordpress-develop/security/advisories/GHSA-ff9f-jf42-662q; https://wordpress.org/news/2026/07/wordpress-7-0-2-release/; https://nvd.nist.gov/vuln/detail/CVE-2026-63030</t>
  </si>
  <si>
    <t xml:space="preserve">CVE-2023-46604</t>
  </si>
  <si>
    <t xml:space="preserve">Apache ActiveMQ - OpenWire protocol deserialization RCE</t>
  </si>
  <si>
    <t xml:space="preserve">The OpenWire marshaller (TCP 61616) instantiates arbitrary classes from the classpath based on attacker-specified types, allowing commands to be executed via a Spring XML configuration at an external URL; immediately exploited for HelloKitty/TellYouThePass ransomware and Godzilla webshells.</t>
  </si>
  <si>
    <t xml:space="preserve">Unauthenticated RCE on message brokers that are often located deep inside the internal network.</t>
  </si>
  <si>
    <t xml:space="preserve">Scan for OpenWire (61616) and the ActiveMQ version (banner/web console 8161); PoC only with a harmless Spring configuration within the RoE.</t>
  </si>
  <si>
    <t xml:space="preserve">Update to 5.15.16 / 5.16.7 / 5.17.6 / 5.18.3 or later (clients too); restrict access to broker ports; disable the web console or secure it.</t>
  </si>
  <si>
    <t xml:space="preserve">Alert on outbound HTTP requests from the broker to unknown URLs (XML configuration) and on child processes of the ActiveMQ JVM.</t>
  </si>
  <si>
    <t xml:space="preserve">CVSS:3.1/AV:N/AC:L/PR:N/UI:N/S:C/C:L/I:H/A:H</t>
  </si>
  <si>
    <t xml:space="preserve">Apache ActiveMQ 5.18.0-5.18.2, 5.17.0-5.17.5, 5.16.0-5.16.6, &lt; 5.15.16 (and Legacy OpenWire Module)</t>
  </si>
  <si>
    <t xml:space="preserve">5.15.16 / 5.16.7 / 5.17.6 / 5.18.3 (October 2023)</t>
  </si>
  <si>
    <t xml:space="preserve">Yes - KEV since 2023-11-02</t>
  </si>
  <si>
    <t xml:space="preserve">AV-WEB-09, AV-NET-14</t>
  </si>
  <si>
    <t xml:space="preserve">KEV (2023-11-02); CVSS source: CNA</t>
  </si>
  <si>
    <t xml:space="preserve">https://activemq.apache.org/security-advisories.data/CVE-2023-46604-announcement.txt; https://www.openwall.com/lists/oss-security/2023/10/27/5; https://nvd.nist.gov/vuln/detail/CVE-2023-46604</t>
  </si>
  <si>
    <t xml:space="preserve">CVE-2025-29927</t>
  </si>
  <si>
    <t xml:space="preserve">Next.js middleware - authorization bypass via x-middleware-subrequest header</t>
  </si>
  <si>
    <t xml:space="preserve">Sending the internal header x-middleware-subrequest with the right value (e.g. middleware:middleware:middleware...) causes Next.js to skip the middleware, so that authorization, CSP and redirect logic implemented in middleware is completely bypassed (self-hosted; Vercel/Netlify were protected).</t>
  </si>
  <si>
    <t xml:space="preserve">Access to protected pages/API routes without authentication when authorization takes place only in middleware.</t>
  </si>
  <si>
    <t xml:space="preserve">Identify Next.js applications and versions (X-Powered-By, _next paths, package.json via source maps) and replay a blocked request with the x-middleware-subrequest header (non-destructive).</t>
  </si>
  <si>
    <t xml:space="preserve">Update to Next.js 15.2.3 / 14.2.25 / 13.5.9 / 12.3.5; strip the header on the reverse proxy; also enforce authorization in route handlers/server components (defense in depth).</t>
  </si>
  <si>
    <t xml:space="preserve">Alert on incoming requests with the x-middleware-subrequest header from external sources.</t>
  </si>
  <si>
    <t xml:space="preserve">Next.js 11.1.4 through 12.3.4, 13.0.0-13.5.8, 14.0.0-14.2.24, 15.0.0-15.2.2 (self-hosted with middleware)</t>
  </si>
  <si>
    <t xml:space="preserve">Next.js 15.2.3 / 14.2.25 / 13.5.9 / 12.3.5 (March 2025)</t>
  </si>
  <si>
    <t xml:space="preserve">Yes (trivial; public PoCs)</t>
  </si>
  <si>
    <t xml:space="preserve">AV-WEB-02, AV-WEB-01</t>
  </si>
  <si>
    <t xml:space="preserve">Not in KEV; but widely scanned; CVSS source: CNA</t>
  </si>
  <si>
    <t xml:space="preserve">https://github.com/vercel/next.js/security/advisories/GHSA-f82v-jwr5-mffw; https://github.com/vercel/next.js/commit/52a078da3884efe6501613c7834a3d02a91676d2; https://nvd.nist.gov/vuln/detail/CVE-2025-29927</t>
  </si>
  <si>
    <t xml:space="preserve">CVE-2025-55182</t>
  </si>
  <si>
    <t xml:space="preserve">React Server Components / Next.js - pre-auth deserialization RCE (React2Shell)</t>
  </si>
  <si>
    <t xml:space="preserve">React Server Components (react-server-dom-webpack/-turbopack/-parcel 19.0-19.2) deserialize Server Function payloads unsafely, so that an unauthenticated HTTP request leads to code execution on the server; affects Next.js 15/16 App Router applications and was mass exploited within 48 hours (including by Chinese state actors), followed by a bypass (CVE-2025-66478).</t>
  </si>
  <si>
    <t xml:space="preserve">RCE on modern React/Next.js servers, including SaaS platforms; theft of environment variables/secrets.</t>
  </si>
  <si>
    <t xml:space="preserve">Identify Next.js App Router/RSC applications and the React version (package.json via source maps, headers) and check for 19.0.1 / 19.1.2 / 19.2.1 or later; PoC only with a harmless payload within the RoE.</t>
  </si>
  <si>
    <t xml:space="preserve">Update React/RSC to 19.0.1 / 19.1.2 / 19.2.1+ and Next.js to the corresponding patch release (15.0.5 and later); WAF rules as a temporary mitigation; rotate secrets in case of prior exposure.</t>
  </si>
  <si>
    <t xml:space="preserve">Alert on POST requests with Next-Action headers and anomalous multipart/RSC payloads; child processes of node.</t>
  </si>
  <si>
    <t xml:space="preserve">React Server Components 19.0.0, 19.1.0, 19.1.1, 19.2.0 (react-server-dom-webpack/-turbopack/-parcel); Next.js 15.x/16.x App Router</t>
  </si>
  <si>
    <t xml:space="preserve">React 19.0.1 / 19.1.2 / 19.2.1 and Next.js patch releases (3 December 2025); see also CVE-2025-66478</t>
  </si>
  <si>
    <t xml:space="preserve">Yes - KEV since 2025-12-05</t>
  </si>
  <si>
    <t xml:space="preserve">CVE-2025-29927, AV-WEB-09, AV-WEB-23</t>
  </si>
  <si>
    <t xml:space="preserve">KEV (2025-12-05); CVSS source: CNA</t>
  </si>
  <si>
    <t xml:space="preserve">https://www.facebook.com/security/advisories/cve-2025-55182; https://react.dev/blog/2025/12/03/critical-security-vulnerability-in-react-server-components; https://nvd.nist.gov/vuln/detail/CVE-2025-55182</t>
  </si>
  <si>
    <t xml:space="preserve">CVE-2021-43798</t>
  </si>
  <si>
    <t xml:space="preserve">Grafana - unauthenticated path traversal (plugin assets)</t>
  </si>
  <si>
    <t xml:space="preserve">The path /public/plugins/&lt;plugin-id&gt;/../../../../etc/passwd allows an unauthenticated attacker to read arbitrary files from the Grafana server, including grafana.ini and the database with datasource credentials; only added to KEV in October 2025 due to ongoing exploitation.</t>
  </si>
  <si>
    <t xml:space="preserve">Leakage of configuration and datasource credentials (databases, cloud accounts) and of session data.</t>
  </si>
  <si>
    <t xml:space="preserve">Check the Grafana version (8.0.0-beta1 through 8.3.0 vulnerable) and test the traversal path with a harmless file within the RoE.</t>
  </si>
  <si>
    <t xml:space="preserve">Update to 8.3.1 / 8.2.7 / 8.1.8 / 8.0.7 or later; rotate datasource credentials and secret_key in case of exposure; Grafana behind SSO/VPN.</t>
  </si>
  <si>
    <t xml:space="preserve">Access logs with ../ in /public/plugins/ paths.</t>
  </si>
  <si>
    <t xml:space="preserve">Grafana 8.0.0-beta1 through 8.3.0 (except 8.0.7, 8.1.8, 8.2.7)</t>
  </si>
  <si>
    <t xml:space="preserve">Grafana 8.3.1 / 8.2.7 / 8.1.8 / 8.0.7 (December 2021)</t>
  </si>
  <si>
    <t xml:space="preserve">Yes - KEV since 2025-10-09</t>
  </si>
  <si>
    <t xml:space="preserve">AV-WEB-11, AV-WEB-48</t>
  </si>
  <si>
    <t xml:space="preserve">KEV (2025-10-09); CVSS source: CNA</t>
  </si>
  <si>
    <t xml:space="preserve">https://github.com/grafana/grafana/security/advisories/GHSA-8pjx-jj86-j47p; https://github.com/grafana/grafana/commit/c798c0e958d15d9cc7f27c72113d572fa58545ce; https://nvd.nist.gov/vuln/detail/CVE-2021-43798</t>
  </si>
  <si>
    <t xml:space="preserve">CVE-2025-24813</t>
  </si>
  <si>
    <t xml:space="preserve">Apache Tomcat - partial PUT path equivalence to RCE / information disclosure</t>
  </si>
  <si>
    <t xml:space="preserve">With a write-enabled Default Servlet (readonly=false, not the default) with partial PUT, an attacker can upload, via a path with an internal dot (file.Name), a serialized session file that is deserialized by file-based session persistence, resulting in RCE; also possible: reading/injecting sensitive uploads.</t>
  </si>
  <si>
    <t xml:space="preserve">RCE on Tomcat servers with a writable Default Servlet; exploited in the wild within days of publication.</t>
  </si>
  <si>
    <t xml:space="preserve">Check the Tomcat version (11.0.3 / 10.1.35 / 9.0.99 or later) and whether PUT is allowed on the Default Servlet (OPTIONS/PUT test) and session persistence with PersistentManager is active.</t>
  </si>
  <si>
    <t xml:space="preserve">Update Tomcat; readonly=true (default) on the Default Servlet; no file-based session persistence; restrict HTTP methods.</t>
  </si>
  <si>
    <t xml:space="preserve">Access logs with PUT requests with Content-Range and file names with unusual dots; new .session files.</t>
  </si>
  <si>
    <t xml:space="preserve">CWE-44, CWE-502</t>
  </si>
  <si>
    <t xml:space="preserve">Apache Tomcat 11.0.0-M1 through 11.0.2, 10.1.0-M1 through 10.1.34, 9.0.0.M1 through 9.0.98 (and EOL 8.5.x) with writes on the Default Servlet</t>
  </si>
  <si>
    <t xml:space="preserve">Tomcat 11.0.3 / 10.1.35 / 9.0.99 (March 2025)</t>
  </si>
  <si>
    <t xml:space="preserve">Yes - KEV since 2025-04-01</t>
  </si>
  <si>
    <t xml:space="preserve">AV-WEB-49, AV-WEB-09</t>
  </si>
  <si>
    <t xml:space="preserve">KEV (2025-04-01); CVSS source: ADP CISA-ADP</t>
  </si>
  <si>
    <t xml:space="preserve">https://lists.apache.org/thread/j5fkjv2k477os90nczf2v9l61fb0kkgq; https://nvd.nist.gov/vuln/detail/CVE-2025-24813</t>
  </si>
  <si>
    <t xml:space="preserve">CVE-2020-14882</t>
  </si>
  <si>
    <t xml:space="preserve">Oracle WebLogic Server - console authentication bypass to RCE (with CVE-2020-14883)</t>
  </si>
  <si>
    <t xml:space="preserve">A path traversal (/console/css/%252e%252e%252fconsole.portal) bypasses the authentication of the WebLogic Administration Console, after which code is executed via CVE-2020-14883 (handle parameter with com.tangosol.coherence.mvel2.sh.ShellSession or FileSystemXmlConfig); mass exploited within a week (Cobalt Strike, cryptominers).</t>
  </si>
  <si>
    <t xml:space="preserve">Unauthenticated RCE on WebLogic servers (often with sensitive business applications).</t>
  </si>
  <si>
    <t xml:space="preserve">Check whether the console (7001/7002) is reachable and the WebLogic version; test the bypass with a GET to console.portal (non-destructive) within the RoE.</t>
  </si>
  <si>
    <t xml:space="preserve">Install the Oracle CPU of October 2020 or later; console not exposed to the internet (or disable it); restrict access via network policy.</t>
  </si>
  <si>
    <t xml:space="preserve">Access logs with %252e%252e%252f in /console/ paths and handle= parameters with class names.</t>
  </si>
  <si>
    <t xml:space="preserve">CWE-22, CWE-287</t>
  </si>
  <si>
    <t xml:space="preserve">Oracle WebLogic Server 10.3.6.0.0, 12.1.3.0.0, 12.2.1.3.0, 12.2.1.4.0, 14.1.1.0.0</t>
  </si>
  <si>
    <t xml:space="preserve">Oracle Critical Patch Update October 2020</t>
  </si>
  <si>
    <t xml:space="preserve">CVE-2026-21962, AV-NET-12</t>
  </si>
  <si>
    <t xml:space="preserve">KEV (2021-11-03); CVSS source: CNA; Related CVEs without their own row: CVE-2020-14883</t>
  </si>
  <si>
    <t xml:space="preserve">https://www.oracle.com/security-alerts/cpuoct2020.html; http://packetstormsecurity.com/files/159769/Oracle-WebLogic-Server-Remote-Code-Execution.html; https://nvd.nist.gov/vuln/detail/CVE-2020-14882</t>
  </si>
  <si>
    <t xml:space="preserve">CVE-2026-21962</t>
  </si>
  <si>
    <t xml:space="preserve">Oracle HTTP Server / WebLogic Server Proxy Plug-in - unauthenticated access control bypass</t>
  </si>
  <si>
    <t xml:space="preserve">An access control flaw in the WebLogic Server Proxy Plug-in for Apache HTTP Server and IIS allows an unauthenticated attacker to compromise the proxy and the components behind it via HTTP (full C/I impact with scope change); published in the CPU of January 2026 and added to KEV in August 2026.</t>
  </si>
  <si>
    <t xml:space="preserve">Access to/modification of all data behind the proxy and pivot to WebLogic applications.</t>
  </si>
  <si>
    <t xml:space="preserve">Identify Oracle HTTP Server/WebLogic proxy deployments (headers, /weblogic paths) and check the version (12.2.1.4.0, 14.1.1.0.0, 14.1.2.0.0) against the CPU of January 2026.</t>
  </si>
  <si>
    <t xml:space="preserve">Install the Oracle CPU of January 2026 (or later); limit the exposure of management/proxy endpoints.</t>
  </si>
  <si>
    <t xml:space="preserve">Anomalous requests to WebLogic proxy paths and unauthenticated access to protected backend URLs.</t>
  </si>
  <si>
    <t xml:space="preserve">CVSS:3.1/AV:N/AC:L/PR:N/UI:N/S:C/C:H/I:H/A:N</t>
  </si>
  <si>
    <t xml:space="preserve">Oracle HTTP Server / WebLogic Server Proxy Plug-in 12.2.1.4.0, 14.1.1.0.0, 14.1.2.0.0 (IIS: only 12.2.1.4.0)</t>
  </si>
  <si>
    <t xml:space="preserve">Oracle Critical Patch Update January 2026</t>
  </si>
  <si>
    <t xml:space="preserve">Yes - KEV since 2026-08-24</t>
  </si>
  <si>
    <t xml:space="preserve">Exploited in the wild (KEV 2026-08-24)</t>
  </si>
  <si>
    <t xml:space="preserve">https://www.oracle.com/security-alerts/cpujan2026.html; https://nvd.nist.gov/vuln/detail/CVE-2026-21962</t>
  </si>
  <si>
    <t xml:space="preserve">CVE-2025-61882</t>
  </si>
  <si>
    <t xml:space="preserve">Oracle E-Business Suite - unauthenticated RCE (BI Publisher Integration; Cl0p data-theft campaign)</t>
  </si>
  <si>
    <t xml:space="preserve">A chain of flaws in Oracle Concurrent Processing/BI Publisher Integration of E-Business Suite 12.2.3-12.2.14 allows unauthenticated attackers to execute code via HTTP; used by Cl0p (FIN11) from August 2025 onwards for large-scale data theft and extortion, before Oracle released an emergency patch on 4 October 2025.</t>
  </si>
  <si>
    <t xml:space="preserve">Full access to ERP/HR/financial data and RCE on the application servers.</t>
  </si>
  <si>
    <t xml:space="preserve">Check the EBS version and whether the CPU of October 2025 (incl. alert CVE-2025-61882 and the preceding July CPU) is installed; check whether EBS web components are externally reachable; search for IoCs from the Oracle/Mandiant advisory.</t>
  </si>
  <si>
    <t xml:space="preserve">Install the Oracle emergency patch and CPUs; limit external exposure of EBS (VPN/WAF); investigate for compromise and data theft.</t>
  </si>
  <si>
    <t xml:space="preserve">Access logs with requests to /OA_HTML/configurator/UiServlet and SyncServlet with anomalous payloads; outbound connections from EBS servers.</t>
  </si>
  <si>
    <t xml:space="preserve">T1190, T1567</t>
  </si>
  <si>
    <t xml:space="preserve">CWE-287, CWE-918</t>
  </si>
  <si>
    <t xml:space="preserve">Oracle E-Business Suite 12.2.3 through 12.2.14 (Oracle Concurrent Processing, BI Publisher Integration)</t>
  </si>
  <si>
    <t xml:space="preserve">Security Alert CVE-2025-61882 (4 October 2025) on top of CPU October 2023+</t>
  </si>
  <si>
    <t xml:space="preserve">Yes - KEV since 2025-10-06</t>
  </si>
  <si>
    <t xml:space="preserve">Exploited in the wild (zero-day); exploit leaked by Scattered LAPSUS$ Hunters</t>
  </si>
  <si>
    <t xml:space="preserve">KEV (2025-10-06); see also CVE-2025-61884; CVSS source: CNA; Related CVEs without their own row: CVE-2026-46817</t>
  </si>
  <si>
    <t xml:space="preserve">https://www.oracle.com/security-alerts/alert-cve-2025-61882.html; https://nvd.nist.gov/vuln/detail/CVE-2025-61882</t>
  </si>
  <si>
    <t xml:space="preserve">CVE-2025-31324</t>
  </si>
  <si>
    <t xml:space="preserve">SAP NetWeaver Visual Composer - unauthenticated file upload RCE (Metadata Uploader)</t>
  </si>
  <si>
    <t xml:space="preserve">The /developmentserver/metadatauploader endpoint of Visual Composer (VCFRAMEWORK 7.50) lacks authorization, allowing an unauthenticated attacker to upload and execute JSP webshells as the SAP adm user; exploited from March 2025 onward by multiple (Chinese) actors and ransomware groups, later followed by the deserialization variant CVE-2025-42999.</t>
  </si>
  <si>
    <t xml:space="preserve">Full compromise of SAP systems (ERP data, credentials, pivot to the SAP landscape).</t>
  </si>
  <si>
    <t xml:space="preserve">Check whether Visual Composer is installed and whether /developmentserver/metadatauploader responds without authentication (HEAD/GET); check SAP Note 3594142/3604119; look for .jsp files in the irj webroot.</t>
  </si>
  <si>
    <t xml:space="preserve">Install SAP Notes 3594142 and 3604119 (or higher), disable Visual Composer if it is not used, restrict external access to SAP web endpoints.</t>
  </si>
  <si>
    <t xml:space="preserve">Alert on POST requests to /developmentserver/metadatauploader and on new .jsp files under j2ee/cluster/apps/sap.com/irj/servlet_jsp/irj/root.</t>
  </si>
  <si>
    <t xml:space="preserve">CWE-434, CWE-862</t>
  </si>
  <si>
    <t xml:space="preserve">SAP NetWeaver AS Java with Visual Composer VCFRAMEWORK 7.50</t>
  </si>
  <si>
    <t xml:space="preserve">SAP Note 3594142 (April 2025) + 3604119 (May 2025, CVE-2025-42999)</t>
  </si>
  <si>
    <t xml:space="preserve">Yes - KEV since 2025-04-29</t>
  </si>
  <si>
    <t xml:space="preserve">KEV (2025-04-29); CVSS source: CNA; Related CVEs without their own row: CVE-2025-42999</t>
  </si>
  <si>
    <t xml:space="preserve">https://me.sap.com/notes/3594142; https://url.sap/sapsecuritypatchday; https://nvd.nist.gov/vuln/detail/CVE-2025-31324</t>
  </si>
  <si>
    <t xml:space="preserve">CVE-2025-49113</t>
  </si>
  <si>
    <t xml:space="preserve">Roundcube Webmail - authenticated PHP object deserialization RCE</t>
  </si>
  <si>
    <t xml:space="preserve">The _from parameter in program/actions/settings/upload.php is not validated, allowing a logged-in user to achieve PHP object injection and RCE on the mail server; a decade-old flaw, exploited within days of the patch and added to KEV in February 2026 (also popular with state actors).</t>
  </si>
  <si>
    <t xml:space="preserve">RCE on the webmail server with an ordinary mail account (from phishing/spraying); access to all mailboxes.</t>
  </si>
  <si>
    <t xml:space="preserve">Check the Roundcube version (1.6.11 / 1.5.10 or higher) via the login page/CHANGELOG and whether external users can log in; PoC only with a test account within the RoE.</t>
  </si>
  <si>
    <t xml:space="preserve">Update Roundcube; MFA on webmail; restrict PHP execution and outbound connections from the webmail server.</t>
  </si>
  <si>
    <t xml:space="preserve">Alert on POST requests to settings/upload with anomalous _from values and on child processes of PHP-FPM.</t>
  </si>
  <si>
    <t xml:space="preserve">T1190, T1114</t>
  </si>
  <si>
    <t xml:space="preserve">Roundcube Webmail &lt; 1.5.10 and 1.6.x &lt; 1.6.11</t>
  </si>
  <si>
    <t xml:space="preserve">Roundcube 1.6.11 / 1.5.10 (1 June 2025)</t>
  </si>
  <si>
    <t xml:space="preserve">Yes - KEV since 2026-02-20</t>
  </si>
  <si>
    <t xml:space="preserve">AV-WEB-09, AV-EXT-06</t>
  </si>
  <si>
    <t xml:space="preserve">KEV (2026-02-20); CVSS source: CNA</t>
  </si>
  <si>
    <t xml:space="preserve">https://roundcube.net/news/2025/06/01/security-updates-1.6.11-and-1.5.10; https://github.com/roundcube/roundcubemail/pull/9865; https://nvd.nist.gov/vuln/detail/CVE-2025-49113</t>
  </si>
  <si>
    <t xml:space="preserve">CVE-2025-54253</t>
  </si>
  <si>
    <t xml:space="preserve">Adobe Experience Manager Forms (JEE) - misconfiguration leading to unauthenticated RCE</t>
  </si>
  <si>
    <t xml:space="preserve">AEM Forms on JEE 6.5.23 and earlier contained a Struts2 dev-mode/OGNL misconfiguration that allowed an unauthenticated attacker to execute code via the admin UI; published together with CVE-2025-54254 (XXE) after a public PoC and added to KEV in October 2025.</t>
  </si>
  <si>
    <t xml:space="preserve">RCE on AEM servers that often serve public websites and forms of large organizations.</t>
  </si>
  <si>
    <t xml:space="preserve">Identify AEM Forms JEE installations (/adminui, /lc/) and version; check for 6.5.0-0108 or higher; PoC only non-destructive within the RoE.</t>
  </si>
  <si>
    <t xml:space="preserve">Install AEM Forms 6.5.0-0108 (APSB25-82) or migrate to a supported release; restrict the admin UI to internal addresses.</t>
  </si>
  <si>
    <t xml:space="preserve">Access logs with OGNL expressions to /adminui paths; child processes of the AEM JVM.</t>
  </si>
  <si>
    <t xml:space="preserve">A03:2025, A02:2025</t>
  </si>
  <si>
    <t xml:space="preserve">CWE-863, CWE-917</t>
  </si>
  <si>
    <t xml:space="preserve">Adobe Experience Manager Forms on JEE 6.5.23.0 and earlier</t>
  </si>
  <si>
    <t xml:space="preserve">AEM Forms on JEE 6.5.0-0108 (August 2025, APSB25-82)</t>
  </si>
  <si>
    <t xml:space="preserve">Yes - KEV since 2025-10-15</t>
  </si>
  <si>
    <t xml:space="preserve">Yes (public PoC)</t>
  </si>
  <si>
    <t xml:space="preserve">KEV (2025-10-15); CVSS source: CNA; Related CVEs without their own row: CVE-2025-54254</t>
  </si>
  <si>
    <t xml:space="preserve">https://helpx.adobe.com/security/products/aem-forms/apsb25-82.html; https://nvd.nist.gov/vuln/detail/CVE-2025-54253</t>
  </si>
  <si>
    <t xml:space="preserve">CVE-2026-75650</t>
  </si>
  <si>
    <t xml:space="preserve">Adobe Commerce / Magento - template engine injection pre-auth RCE (also CVE-2025-54236 SessionReaper)</t>
  </si>
  <si>
    <t xml:space="preserve">A template injection in Adobe Commerce and Magento Open Source allows an unauthenticated attacker to execute code (September 2026); it was preceded in 2025 by the REST API session takeover SessionReaper (CVE-2025-54236), which was mass exploited for account takeover and webshells on online stores.</t>
  </si>
  <si>
    <t xml:space="preserve">Takeover of e-commerce platforms: skimming of payment data (Magecart), customer data and full server compromise.</t>
  </si>
  <si>
    <t xml:space="preserve">Check the Magento/Adobe Commerce version and hotfixes (APSB26-146 for 75650; APSB25-88/hotfix for 54236) via /magento_version or composer.lock; PoC only within the RoE.</t>
  </si>
  <si>
    <t xml:space="preserve">Install the Adobe hotfixes/patch releases immediately, WAF for REST/GraphQL APIs, monitoring for skimmer injections, rotate admin credentials.</t>
  </si>
  <si>
    <t xml:space="preserve">Alert on anomalous REST API requests (customer/address with nested objects), new PHP files and modified JavaScript in the storefront.</t>
  </si>
  <si>
    <t xml:space="preserve">CWE-1336, CWE-20</t>
  </si>
  <si>
    <t xml:space="preserve">Adobe Commerce/B2B and Magento Open Source 2.4.4 through 2.4.9 without the August/September 2026 hotfix (75650); 2.4.4-p15 through 2.4.9-alpha2 without hotfix (54236)</t>
  </si>
  <si>
    <t xml:space="preserve">Hotfix per APSB26-146 (September 2026); hotfix/patch per APSB25-88 (September 2025)</t>
  </si>
  <si>
    <t xml:space="preserve">Exploited in the wild (KEV 2026-09-08; 2025-10-24)</t>
  </si>
  <si>
    <t xml:space="preserve">KEV; CVSS source: CNA; Related CVEs without their own row: CVE-2025-54236, CVE-2026-71362</t>
  </si>
  <si>
    <t xml:space="preserve">https://helpx.adobe.com/security/products/magento/apsb26-146.html; https://nvd.nist.gov/vuln/detail/CVE-2026-75650</t>
  </si>
  <si>
    <t xml:space="preserve">CVE-2025-53690</t>
  </si>
  <si>
    <t xml:space="preserve">Sitecore XM/XP - ViewState deserialization RCE via sample machine key</t>
  </si>
  <si>
    <t xml:space="preserve">Older Sitecore installations (through 9.0) used the sample ASP.NET machineKey published in the documentation, allowing attackers to sign valid ViewState payloads and execute code (WEEPSTEEL recon, EarthWorm, Dwagent); reported by Mandiant in September 2025.</t>
  </si>
  <si>
    <t xml:space="preserve">RCE on Sitecore web servers (widely used by government and major brands) and pivot to the internal network.</t>
  </si>
  <si>
    <t xml:space="preserve">Check the Sitecore version and whether the machineKey in web.config matches the published sample key or is otherwise known; test ViewState signing only within the RoE.</t>
  </si>
  <si>
    <t xml:space="preserve">Rotate the ASP.NET machineKey (unique, secret keys), update Sitecore, examine IIS logs for compromise; general rule: never use sample keys from documentation.</t>
  </si>
  <si>
    <t xml:space="preserve">IIS logs with large __VIEWSTATE POSTs and ViewState MAC errors (Event 1316); child processes of w3wp.exe.</t>
  </si>
  <si>
    <t xml:space="preserve">CWE-502, CWE-321</t>
  </si>
  <si>
    <t xml:space="preserve">Sitecore Experience Manager (XM) and Experience Platform (XP) through 9.0 installed with the sample machineKey</t>
  </si>
  <si>
    <t xml:space="preserve">Key rotation (KB1003865); newer versions generate unique keys</t>
  </si>
  <si>
    <t xml:space="preserve">Yes - KEV since 2025-09-04</t>
  </si>
  <si>
    <t xml:space="preserve">Exploited in the wild (KEV 2025-09-04); ViewState tooling public (ysoserial.net)</t>
  </si>
  <si>
    <t xml:space="preserve">AV-WEB-09, AV-WEB-18, CVE-2025-53770</t>
  </si>
  <si>
    <t xml:space="preserve">https://cloud.google.com/blog/topics/threat-intelligence/viewstate-deserialization-zero-day-vulnerability; https://support.sitecore.com/kb?id=kb_article_view&amp;sysparm_article=KB1003865; https://nvd.nist.gov/vuln/detail/CVE-2025-53690</t>
  </si>
  <si>
    <t xml:space="preserve">CVE-2025-32432</t>
  </si>
  <si>
    <t xml:space="preserve">Craft CMS - unauthenticated RCE (chained with Yii CVE-2024-58136)</t>
  </si>
  <si>
    <t xml:space="preserve">A flaw in the asset transform handling of Craft CMS (3.0.0-RC1 through 5.6.16) allows unauthenticated attackers to execute PHP code, in combination with a Yii framework flaw (CVE-2024-58136); used in early 2025 to compromise hundreds of Craft sites and added to KEV in March 2026.</t>
  </si>
  <si>
    <t xml:space="preserve">Full takeover of the website and server.</t>
  </si>
  <si>
    <t xml:space="preserve">Check the Craft version (3.9.15 / 4.14.15 / 5.6.17 or higher) via composer.lock/headers; PoC only with a harmless payload within the RoE.</t>
  </si>
  <si>
    <t xml:space="preserve">Update Craft CMS and Yii; rotate security keys (CRAFT_SECURITY_KEY) and database credentials in case of prior exposure.</t>
  </si>
  <si>
    <t xml:space="preserve">Access logs with POST to /index.php?p=admin/actions/assets/generate-transform with anomalous payloads; new PHP files.</t>
  </si>
  <si>
    <t xml:space="preserve">CVSS:3.1/AV:N/AC:L/PR:N/UI:N/S:C/C:H/I:H/A:L</t>
  </si>
  <si>
    <t xml:space="preserve">Craft CMS 3.0.0-RC1 through 3.9.14, 4.0.0-RC1 through 4.14.14, 5.0.0-RC1 through 5.6.16</t>
  </si>
  <si>
    <t xml:space="preserve">Craft 3.9.15 / 4.14.15 / 5.6.17 (April 2025)</t>
  </si>
  <si>
    <t xml:space="preserve">Yes - KEV since 2026-03-20</t>
  </si>
  <si>
    <t xml:space="preserve">KEV (2026-03-20); CVSS source: CNA; Related CVEs without their own row: CVE-2024-58136</t>
  </si>
  <si>
    <t xml:space="preserve">https://github.com/craftcms/cms/security/advisories/GHSA-f3gw-9ww9-jmc3; https://github.com/craftcms/cms/commit/e1c85441fa47eeb7c688c2053f25419bc0547b47; https://nvd.nist.gov/vuln/detail/CVE-2025-32432</t>
  </si>
  <si>
    <t xml:space="preserve">CVE-2026-5430</t>
  </si>
  <si>
    <t xml:space="preserve">WSO2 API Manager / Universal Gateway - JWT algorithm mismatch authentication bypass (account takeover)</t>
  </si>
  <si>
    <t xml:space="preserve">The JWT authentication of multiple WSO2 products accepts tokens with algorithms other than the configured one, allowing an attacker to get a self-crafted JWT validated and achieve takeover of arbitrary (admin) accounts; added to KEV in September 2026. Classic example of algorithm confusion (see AV-WEB-14).</t>
  </si>
  <si>
    <t xml:space="preserve">Full account takeover including administrators of the API gateway and thereby of all backend APIs.</t>
  </si>
  <si>
    <t xml:space="preserve">Check the WSO2 version/update level against WSO2-2026-5328 and test (with a test tenant) whether a JWT with a different alg/none is accepted.</t>
  </si>
  <si>
    <t xml:space="preserve">Install the WSO2 updates; enforce a strict algorithm allowlist in the JWT validation; rotate keys and check for unknown admin sessions.</t>
  </si>
  <si>
    <t xml:space="preserve">Alert on JWTs with unexpected alg headers and on admin logins without an IdP event.</t>
  </si>
  <si>
    <t xml:space="preserve">T1190, T1606</t>
  </si>
  <si>
    <t xml:space="preserve">WSO2 API Manager 4.1.0-4.6.0, Universal Gateway/Traffic Manager/API Control Plane 4.5.0-4.6.0 without update (see advisory)</t>
  </si>
  <si>
    <t xml:space="preserve">See WSO2 Security Advisory WSO2-2026-5328 (August 2026)</t>
  </si>
  <si>
    <t xml:space="preserve">Yes - KEV since 2026-09-24</t>
  </si>
  <si>
    <t xml:space="preserve">Exploited in the wild (KEV 2026-09-24)</t>
  </si>
  <si>
    <t xml:space="preserve">AV-WEB-14, AV-API-02</t>
  </si>
  <si>
    <t xml:space="preserve">https://security.docs.wso2.com/en/latest/security-announcements/security-advisories/2026/WSO2-2026-5328/; https://nvd.nist.gov/vuln/detail/CVE-2026-5430</t>
  </si>
  <si>
    <t xml:space="preserve">CVE-2024-23897</t>
  </si>
  <si>
    <t xml:space="preserve">Jenkins CLI - unauthenticated arbitrary file read (args4j @-expansion) to RCE</t>
  </si>
  <si>
    <t xml:space="preserve">The Jenkins CLI parser replaces an @ character followed by a file path with the contents of that file, allowing unauthenticated attackers (with the default 'anonymous read') to read files on the controller, including secrets, and to achieve RCE via, among others, 'Remember me' cookies or cross-site WebSocket; exploited by ransomware groups in 2024.</t>
  </si>
  <si>
    <t xml:space="preserve">Theft of credentials/SSH keys/cloud tokens from the CI server and RCE; supply chain risk for all built software.</t>
  </si>
  <si>
    <t xml:space="preserve">Check the Jenkins version (2.442 / LTS 2.426.3 or higher) and whether the CLI endpoints are reachable (/cli); test with a harmless file (non-destructive) within the RoE.</t>
  </si>
  <si>
    <t xml:space="preserve">Update Jenkins, disable CLI access if unused, no anonymous read permissions, Jenkins behind SSO/VPN, rotate credentials in case of exposure.</t>
  </si>
  <si>
    <t xml:space="preserve">Access logs with POST to /cli with anomalous payloads; alert on new admin users and pipeline changes.</t>
  </si>
  <si>
    <t xml:space="preserve">CWE-27</t>
  </si>
  <si>
    <t xml:space="preserve">Jenkins 2.441 and earlier, LTS 2.426.2 and earlier</t>
  </si>
  <si>
    <t xml:space="preserve">Jenkins 2.442 / LTS 2.426.3 (January 2024)</t>
  </si>
  <si>
    <t xml:space="preserve">Yes - KEV since 2024-08-19</t>
  </si>
  <si>
    <t xml:space="preserve">AV-CLD-14, CVE-2026-63077</t>
  </si>
  <si>
    <t xml:space="preserve">KEV (2024-08-19); CVSS source: ADP CISA-ADP</t>
  </si>
  <si>
    <t xml:space="preserve">https://www.jenkins.io/security/advisory/2024-01-24/#SECURITY-3314; https://www.sonarsource.com/blog/excessive-expansion-uncovering-critical-security-vulnerabilities-in-jenkins/; https://nvd.nist.gov/vuln/detail/CVE-2024-23897</t>
  </si>
  <si>
    <t xml:space="preserve">CVE-2023-7028</t>
  </si>
  <si>
    <t xml:space="preserve">GitLab CE/EE - account takeover via password reset to unverified e-mail</t>
  </si>
  <si>
    <t xml:space="preserve">The password reset form accepted an array of e-mail addresses, causing the reset link to also be sent to an attacker-controlled address; without MFA this leads directly to takeover of any account including administrators (January 2024, mass exploited).</t>
  </si>
  <si>
    <t xml:space="preserve">Takeover of GitLab accounts and source code, CI/CD secrets and deploy pipelines.</t>
  </si>
  <si>
    <t xml:space="preserve">Check the GitLab version (16.1.6 through 16.7.2 or higher) and whether self-managed GitLab is externally reachable with password reset enabled; test only with your own test account within the RoE.</t>
  </si>
  <si>
    <t xml:space="preserve">Update GitLab; mandatory MFA for all users; check for reset requests with multiple addresses in the logs (gitlab-rails/production_json.log).</t>
  </si>
  <si>
    <t xml:space="preserve">Logs with 'params' containing an array of e-mail addresses at /users/password; unexpected password changes of administrators.</t>
  </si>
  <si>
    <t xml:space="preserve">T1190, T1098</t>
  </si>
  <si>
    <t xml:space="preserve">GitLab CE/EE 16.1 through 16.1.5, 16.2-16.2.8, 16.3-16.3.6, 16.4-16.4.4, 16.5-16.5.5, 16.6-16.6.3, 16.7-16.7.1</t>
  </si>
  <si>
    <t xml:space="preserve">GitLab 16.1.6 / 16.2.9 / 16.3.7 / 16.4.5 / 16.5.6 / 16.6.4 / 16.7.2 (January 2024)</t>
  </si>
  <si>
    <t xml:space="preserve">Yes - KEV since 2024-05-01</t>
  </si>
  <si>
    <t xml:space="preserve">AV-WEB-45, CVE-2026-85706</t>
  </si>
  <si>
    <t xml:space="preserve">KEV (2024-05-01); CVSS source: CNA</t>
  </si>
  <si>
    <t xml:space="preserve">https://gitlab.com/gitlab-org/gitlab/-/issues/436084; https://hackerone.com/reports/2293343; https://nvd.nist.gov/vuln/detail/CVE-2023-7028</t>
  </si>
  <si>
    <t xml:space="preserve">CVE-2026-85706</t>
  </si>
  <si>
    <t xml:space="preserve">GitLab CE/EE - unauthenticated arbitrary file read (repository commits API path traversal)</t>
  </si>
  <si>
    <t xml:space="preserve">Insufficient path restriction and missing authentication in the repository commits API allow an unauthenticated attacker to read arbitrary files from the GitLab server (secrets, gitlab.rb, database config, tokens); added to KEV in September 2026.</t>
  </si>
  <si>
    <t xml:space="preserve">Leakage of secrets leading to full takeover of GitLab and linked cloud/CI environments.</t>
  </si>
  <si>
    <t xml:space="preserve">Check the GitLab version (18.11.12 / 19.0.9 / 19.1.8 / 19.2.6 / 19.3.2 or higher) and external exposure; test with a harmless file within the RoE.</t>
  </si>
  <si>
    <t xml:space="preserve">Update GitLab immediately; rotate all secrets (runner tokens, OAuth, database, Rails secret) in case of prior exposure.</t>
  </si>
  <si>
    <t xml:space="preserve">Access logs with traversal sequences in /api/v4/projects/*/repository/commits requests.</t>
  </si>
  <si>
    <t xml:space="preserve">GitLab CE/EE 18.7 through 18.11.11, 19.0-19.0.8, 19.1-19.1.7, 19.2-19.2.5, 19.3-19.3.1</t>
  </si>
  <si>
    <t xml:space="preserve">GitLab 18.11.12 / 19.0.9 / 19.1.8 / 19.2.6 / 19.3.2 (September 2026)</t>
  </si>
  <si>
    <t xml:space="preserve">Yes - KEV since 2026-09-11</t>
  </si>
  <si>
    <t xml:space="preserve">Exploited in the wild (KEV 2026-09-11)</t>
  </si>
  <si>
    <t xml:space="preserve">CVE-2023-7028, AV-CLD-14</t>
  </si>
  <si>
    <t xml:space="preserve">https://gitlab.com/gitlab-org/gitlab/-/work_items/627748; https://hackerone.com/reports/3909881; https://nvd.nist.gov/vuln/detail/CVE-2026-85706</t>
  </si>
  <si>
    <t xml:space="preserve">CVE-2026-63077</t>
  </si>
  <si>
    <t xml:space="preserve">JetBrains TeamCity - unauthenticated RCE via agent polling protocol (XStream deserialization; also CVE-2024-27198)</t>
  </si>
  <si>
    <t xml:space="preserve">The agent polling protocol of TeamCity deserializes untrusted data (XStream), allowing an unauthenticated attacker to execute code on the CI server (August 2026); earlier (CVE-2024-27198/27199, March 2024) an authentication bypass already gave admin access and was exploited by ransomware groups, among others (APT29 previously exploited CVE-2023-42793).</t>
  </si>
  <si>
    <t xml:space="preserve">Takeover of the build server and thereby of source code, secrets and the software supply chain to customers.</t>
  </si>
  <si>
    <t xml:space="preserve">Check the TeamCity version (2026.1.3 / 2025.11.7 or higher; for 27198 2023.11.4) and whether the server is externally reachable; PoC only within the RoE.</t>
  </si>
  <si>
    <t xml:space="preserve">Update TeamCity; server not directly exposed to the internet; rotate secrets and check for unknown admin users/tokens.</t>
  </si>
  <si>
    <t xml:space="preserve">Alert on anomalous agent registrations/polling requests and on child processes of the TeamCity JVM.</t>
  </si>
  <si>
    <t xml:space="preserve">T1190, T1195.002</t>
  </si>
  <si>
    <t xml:space="preserve">TeamCity &lt; 2026.1.3 and &lt; 2025.11.7 (CVE-2026-63077); &lt; 2023.11.4 (CVE-2024-27198)</t>
  </si>
  <si>
    <t xml:space="preserve">TeamCity 2026.1.3 / 2025.11.7 (July 2026); 2023.11.4 (March 2024)</t>
  </si>
  <si>
    <t xml:space="preserve">Yes - KEV since 2026-08-05</t>
  </si>
  <si>
    <t xml:space="preserve">Exploited in the wild (KEV 2026-08-05; CVE-2024-27198 Metasploit)</t>
  </si>
  <si>
    <t xml:space="preserve">CVE-2024-23897, AV-CLD-14</t>
  </si>
  <si>
    <t xml:space="preserve">KEV; CVSS source: CNA; Related CVEs without their own row: CVE-2024-27198</t>
  </si>
  <si>
    <t xml:space="preserve">https://www.jetbrains.com/privacy-security/issues-fixed/; https://nvd.nist.gov/vuln/detail/CVE-2026-63077</t>
  </si>
  <si>
    <t xml:space="preserve">CVE-2026-82329</t>
  </si>
  <si>
    <t xml:space="preserve">JFrog Artifactory - authentication weakness leading to administrative access (join key)</t>
  </si>
  <si>
    <t xml:space="preserve">Under the default configuration, an authentication weakness (abuse of the join key to mint admin tokens) allows an unauthenticated attacker with network access to obtain administrator privileges on self-hosted Artifactory; added to KEV in September 2026 together with CVE-2026-42016/42018.</t>
  </si>
  <si>
    <t xml:space="preserve">Takeover of the artifact repository: manipulation of packages/containers (supply chain), theft of credentials and tokens.</t>
  </si>
  <si>
    <t xml:space="preserve">Check the Artifactory version against the JFrog advisories (7.111.21 / 7.117.28 / 7.125.20 / 7.133.29 / 7.146.38 / 7.161.20 or higher) and whether the instance is reachable from outside the management zone.</t>
  </si>
  <si>
    <t xml:space="preserve">Update Artifactory; rotate join keys and admin tokens; restrict network access; sign and verify artifacts (SLSA).</t>
  </si>
  <si>
    <t xml:space="preserve">Alert on creation of admin tokens/users and on changes to existing artifacts/versions.</t>
  </si>
  <si>
    <t xml:space="preserve">T1190, T1195.001</t>
  </si>
  <si>
    <t xml:space="preserve">JFrog Artifactory Self-Hosted &lt; 7.111.21, 7.117.0-7.117.27, 7.125.0-7.125.19, 7.133.0-7.133.28, 7.146.0-7.146.37, 7.161.0-7.161.19</t>
  </si>
  <si>
    <t xml:space="preserve">See JFrog Security Advisories (August/September 2026)</t>
  </si>
  <si>
    <t xml:space="preserve">AV-CLD-19, AV-CLD-14</t>
  </si>
  <si>
    <t xml:space="preserve">KEV; CVSS source: CNA; Related CVEs without their own row: CVE-2026-42016</t>
  </si>
  <si>
    <t xml:space="preserve">https://docs.jfrog.com/releases/docs/jfrog-security-advisories; https://docs.jfrog.com/releases/docs/artifactory-self-managed-releases; https://nvd.nist.gov/vuln/detail/CVE-2026-82329</t>
  </si>
  <si>
    <t xml:space="preserve">CVE-2026-72898</t>
  </si>
  <si>
    <t xml:space="preserve">Metabase - unauthenticated SQL injection in password reset endpoint (admin takeover)</t>
  </si>
  <si>
    <t xml:space="preserve">The /reset_password endpoint of Metabase (open-source BI) is vulnerable to SQL injection, through which an unauthenticated attacker obtains administrator access to the Metabase instance and thereby to all connected databases; added to KEV in August 2026.</t>
  </si>
  <si>
    <t xml:space="preserve">Access to all business data via connected data sources and, via native queries, often RCE on database servers.</t>
  </si>
  <si>
    <t xml:space="preserve">Check the Metabase version (x.58.24 / x.59.21 / x.60.17 / x.61.11 / x.62.9 / x.63.5 or higher) and external exposure; PoC only non-destructive (time-based) within the RoE.</t>
  </si>
  <si>
    <t xml:space="preserve">Update Metabase; Metabase behind SSO/VPN; least-privilege database accounts for data sources; rotate credentials in case of exposure.</t>
  </si>
  <si>
    <t xml:space="preserve">Alert on anomalous POST requests to /api/session/reset_password and on new admin users.</t>
  </si>
  <si>
    <t xml:space="preserve">Metabase x.58.0-x.58.23, x.59.0-x.59.20, x.60.0-x.60.16, x.61.0-x.61.10, x.62.0-x.62.8, x.63.0-x.63.4</t>
  </si>
  <si>
    <t xml:space="preserve">x.58.24 / x.59.21 / x.60.17 / x.61.11 / x.62.9 / x.63.5 (August 2026)</t>
  </si>
  <si>
    <t xml:space="preserve">Yes - KEV since 2026-08-11</t>
  </si>
  <si>
    <t xml:space="preserve">Exploited in the wild (KEV 2026-08-11)</t>
  </si>
  <si>
    <t xml:space="preserve">AV-WEB-03, AV-WEB-45, AV-NET-14</t>
  </si>
  <si>
    <t xml:space="preserve">https://github.com/metabase/metabase/security/advisories/GHSA-vwf4-m7j8-wcjf; https://www.metabase.com/blog/security-update; https://nvd.nist.gov/vuln/detail/CVE-2026-72898</t>
  </si>
  <si>
    <t xml:space="preserve">CVE-2021-36934</t>
  </si>
  <si>
    <t xml:space="preserve">Windows - overly permissive ACLs on SAM/SYSTEM/SECURITY hives (HiveNightmare / SeriousSAM)</t>
  </si>
  <si>
    <t xml:space="preserve">On Windows 10 1809+ and Windows 11, ordinary users could read the SAM, SYSTEM and SECURITY registry hives via Volume Shadow Copies, from which local password hashes, the machine account hash and DPAPI keys can be extracted (pass-the-hash, silver tickets).</t>
  </si>
  <si>
    <t xml:space="preserve">Local escalation to SYSTEM and theft of credentials from any user account, as long as shadow copies exist.</t>
  </si>
  <si>
    <t xml:space="preserve">Check the ACL of %windir%\system32\config\SAM (icacls) and whether shadow copies are present (vssadmin list shadows) on a representative workstation.</t>
  </si>
  <si>
    <t xml:space="preserve">Install the August 2021 update and restore ACLs (icacls ... /inheritance:e) and remove existing shadow copies (KB5005357).</t>
  </si>
  <si>
    <t xml:space="preserve">Alert on access to \\?\GLOBALROOT\Device\HarddiskVolumeShadowCopy*\Windows\System32\config by user processes.</t>
  </si>
  <si>
    <t xml:space="preserve">T1003.002, T1068</t>
  </si>
  <si>
    <t xml:space="preserve">Windows 10 1809 through 21H1 and Windows 11 (preview) without the August 2021 update</t>
  </si>
  <si>
    <t xml:space="preserve">Update of 10 August 2021 + manual ACL/shadow copy cleanup</t>
  </si>
  <si>
    <t xml:space="preserve">AV-HOST-01, AV-HOST-04, AV-AD-05</t>
  </si>
  <si>
    <t xml:space="preserve">KEV (2022-02-10); CVSS source: CNA</t>
  </si>
  <si>
    <t xml:space="preserve">https://msrc.microsoft.com/update-guide/vulnerability/CVE-2021-36934; https://nvd.nist.gov/vuln/detail/CVE-2021-36934</t>
  </si>
  <si>
    <t xml:space="preserve">CVE-2025-29824</t>
  </si>
  <si>
    <t xml:space="preserve">Windows CLFS driver - use-after-free local privilege escalation (ransomware zero-day)</t>
  </si>
  <si>
    <t xml:space="preserve">A use-after-free in the Common Log File System driver (clfs.sys) allows a local user to become SYSTEM; used as a zero-day by Storm-2460 (PipeMagic) for RansomEXX ransomware. CLFS is a recurring source of in-the-wild LPEs (CVE-2023-28252, CVE-2025-32701/32706).</t>
  </si>
  <si>
    <t xml:space="preserve">Reliable escalation to SYSTEM after initial access; credential dumping and ransomware deployment.</t>
  </si>
  <si>
    <t xml:space="preserve">Check the patch level (April 2025 or later) on workstations and servers; PoC only on test systems.</t>
  </si>
  <si>
    <t xml:space="preserve">Install the April 2025 update; patch management with KEV priority; EDR with exploit detection.</t>
  </si>
  <si>
    <t xml:space="preserve">EDR detection of CLFS exploit behavior (BLF files in user folders, PipeMagic IoCs) and of SYSTEM processes started from user sessions.</t>
  </si>
  <si>
    <t xml:space="preserve">Windows 10/11 and Windows Server 2008 R2 through 2025 without the update of 8 April 2025 (Windows 11 24H2 not exploitable due to mitigations)</t>
  </si>
  <si>
    <t xml:space="preserve">Update of April 2025</t>
  </si>
  <si>
    <t xml:space="preserve">Yes - KEV since 2025-04-08</t>
  </si>
  <si>
    <t xml:space="preserve">Exploited in the wild (KEV 2025-04-08); public analysis</t>
  </si>
  <si>
    <t xml:space="preserve">KEV; CVSS source: CNA; Related CVEs without their own row: CVE-2023-28252</t>
  </si>
  <si>
    <t xml:space="preserve">https://msrc.microsoft.com/update-guide/vulnerability/CVE-2025-29824; https://nvd.nist.gov/vuln/detail/CVE-2025-29824</t>
  </si>
  <si>
    <t xml:space="preserve">CVE-2026-85880</t>
  </si>
  <si>
    <t xml:space="preserve">Windows ALPC - heap-based buffer overflow local privilege escalation (in the wild)</t>
  </si>
  <si>
    <t xml:space="preserve">A heap overflow in Windows Advanced Local Procedure Call allows a local user to execute code as SYSTEM; patched as a zero-day in September 2026 and added to KEV, one of the series of Windows LPEs used in attack chains in 2026 (alongside, among others, CVE-2026-21519 DWM and CVE-2026-68820 afd.sys).</t>
  </si>
  <si>
    <t xml:space="preserve">Escalation to SYSTEM after phishing or webshell; stepping stone for credential dumping and lateral movement.</t>
  </si>
  <si>
    <t xml:space="preserve">Check the patch level (September 2026 or later); PoC only on test systems.</t>
  </si>
  <si>
    <t xml:space="preserve">Install the September 2026 update; patch management with KEV priority; EDR in block mode.</t>
  </si>
  <si>
    <t xml:space="preserve">EDR detection of ALPC exploit patterns and unexpected SYSTEM processes from user context.</t>
  </si>
  <si>
    <t xml:space="preserve">CWE-122, CWE-908</t>
  </si>
  <si>
    <t xml:space="preserve">Windows 10/11 and Windows Server 2012 through 2025 without the update of 8 September 2026</t>
  </si>
  <si>
    <t xml:space="preserve">Update of September 2026 (e.g. 10.0.19045.7725)</t>
  </si>
  <si>
    <t xml:space="preserve">AV-HOST-07, CVE-2025-29824</t>
  </si>
  <si>
    <t xml:space="preserve">https://msrc.microsoft.com/update-guide/vulnerability/CVE-2026-85880; https://nvd.nist.gov/vuln/detail/CVE-2026-85880</t>
  </si>
  <si>
    <t xml:space="preserve">CVE-2021-4034</t>
  </si>
  <si>
    <t xml:space="preserve">Linux polkit pkexec - local privilege escalation (PwnKit)</t>
  </si>
  <si>
    <t xml:space="preserve">pkexec handles argc=0 incorrectly and reads/writes outside the argument list, causing a shared library to be loaded as root via environment variables (GCONV_PATH); present in almost every Linux distribution since 2009 and trivial to exploit.</t>
  </si>
  <si>
    <t xml:space="preserve">Any local user becomes root on unpatched Linux systems.</t>
  </si>
  <si>
    <t xml:space="preserve">Check the polkit/pkexec version and SUID bit (ls -l $(which pkexec)) against the distribution patch of January 2022; PoC only within the RoE (reliable and non-destructive).</t>
  </si>
  <si>
    <t xml:space="preserve">Update polkit (distribution patch January 2022); as a workaround, remove the SUID bit from pkexec (chmod 0755).</t>
  </si>
  <si>
    <t xml:space="preserve">Auditd/EDR on pkexec invocations without arguments and on GCONV_PATH in the environment.</t>
  </si>
  <si>
    <t xml:space="preserve">T1068, T1548.001</t>
  </si>
  <si>
    <t xml:space="preserve">polkit (pkexec) 0.105 through 0.120 on all major distributions (RHEL 6-8, Ubuntu 14.04-21.10, Debian, SLES and others) without the patch of 25 January 2022</t>
  </si>
  <si>
    <t xml:space="preserve">Distribution patches January 2022 (polkit 0.120-2 and others)</t>
  </si>
  <si>
    <t xml:space="preserve">Yes - KEV since 2022-06-27</t>
  </si>
  <si>
    <t xml:space="preserve">KEV (2022-06-27); CVSS source: ADP CISA-ADP</t>
  </si>
  <si>
    <t xml:space="preserve">https://access.redhat.com/security/vulnerabilities/RHSB-2022-001; https://www.qualys.com/2022/01/25/cve-2021-4034/pwnkit.txt; https://nvd.nist.gov/vuln/detail/CVE-2021-4034</t>
  </si>
  <si>
    <t xml:space="preserve">CVE-2022-0847</t>
  </si>
  <si>
    <t xml:space="preserve">Linux kernel - pipe buffer flag initialization (Dirty Pipe) local privilege escalation</t>
  </si>
  <si>
    <t xml:space="preserve">Uninitialized flags in the pipe buffer structure allow an unprivileged user to write into the page cache of read-only files (e.g. /etc/passwd, SUID binaries), without traces on disk; also usable for container escape in some configurations.</t>
  </si>
  <si>
    <t xml:space="preserve">Local escalation to root on Linux 5.8 through 5.16.10 (also Android 12).</t>
  </si>
  <si>
    <t xml:space="preserve">Check the kernel version (5.8 &lt;= version &lt; 5.16.11 / 5.15.25 / 5.10.102 vulnerable) on servers, container hosts and appliances; PoC only within the RoE.</t>
  </si>
  <si>
    <t xml:space="preserve">Update the kernel (5.16.11 / 5.15.25 / 5.10.102 or distribution patch); reboot; replace EOL kernels.</t>
  </si>
  <si>
    <t xml:space="preserve">Limited; EDR on anomalous splice/pipe syscall patterns and changes to SUID binaries in memory.</t>
  </si>
  <si>
    <t xml:space="preserve">CWE-665</t>
  </si>
  <si>
    <t xml:space="preserve">Linux kernel 5.8 through 5.16.10 (fix in 5.16.11, 5.15.25, 5.10.102)</t>
  </si>
  <si>
    <t xml:space="preserve">Kernel 5.16.11 / 5.15.25 / 5.10.102 (February 2022)</t>
  </si>
  <si>
    <t xml:space="preserve">Yes - KEV since 2022-04-25</t>
  </si>
  <si>
    <t xml:space="preserve">AV-HOST-03, AV-HOST-07</t>
  </si>
  <si>
    <t xml:space="preserve">KEV (2022-04-25); CVSS source: ADP CISA-ADP</t>
  </si>
  <si>
    <t xml:space="preserve">https://bugzilla.redhat.com/show_bug.cgi?id=2060795; https://dirtypipe.cm4all.com/; https://nvd.nist.gov/vuln/detail/CVE-2022-0847</t>
  </si>
  <si>
    <t xml:space="preserve">CVE-2023-4911</t>
  </si>
  <si>
    <t xml:space="preserve">glibc ld.so GLIBC_TUNABLES - buffer overflow local privilege escalation (Looney Tunables)</t>
  </si>
  <si>
    <t xml:space="preserve">The dynamic loader handles the GLIBC_TUNABLES environment variable incorrectly, allowing a buffer overflow and root privileges to be obtained via a SUID binary on glibc 2.34-2.38 (Fedora, Ubuntu 22.04/23.04, Debian 12 and others); exploited by Kinsing malware in cloud environments.</t>
  </si>
  <si>
    <t xml:space="preserve">Local escalation to root on modern Linux distributions.</t>
  </si>
  <si>
    <t xml:space="preserve">Check the glibc version (2.34 through 2.38 without patch) via ldd --version/package version; PoC only within the RoE.</t>
  </si>
  <si>
    <t xml:space="preserve">Update glibc (patches October 2023); restart services that use glibc.</t>
  </si>
  <si>
    <t xml:space="preserve">Auditd on processes with GLIBC_TUNABLES in the environment that start SUID binaries.</t>
  </si>
  <si>
    <t xml:space="preserve">GNU C Library 2.34 through 2.38 (unpatched); RHEL 8/9, Ubuntu 22.04/23.04, Debian 12/13, Fedora 37/38 and others</t>
  </si>
  <si>
    <t xml:space="preserve">Distribution patches October 2023 (RHSA-2023:5453 and others)</t>
  </si>
  <si>
    <t xml:space="preserve">Yes - KEV since 2023-11-21</t>
  </si>
  <si>
    <t xml:space="preserve">KEV (2023-11-21); CVSS source: CNA</t>
  </si>
  <si>
    <t xml:space="preserve">https://access.redhat.com/errata/RHSA-2023:5453; https://access.redhat.com/errata/RHSA-2023:5454; https://nvd.nist.gov/vuln/detail/CVE-2023-4911</t>
  </si>
  <si>
    <t xml:space="preserve">CVE-2024-1086</t>
  </si>
  <si>
    <t xml:space="preserve">Linux kernel netfilter nf_tables - use-after-free local privilege escalation</t>
  </si>
  <si>
    <t xml:space="preserve">A double-free in nft_verdict_init()/nf_hook_slow() of netfilter allows an unprivileged user (with user namespaces) to compromise the kernel and become root; the public exploit works reliably on kernels 5.14 through 6.6 of many distributions and has been used by ransomware groups.</t>
  </si>
  <si>
    <t xml:space="preserve">Local escalation to root on a wide range of Linux systems, also from containers with user namespaces.</t>
  </si>
  <si>
    <t xml:space="preserve">Check the kernel version (3.15 through 6.8-rc1 without fix) and whether unprivileged user namespaces are enabled (kernel.unprivileged_userns_clone / user.max_user_namespaces); PoC only within the RoE.</t>
  </si>
  <si>
    <t xml:space="preserve">Update the kernel (fix in 6.8 and the stable backports of January-February 2024); as a mitigation, disable unprivileged user namespaces or block nf_tables.</t>
  </si>
  <si>
    <t xml:space="preserve">EDR/auditd on creation of user namespaces followed by nf_tables operations by regular users.</t>
  </si>
  <si>
    <t xml:space="preserve">Linux kernel 3.15 through 6.8-rc1 (fix commit f342de4e2f33); exploit targets 5.14-6.6</t>
  </si>
  <si>
    <t xml:space="preserve">Kernel 6.8 and stable backports (January-February 2024)</t>
  </si>
  <si>
    <t xml:space="preserve">Yes (public exploit, Notselwyn)</t>
  </si>
  <si>
    <t xml:space="preserve">https://git.kernel.org/pub/scm/linux/kernel/git/torvalds/linux.git/commit/?id=f342de4e2f33e0e39165d8639387aa6c19dff660; https://kernel.dance/f342de4e2f33e0e39165d8639387aa6c19dff660; https://nvd.nist.gov/vuln/detail/CVE-2024-1086</t>
  </si>
  <si>
    <t xml:space="preserve">CVE-2021-3156</t>
  </si>
  <si>
    <t xml:space="preserve">sudo - heap-based buffer overflow in sudoedit (Baron Samedit)</t>
  </si>
  <si>
    <t xml:space="preserve">An off-by-one in sudo's argument processing (sudoedit -s with an argument ending in a backslash) causes a heap overflow that makes any local user, even without sudo privileges, root; present from 2011 until January 2021.</t>
  </si>
  <si>
    <t xml:space="preserve">Root for any local user on unpatched systems (incl. macOS and appliances with old sudo).</t>
  </si>
  <si>
    <t xml:space="preserve">Check the sudo version (1.8.2-1.8.31p2 and 1.9.0-1.9.5p1 vulnerable) or test with sudoedit -s '\' (error message 'sudoedit:' = vulnerable) within the RoE.</t>
  </si>
  <si>
    <t xml:space="preserve">Update sudo to 1.9.5p2 or the distribution patch.</t>
  </si>
  <si>
    <t xml:space="preserve">Auditd on sudoedit invocations with anomalous arguments; sudo crashes.</t>
  </si>
  <si>
    <t xml:space="preserve">T1068, T1548.003</t>
  </si>
  <si>
    <t xml:space="preserve">CWE-193</t>
  </si>
  <si>
    <t xml:space="preserve">sudo 1.8.2 through 1.8.31p2 and 1.9.0 through 1.9.5p1</t>
  </si>
  <si>
    <t xml:space="preserve">sudo 1.9.5p2 (26 January 2021)</t>
  </si>
  <si>
    <t xml:space="preserve">Yes - KEV since 2022-04-06</t>
  </si>
  <si>
    <t xml:space="preserve">AV-HOST-03, CVE-2025-32463</t>
  </si>
  <si>
    <t xml:space="preserve">KEV (2022-04-06); CVSS source: ADP CISA-ADP</t>
  </si>
  <si>
    <t xml:space="preserve">https://lists.debian.org/debian-lts-announce/2021/01/msg00022.html; http://seclists.org/fulldisclosure/2021/Jan/79; https://nvd.nist.gov/vuln/detail/CVE-2021-3156</t>
  </si>
  <si>
    <t xml:space="preserve">CVE-2025-32463</t>
  </si>
  <si>
    <t xml:space="preserve">sudo --chroot - local privilege escalation via user-controlled nsswitch.conf</t>
  </si>
  <si>
    <t xml:space="preserve">With the --chroot (-R) option, sudo loads /etc/nsswitch.conf from the user-specified directory, causing a custom NSS library to be loaded as root; works by default (no sudo rules needed) on sudo 1.9.14-1.9.17 and has been exploited in the wild.</t>
  </si>
  <si>
    <t xml:space="preserve">Root for any local user on recent distributions (Ubuntu 24.04, Fedora, Debian 13 and others) without patch.</t>
  </si>
  <si>
    <t xml:space="preserve">Check the sudo version (1.9.14 through 1.9.17 vulnerable; 1.9.17p1 fixed) and whether the chroot option is available; PoC only within the RoE.</t>
  </si>
  <si>
    <t xml:space="preserve">Update sudo to 1.9.17p1 or the distribution patch (June-July 2025); the chroot feature has been removed in later versions.</t>
  </si>
  <si>
    <t xml:space="preserve">Auditd on sudo invocations with -R/--chroot and on sudo loading libraries from user directories.</t>
  </si>
  <si>
    <t xml:space="preserve">CWE-829</t>
  </si>
  <si>
    <t xml:space="preserve">sudo 1.9.14 through 1.9.17</t>
  </si>
  <si>
    <t xml:space="preserve">sudo 1.9.17p1 (30 June 2025)</t>
  </si>
  <si>
    <t xml:space="preserve">AV-HOST-03, CVE-2021-3156</t>
  </si>
  <si>
    <t xml:space="preserve">KEV (2025-09-29); Stratascale (Rich Mirch); CVSS source: CNA</t>
  </si>
  <si>
    <t xml:space="preserve">https://www.sudo.ws/security/advisories/; https://www.sudo.ws/releases/changelog/; https://nvd.nist.gov/vuln/detail/CVE-2025-32463</t>
  </si>
  <si>
    <t xml:space="preserve">CVE-2026-31431</t>
  </si>
  <si>
    <t xml:space="preserve">Linux kernel algif_aead - page cache write local privilege escalation (in the wild)</t>
  </si>
  <si>
    <t xml:space="preserve">The in-place processing in the AF_ALG AEAD interface (algif_aead) allows an unprivileged user to write into the page cache of read-only files, similar to Dirty Pipe; present since kernel 4.14 and added to KEV in May 2026 after exploitation.</t>
  </si>
  <si>
    <t xml:space="preserve">Local escalation to root on a wide range of Linux kernels (4.14 through 6.19) without backport.</t>
  </si>
  <si>
    <t xml:space="preserve">Check the kernel version against the stable backports (5.10.254, 5.15.204, 6.1.170, 6.6.137, 6.12.85, 6.18.22, 6.19.12, 7.0) and whether the AF_ALG interface is available (CONFIG_CRYPTO_USER_API_AEAD); PoC only within the RoE.</t>
  </si>
  <si>
    <t xml:space="preserve">Update the kernel to a version with the fix; as a mitigation, blocklist the algif_aead module where not needed.</t>
  </si>
  <si>
    <t xml:space="preserve">Auditd/EDR on AF_ALG sockets with AEAD operations by regular users and on modifications to SUID binaries/config files in memory.</t>
  </si>
  <si>
    <t xml:space="preserve">CWE-669</t>
  </si>
  <si>
    <t xml:space="preserve">Linux kernel 4.14 through 6.19.x without stable backport (April 2026)</t>
  </si>
  <si>
    <t xml:space="preserve">Kernel 7.0 and stable backports 6.19.12 / 6.18.22 / 6.12.85 / 6.6.137 / 6.1.170 / 5.15.204 / 5.10.254</t>
  </si>
  <si>
    <t xml:space="preserve">Yes - KEV since 2026-05-01</t>
  </si>
  <si>
    <t xml:space="preserve">Exploited in the wild (KEV 2026-05-01)</t>
  </si>
  <si>
    <t xml:space="preserve">CVE-2022-0847, AV-HOST-03, AV-HOST-07</t>
  </si>
  <si>
    <t xml:space="preserve">https://git.kernel.org/stable/c/893d22e0135fa394db81df88697fba6032747667; https://git.kernel.org/stable/c/19d43105a97be0810edbda875f2cd03f30dc130c; https://nvd.nist.gov/vuln/detail/CVE-2026-31431</t>
  </si>
  <si>
    <t xml:space="preserve">CVE-2022-30190</t>
  </si>
  <si>
    <t xml:space="preserve">Microsoft MSDT ms-msdt: URL protocol - RCE via Office documents (Follina)</t>
  </si>
  <si>
    <t xml:space="preserve">Office documents (also in Protected View/RTF preview) could invoke the ms-msdt: protocol via an external OLE reference and have PowerShell executed without macros; exploited as a zero-day in phishing campaigns (May-June 2022).</t>
  </si>
  <si>
    <t xml:space="preserve">Code execution with user privileges when opening or even previewing a document; initial access.</t>
  </si>
  <si>
    <t xml:space="preserve">Check the patch level (June 2022) and whether the ms-msdt protocol handler is still registered (reg query HKCR\ms-msdt); simulate only with a harmless payload within the RoE.</t>
  </si>
  <si>
    <t xml:space="preserve">Install the June 2022 update or remove the ms-msdt protocol handler; ASR rule 'Block all Office applications from creating child processes'.</t>
  </si>
  <si>
    <t xml:space="preserve">EDR on msdt.exe started from Office processes and on sdiagnhost.exe starting PowerShell.</t>
  </si>
  <si>
    <t xml:space="preserve">T1203, T1566.001, T1218.005</t>
  </si>
  <si>
    <t xml:space="preserve">CWE-610</t>
  </si>
  <si>
    <t xml:space="preserve">CVSS:3.1/AV:L/AC:L/PR:N/UI:R/S:U/C:H/I:H/A:H</t>
  </si>
  <si>
    <t xml:space="preserve">Windows 7 through 11 and Server 2008-2022 with MSDT without the update of 14 June 2022</t>
  </si>
  <si>
    <t xml:space="preserve">Update of June 2022 (KB5014699 and others)</t>
  </si>
  <si>
    <t xml:space="preserve">Yes - KEV since 2022-06-14</t>
  </si>
  <si>
    <t xml:space="preserve">AV-SE-11, AV-SE-02, AV-HOST-06</t>
  </si>
  <si>
    <t xml:space="preserve">KEV (2022-06-14); CVSS source: CNA</t>
  </si>
  <si>
    <t xml:space="preserve">https://msrc.microsoft.com/update-guide/vulnerability/CVE-2022-30190; https://nvd.nist.gov/vuln/detail/CVE-2022-30190</t>
  </si>
  <si>
    <t xml:space="preserve">CVE-2023-23397</t>
  </si>
  <si>
    <t xml:space="preserve">Microsoft Outlook - zero-click NTLM credential leak via reminder sound (PidLidReminderFileParameter)</t>
  </si>
  <si>
    <t xml:space="preserve">A crafted appointment/task with a UNC path in the reminder sound property causes Outlook for Windows to automatically (when processing the reminder, without a click) perform NTLM authentication to the attacker's server; used by APT28 against European governments and defense (2022-2023).</t>
  </si>
  <si>
    <t xml:space="preserve">Leakage of NetNTLMv2 hashes for relay or offline cracking without user interaction.</t>
  </si>
  <si>
    <t xml:space="preserve">Check the Outlook patch level (March 2023 or later) and whether outbound SMB to the internet is blocked; use the Microsoft script (CVE-2023-23397.ps1) to scan existing messages.</t>
  </si>
  <si>
    <t xml:space="preserve">Install the March 2023 Outlook update, block outbound SMB (445) to the internet, add users to Protected Users, restrict NTLM.</t>
  </si>
  <si>
    <t xml:space="preserve">Alert on outbound SMB connections from workstations to external addresses and on mail items with PidLidReminderFileParameter containing UNC paths.</t>
  </si>
  <si>
    <t xml:space="preserve">T1187, T1566</t>
  </si>
  <si>
    <t xml:space="preserve">CWE-20, CWE-294</t>
  </si>
  <si>
    <t xml:space="preserve">Microsoft Outlook 2013 SP1, 2016, 2019, LTSC 2021 and Microsoft 365 Apps for Windows without the update of 14 March 2023</t>
  </si>
  <si>
    <t xml:space="preserve">Outlook updates of March 2023</t>
  </si>
  <si>
    <t xml:space="preserve">Yes - KEV since 2023-03-14</t>
  </si>
  <si>
    <t xml:space="preserve">AV-NET-03, AV-AD-14, CVE-2025-24054</t>
  </si>
  <si>
    <t xml:space="preserve">KEV (2023-03-14); CVSS source: CNA</t>
  </si>
  <si>
    <t xml:space="preserve">https://msrc.microsoft.com/update-guide/vulnerability/CVE-2023-23397; https://nvd.nist.gov/vuln/detail/CVE-2023-23397</t>
  </si>
  <si>
    <t xml:space="preserve">CVE-2025-8088</t>
  </si>
  <si>
    <t xml:space="preserve">WinRAR - path traversal via alternate data streams (RomCom zero-day)</t>
  </si>
  <si>
    <t xml:space="preserve">Crafted RAR archives with alternate data streams cause WinRAR to extract files to an attacker-chosen path (e.g. the Startup folder), so that code is executed at the next login; used by RomCom and Paper Werewolf in phishing campaigns (July-August 2025).</t>
  </si>
  <si>
    <t xml:space="preserve">Persistent code execution with user privileges after extracting an attachment.</t>
  </si>
  <si>
    <t xml:space="preserve">Inventory WinRAR versions on workstations (7.12 and older vulnerable; no auto-update) and check whether archives from email are filtered or opened in a sandbox.</t>
  </si>
  <si>
    <t xml:space="preserve">Update WinRAR to 7.13 or higher (manually, no auto-update), consider standardizing on a managed archiver, block RAR attachments or detonate in a sandbox.</t>
  </si>
  <si>
    <t xml:space="preserve">EDR on files written by WinRAR.exe to Startup folders; mail filtering on RAR with ADS.</t>
  </si>
  <si>
    <t xml:space="preserve">T1204.002, T1547.001, T1566.001</t>
  </si>
  <si>
    <t xml:space="preserve">CWE-35</t>
  </si>
  <si>
    <t xml:space="preserve">CVSS:4.0/AV:L/AC:L/AT:N/PR:N/UI:A/VC:H/VI:H/VA:H/SC:N/SI:N/SA:N</t>
  </si>
  <si>
    <t xml:space="preserve">WinRAR for Windows through 7.12 (also UnRAR.dll and portable UnRAR)</t>
  </si>
  <si>
    <t xml:space="preserve">WinRAR 7.13 (31 July 2025)</t>
  </si>
  <si>
    <t xml:space="preserve">Yes - KEV since 2025-08-12</t>
  </si>
  <si>
    <t xml:space="preserve">Yes (in the wild; public PoCs)</t>
  </si>
  <si>
    <t xml:space="preserve">AV-SE-11, CVE-2025-0411</t>
  </si>
  <si>
    <t xml:space="preserve">KEV (2025-08-12); ESET; CVSS source: CNA; Related CVEs without their own row: CVE-2025-6218</t>
  </si>
  <si>
    <t xml:space="preserve">https://www.win-rar.com/singlenewsview.html?&amp;L=0&amp;tx_ttnews%5Btt_news%5D=283&amp;cHash=a64b4a8f662d3639dec8d65f47bc93c5; https://nvd.nist.gov/vuln/detail/CVE-2025-8088</t>
  </si>
  <si>
    <t xml:space="preserve">CVE-2025-0411</t>
  </si>
  <si>
    <t xml:space="preserve">7-Zip - Mark-of-the-Web bypass via double archiving</t>
  </si>
  <si>
    <t xml:space="preserve">7-Zip did not propagate the Mark-of-the-Web to files in nested archives, so that extracted files bypassed SmartScreen and Protected View; used as a zero-day in SmokeLoader campaigns against Ukrainian organizations (September 2024) and widely applicable in phishing.</t>
  </si>
  <si>
    <t xml:space="preserve">Bypass of Windows security warnings when opening downloaded/emailed files; code execution after a click.</t>
  </si>
  <si>
    <t xml:space="preserve">Inventory 7-Zip versions (24.08 and older vulnerable) and check whether MotW enforcement (SmartScreen, Office Protected View) is active.</t>
  </si>
  <si>
    <t xml:space="preserve">Update 7-Zip to 24.09 or higher (no auto-update), application control, block nested archives in email.</t>
  </si>
  <si>
    <t xml:space="preserve">EDR on execution of files without MotW from 7-Zip extraction folders; mail filtering on archives-within-archives.</t>
  </si>
  <si>
    <t xml:space="preserve">T1553.005, T1204.002</t>
  </si>
  <si>
    <t xml:space="preserve">CVSS:3.0/AV:L/AC:H/PR:N/UI:R/S:U/C:H/I:H/A:H</t>
  </si>
  <si>
    <t xml:space="preserve">7-Zip through 24.08</t>
  </si>
  <si>
    <t xml:space="preserve">7-Zip 24.09 (November 2024)</t>
  </si>
  <si>
    <t xml:space="preserve">Yes - KEV since 2025-02-06</t>
  </si>
  <si>
    <t xml:space="preserve">Yes (in the wild; public PoC)</t>
  </si>
  <si>
    <t xml:space="preserve">AV-SE-11, CVE-2025-8088, CVE-2026-21510</t>
  </si>
  <si>
    <t xml:space="preserve">KEV (2025-02-06); CVSS source: CNA</t>
  </si>
  <si>
    <t xml:space="preserve">https://www.zerodayinitiative.com/advisories/ZDI-25-045/; https://nvd.nist.gov/vuln/detail/CVE-2025-0411</t>
  </si>
  <si>
    <t xml:space="preserve">CVE-2026-21510</t>
  </si>
  <si>
    <t xml:space="preserve">Windows Shell - SmartScreen security feature bypass via LNK files (in the wild)</t>
  </si>
  <si>
    <t xml:space="preserve">A protection mechanism failure in Windows Shell allows crafted LNK files to bypass the SmartScreen/MotW warnings, so that code is executed without warning after a click; patched as a zero-day in February 2026 together with CVE-2026-21513 (MSHTML MotW bypass) and used in phishing campaigns.</t>
  </si>
  <si>
    <t xml:space="preserve">Code execution with user privileges via LNK attachments/ISOs without security warning.</t>
  </si>
  <si>
    <t xml:space="preserve">Check the patch level (February 2026 or later) and whether LNK/ISO attachments from email are blocked; simulate only with harmless LNKs within the RoE.</t>
  </si>
  <si>
    <t xml:space="preserve">Install the February 2026 update, block LNK/ISO/IMG attachments, ASR rules and application control.</t>
  </si>
  <si>
    <t xml:space="preserve">EDR on LNK execution from download/mail folders that starts cmd/powershell/mshta.</t>
  </si>
  <si>
    <t xml:space="preserve">T1204.002, T1553.005, T1566.001</t>
  </si>
  <si>
    <t xml:space="preserve">CVSS:3.1/AV:N/AC:L/PR:N/UI:R/S:U/C:H/I:H/A:H</t>
  </si>
  <si>
    <t xml:space="preserve">Windows 10/11 and Windows Server 2008 R2 through 2025 without the update of 10 February 2026</t>
  </si>
  <si>
    <t xml:space="preserve">Update of February 2026 (e.g. 10.0.19045.6937 / 10.0.22631.6649)</t>
  </si>
  <si>
    <t xml:space="preserve">Yes - KEV since 2026-02-10</t>
  </si>
  <si>
    <t xml:space="preserve">Exploited in the wild (KEV 2026-02-10)</t>
  </si>
  <si>
    <t xml:space="preserve">CVE-2026-32202, CVE-2025-0411, AV-SE-11</t>
  </si>
  <si>
    <t xml:space="preserve">KEV; related CVE-2026-21513 (MSHTML); CVSS source: CNA</t>
  </si>
  <si>
    <t xml:space="preserve">https://msrc.microsoft.com/update-guide/vulnerability/CVE-2026-21510; https://nvd.nist.gov/vuln/detail/CVE-2026-21510</t>
  </si>
  <si>
    <t xml:space="preserve">CVE-2025-55241</t>
  </si>
  <si>
    <t xml:space="preserve">Microsoft Entra ID - Actor token / Azure AD Graph validation flaw (cross-tenant Global Admin)</t>
  </si>
  <si>
    <t xml:space="preserve">Undocumented 'Actor tokens' (service-to-service impersonation tokens without logging, Conditional Access or revocation) combined with a validation flaw in the legacy Azure AD Graph API allowed an attacker from their own test tenant to impersonate any user, including Global Admins, in any other tenant; found by Dirk-jan Mollema (Outsider Security, NL) and fixed by Microsoft in July 2025.</t>
  </si>
  <si>
    <t xml:space="preserve">Full compromise of any Entra ID tenant worldwide without detection capability for the victim (design flaw, no customer action possible).</t>
  </si>
  <si>
    <t xml:space="preserve">Not testable in customer environments (platform flaw, fixed server-side); relevant as an example in risk analyses about dependency on legacy APIs and vendor logging.</t>
  </si>
  <si>
    <t xml:space="preserve">Fixed server-side by Microsoft (July 2025); migrate applications from Azure AD Graph to Microsoft Graph, monitor Graph activity and remove legacy API access.</t>
  </si>
  <si>
    <t xml:space="preserve">Not detectable in customer logs (Actor tokens are not logged); check Microsoft Graph activity logs for derived actions.</t>
  </si>
  <si>
    <t xml:space="preserve">T1078.004, T1606</t>
  </si>
  <si>
    <t xml:space="preserve">Microsoft Entra ID (all tenants) until the server-side fix of 17 July 2025</t>
  </si>
  <si>
    <t xml:space="preserve">Server-side fix (July 2025); Azure AD Graph API phased out</t>
  </si>
  <si>
    <t xml:space="preserve">Not public (responsibly disclosed); no known exploitation</t>
  </si>
  <si>
    <t xml:space="preserve">AV-CLD-01, AV-CLD-11, AV-CLD-13</t>
  </si>
  <si>
    <t xml:space="preserve">MSRC September 2025; CVSS 10.0; CVSS source: CNA</t>
  </si>
  <si>
    <t xml:space="preserve">https://msrc.microsoft.com/update-guide/vulnerability/CVE-2025-55241; https://nvd.nist.gov/vuln/detail/CVE-2025-55241</t>
  </si>
  <si>
    <t xml:space="preserve">CVE-2025-53786</t>
  </si>
  <si>
    <t xml:space="preserve">Microsoft Exchange Server hybrid deployment - privilege escalation to Exchange Online via shared service principal</t>
  </si>
  <si>
    <t xml:space="preserve">In hybrid Exchange environments, on-premises Exchange and Exchange Online shared a service principal; an attacker with on-premises administrative privileges could thus forge tokens and escalate into the cloud without a trace (also to other Microsoft 365 services). Microsoft introduced a dedicated hybrid app (April 2025) and CISA issued ED 25-02 (August 2025).</t>
  </si>
  <si>
    <t xml:space="preserve">Escalation from on-premises Exchange compromise to full Exchange Online/M365 takeover.</t>
  </si>
  <si>
    <t xml:space="preserve">Check whether the dedicated Exchange hybrid app is configured (ConfigureExchangeHybridApplication.ps1), whether the April 2025 Hot Fix (or CU15/SE) is installed and whether the keyCredentials of the shared service principal have been cleaned up.</t>
  </si>
  <si>
    <t xml:space="preserve">Install the April 2025 HU or later, configure the dedicated hybrid app, remove keyCredentials from the shared service principal, remove EOL Exchange servers.</t>
  </si>
  <si>
    <t xml:space="preserve">Alert on Graph/EWS activity with the legacy Office 365 Exchange Online service principal from on-premises after migration.</t>
  </si>
  <si>
    <t xml:space="preserve">T1606, T1078.004</t>
  </si>
  <si>
    <t xml:space="preserve">CVSS:3.1/AV:N/AC:H/PR:H/UI:N/S:C/C:H/I:H/A:H</t>
  </si>
  <si>
    <t xml:space="preserve">Exchange Server 2016 CU23, 2019 CU14/CU15 and Subscription Edition RTM in hybrid configuration without April 2025 HU and dedicated hybrid app</t>
  </si>
  <si>
    <t xml:space="preserve">April 2025 Hot Fix / CU15 + configuration change (dedicated hybrid app)</t>
  </si>
  <si>
    <t xml:space="preserve">Not public; Microsoft: exploitation 'more likely'</t>
  </si>
  <si>
    <t xml:space="preserve">AV-CLD-13, CVE-2024-21410</t>
  </si>
  <si>
    <t xml:space="preserve">CISA ED 25-02; CVSS source: CNA</t>
  </si>
  <si>
    <t xml:space="preserve">https://msrc.microsoft.com/update-guide/vulnerability/CVE-2025-53786; https://nvd.nist.gov/vuln/detail/CVE-2025-53786</t>
  </si>
  <si>
    <t xml:space="preserve">CVE-2021-38647</t>
  </si>
  <si>
    <t xml:space="preserve">Azure Open Management Infrastructure (OMI) - unauthenticated RCE as root (OMIGOD)</t>
  </si>
  <si>
    <t xml:space="preserve">The OMI agent, which Azure silently installs on Linux VMs when using Log Analytics/Automation/Diagnostics, accepted HTTP requests without an Authorization header as root; with an exposed port (5985/5986/1270) this led to unauthenticated RCE, locally always to privilege escalation.</t>
  </si>
  <si>
    <t xml:space="preserve">Root on Azure Linux VMs, from the outside with open ports; Mirai botnets exploited it within days.</t>
  </si>
  <si>
    <t xml:space="preserve">Check the OMI version (dpkg -l omi / rpm -q omi; &lt; 1.6.8-1 vulnerable) on Azure Linux VMs and whether the OMI ports are reachable through NSGs.</t>
  </si>
  <si>
    <t xml:space="preserve">Update OMI to 1.6.8-1 (via extensions/auto-update or manually), block 5985/5986/1270 in NSGs, inventory implicitly installed agents.</t>
  </si>
  <si>
    <t xml:space="preserve">Alert on connections to OMI ports and on child processes of omiagent.</t>
  </si>
  <si>
    <t xml:space="preserve">T1190, T1068</t>
  </si>
  <si>
    <t xml:space="preserve">OMI &lt; 1.6.8-1 on Azure Linux VMs with Azure Automation, Log Analytics (OMS), Diagnostics (LAD), Security Center, Sentinel, Azure Stack Hub extensions</t>
  </si>
  <si>
    <t xml:space="preserve">OMI 1.6.8-1 (September 2021)</t>
  </si>
  <si>
    <t xml:space="preserve">AV-CLD-17, AV-HOST-03</t>
  </si>
  <si>
    <t xml:space="preserve">KEV (2021-11-03); Wiz; CVSS source: CNA</t>
  </si>
  <si>
    <t xml:space="preserve">https://msrc.microsoft.com/update-guide/vulnerability/CVE-2021-38647; https://nvd.nist.gov/vuln/detail/CVE-2021-38647</t>
  </si>
  <si>
    <t xml:space="preserve">CVE-2025-1974</t>
  </si>
  <si>
    <t xml:space="preserve">Kubernetes ingress-nginx admission controller - unauthenticated RCE (IngressNightmare)</t>
  </si>
  <si>
    <t xml:space="preserve">The admission controller of ingress-nginx (reachable from the pod network by default, sometimes public) validates Ingress objects by generating nginx configurations; via injection in annotations (CVE-2025-24514, 24513, 1097, 1098) and loading an uploaded shared library, code could be executed in the controller, which by default can read all Secrets in the cluster.</t>
  </si>
  <si>
    <t xml:space="preserve">Takeover of the entire Kubernetes cluster through theft of all Secrets; 43% of cloud environments were vulnerable (Wiz).</t>
  </si>
  <si>
    <t xml:space="preserve">Check the ingress-nginx version (1.12.1 / 1.11.5 or higher) and whether the admission webhook (8443) is reachable from pods or externally; PoC only in test clusters.</t>
  </si>
  <si>
    <t xml:space="preserve">Update ingress-nginx; restrict the admission webhook to the API server via NetworkPolicy; temporarily disable the validating webhook if updating is not possible; least-privilege RBAC for the controller.</t>
  </si>
  <si>
    <t xml:space="preserve">Alert on AdmissionReview requests from unknown sources and on unusual Ingress annotations.</t>
  </si>
  <si>
    <t xml:space="preserve">T1190, T1552.007</t>
  </si>
  <si>
    <t xml:space="preserve">CWE-653, CWE-94</t>
  </si>
  <si>
    <t xml:space="preserve">ingress-nginx &lt; 1.11.5 and 1.12.0</t>
  </si>
  <si>
    <t xml:space="preserve">ingress-nginx 1.12.1 / 1.11.5 (24 March 2025)</t>
  </si>
  <si>
    <t xml:space="preserve">AV-CLD-07, AV-CLD-15</t>
  </si>
  <si>
    <t xml:space="preserve">Wiz Research; CVSS 9.8; not in KEV; CVSS source: CNA</t>
  </si>
  <si>
    <t xml:space="preserve">https://https://github.com/kubernetes/kubernetes/issues/131009; https://nvd.nist.gov/vuln/detail/CVE-2025-1974</t>
  </si>
  <si>
    <t xml:space="preserve">CVE-2024-21626</t>
  </si>
  <si>
    <t xml:space="preserve">runc - container breakout via leaked file descriptor / process.cwd (Leaky Vessels)</t>
  </si>
  <si>
    <t xml:space="preserve">A leaked file descriptor in runc &lt;= 1.1.11 allows a container process (via a malicious image or a runc exec with a manipulated cwd) to gain access to the host file system and overwrite host binaries, resulting in a full container escape; affects Docker, Kubernetes and all OCI runtimes that use runc.</t>
  </si>
  <si>
    <t xml:space="preserve">Escape from containers to the host (root) via untrusted images or build processes.</t>
  </si>
  <si>
    <t xml:space="preserve">Check the runc version on nodes (runc --version; &lt; 1.1.12 vulnerable) and the containerd/Docker versions; PoC only in test environments.</t>
  </si>
  <si>
    <t xml:space="preserve">Update runc to 1.1.12+ (Docker 25.0.2, containerd 1.6.28/1.7.13 and later), use only trusted images, rootless containers/gVisor for untrusted workloads.</t>
  </si>
  <si>
    <t xml:space="preserve">Alert on processes in containers with cwd on /proc/self/fd/* and on modifications of host binaries from a container context.</t>
  </si>
  <si>
    <t xml:space="preserve">T1611</t>
  </si>
  <si>
    <t xml:space="preserve">CWE-403, CWE-668</t>
  </si>
  <si>
    <t xml:space="preserve">Container - Docker Pentest</t>
  </si>
  <si>
    <t xml:space="preserve">CVSS:3.1/AV:L/AC:L/PR:N/UI:R/S:C/C:H/I:H/A:H</t>
  </si>
  <si>
    <t xml:space="preserve">runc 1.0.0-rc93 through 1.1.11 (Docker &lt;= 25.0.1, containerd &lt;= 1.6.27/1.7.12, Kubernetes nodes with this runc)</t>
  </si>
  <si>
    <t xml:space="preserve">runc 1.1.12 (31 January 2024)</t>
  </si>
  <si>
    <t xml:space="preserve">Snyk; not in KEV; CVSS source: CNA</t>
  </si>
  <si>
    <t xml:space="preserve">https://github.com/opencontainers/runc/security/advisories/GHSA-xr7r-f8xq-vfvv; https://github.com/opencontainers/runc/commit/02120488a4c0fc487d1ed2867e901eeed7ce8ecf; https://nvd.nist.gov/vuln/detail/CVE-2024-21626</t>
  </si>
  <si>
    <t xml:space="preserve">CVE-2025-30066</t>
  </si>
  <si>
    <t xml:space="preserve">GitHub Action tj-actions/changed-files - compromised tags leaking CI secrets</t>
  </si>
  <si>
    <t xml:space="preserve">All version tags (v1 through v45.0.7) of the popular GitHub Action tj-actions/changed-files were repointed to a malicious commit that dumped the runner's memory contents (incl. secrets) to the build log; result of an earlier compromise of reviewdog actions (CVE-2025-30154) and aimed at Coinbase.</t>
  </si>
  <si>
    <t xml:space="preserve">Leakage of CI/CD secrets (cloud keys, tokens, signing keys) from 23,000+ repositories, especially public repos with readable logs.</t>
  </si>
  <si>
    <t xml:space="preserve">Check workflows for use of third-party actions via tags instead of commit SHAs, and whether logs/secrets were exposed during the affected period (14-15 March 2025).</t>
  </si>
  <si>
    <t xml:space="preserve">Pin actions to commit SHA, use allowlists for actions, OIDC instead of long-lived secrets, rotate secrets that were in workflows during the period.</t>
  </si>
  <si>
    <t xml:space="preserve">Alert on changes of action tags to new commits and on base64 memory dumps in build logs.</t>
  </si>
  <si>
    <t xml:space="preserve">T1195.002, T1552</t>
  </si>
  <si>
    <t xml:space="preserve">CWE-506</t>
  </si>
  <si>
    <t xml:space="preserve">tj-actions/changed-files tags v1 through v45.0.7 (modified on 14-15 March 2025)</t>
  </si>
  <si>
    <t xml:space="preserve">v46 (and SHA pinning)</t>
  </si>
  <si>
    <t xml:space="preserve">Yes - KEV since 2025-03-18</t>
  </si>
  <si>
    <t xml:space="preserve">In the wild (supply chain attack)</t>
  </si>
  <si>
    <t xml:space="preserve">AV-CLD-14, AV-CLD-19, CVE-2026-45321</t>
  </si>
  <si>
    <t xml:space="preserve">KEV (2025-03-18); StepSecurity/Wiz; CVSS source: CNA</t>
  </si>
  <si>
    <t xml:space="preserve">https://github.com/github/docs/blob/962a1c8dccb8c0f66548b324e5b921b5e4fbc3d6/content/actions/security-for-github-actions/security-guides/security-hardening-for-github-actions.md?plain=1#L191-L193; https://github.com/tj-actions/changed-files/issues/2463; https://nvd.nist.gov/vuln/detail/CVE-2025-30066</t>
  </si>
  <si>
    <t xml:space="preserve">CVE-2026-45321</t>
  </si>
  <si>
    <t xml:space="preserve">npm @tanstack/* packages - self-propagating supply-chain malware via GitHub Actions OIDC abuse</t>
  </si>
  <si>
    <t xml:space="preserve">On 11 May 2026, 84 malicious versions of 42 @tanstack/* packages were published via the legitimate OIDC trusted publisher binding of TanStack/router, after a chain of pull_request_target misconfiguration, GitHub Actions cache poisoning and extraction of the OIDC token from the runner memory; the malware (Mini Shai-Hulud) exfiltrates cloud credentials, GitHub tokens and SSH keys and spreads via stolen publish permissions.</t>
  </si>
  <si>
    <t xml:space="preserve">Compromise of developer workstations and CI runners with worm-like spread to other npm packages.</t>
  </si>
  <si>
    <t xml:space="preserve">Check lockfiles/SBOMs for the affected versions (e.g. @tanstack/react-router 1.169.5/1.169.8) and the installation period; check for IoCs (exfiltration to attacker infrastructure, new GitHub workflows/repos).</t>
  </si>
  <si>
    <t xml:space="preserve">Remove affected versions, rotate all credentials on affected systems (npm, GitHub, cloud, SSH), pin dependencies with integrity hashes, use a registry proxy with quarantine for new versions (cool-down), harden GitHub Actions (no pull_request_target with secrets, cache isolation).</t>
  </si>
  <si>
    <t xml:space="preserve">Alert on postinstall scripts with network traffic, unexpected GitHub workflow changes and new publications under your own npm accounts.</t>
  </si>
  <si>
    <t xml:space="preserve">CVSS:3.1/AV:N/AC:L/PR:N/UI:R/S:C/C:H/I:H/A:H</t>
  </si>
  <si>
    <t xml:space="preserve">84 versions of 42 @tanstack/* packages published on 2026-05-11 (see GHSA-g7cv-rxg3-hmpx)</t>
  </si>
  <si>
    <t xml:space="preserve">Removed from npm; subsequent clean versions</t>
  </si>
  <si>
    <t xml:space="preserve">Yes - KEV since 2026-05-27</t>
  </si>
  <si>
    <t xml:space="preserve">In the wild (supply chain worm)</t>
  </si>
  <si>
    <t xml:space="preserve">AV-CLD-19, AV-CLD-14, CVE-2025-30066</t>
  </si>
  <si>
    <t xml:space="preserve">KEV (2026-05-27); related: CVE-2026-48027 (Nx Console), Shai-Hulud (2025); CVSS source: CNA</t>
  </si>
  <si>
    <t xml:space="preserve">https://github.com/TanStack/router/security/advisories/GHSA-g7cv-rxg3-hmpx; https://github.com/TanStack/router/issues/7383; https://nvd.nist.gov/vuln/detail/CVE-2026-45321</t>
  </si>
  <si>
    <t xml:space="preserve">CVE-2025-32711</t>
  </si>
  <si>
    <t xml:space="preserve">Microsoft 365 Copilot - zero-click indirect prompt injection data exfiltration (EchoLeak)</t>
  </si>
  <si>
    <t xml:space="preserve">An email with hidden instructions was retrieved and executed by M365 Copilot via RAG ('LLM scope violation'), after which sensitive data from the user's context (emails, files, Teams) was exfiltrated to the attacker via automatically loaded images/links (CSP bypass via Teams/SharePoint proxies), without any click by the victim.</t>
  </si>
  <si>
    <t xml:space="preserve">Zero-click data leak from a user's full M365 context; first publicly known zero-click attack on a production AI agent.</t>
  </si>
  <si>
    <t xml:space="preserve">Not reproducible (fixed server-side); use as a reference case when testing your own copilots/RAG applications for indirect prompt injection and exfiltration via markdown images/links.</t>
  </si>
  <si>
    <t xml:space="preserve">Fixed server-side by Microsoft (June 2025); for your own AI applications: strict output filtering of links/images, separation of untrusted content and instructions, least-privilege retrieval, DLP labels.</t>
  </si>
  <si>
    <t xml:space="preserve">Alert on Copilot/LLM output with external URLs containing context data; monitoring of unusual retrieval patterns.</t>
  </si>
  <si>
    <t xml:space="preserve">CWE-74, CWE-1427</t>
  </si>
  <si>
    <t xml:space="preserve">CVSS:3.1/AV:N/AC:L/PR:N/UI:N/S:C/C:H/I:L/A:N</t>
  </si>
  <si>
    <t xml:space="preserve">Microsoft 365 Copilot until the server-side fix (June 2025)</t>
  </si>
  <si>
    <t xml:space="preserve">Server-side (June 2025)</t>
  </si>
  <si>
    <t xml:space="preserve">Not public; responsibly disclosed (Aim Security)</t>
  </si>
  <si>
    <t xml:space="preserve">AV-AI-01, AV-AI-02, AV-CLD-18</t>
  </si>
  <si>
    <t xml:space="preserve">OWASP LLM01/LLM02; MITRE ATLAS AML.T0051; CVSS 9.3; CVSS source: CNA</t>
  </si>
  <si>
    <t xml:space="preserve">https://msrc.microsoft.com/update-guide/vulnerability/CVE-2025-32711; https://nvd.nist.gov/vuln/detail/CVE-2025-32711</t>
  </si>
  <si>
    <t xml:space="preserve">CVE-2025-3248</t>
  </si>
  <si>
    <t xml:space="preserve">Langflow - unauthenticated code injection in /api/v1/validate/code</t>
  </si>
  <si>
    <t xml:space="preserve">The /api/v1/validate/code endpoint of Langflow (low-code AI agent builder) executed user-supplied Python code via exec() without authentication, giving any network user RCE; exploited since May 2025 (including the Flodrix botnet) and added to KEV.</t>
  </si>
  <si>
    <t xml:space="preserve">RCE on AI development servers with access to LLM API keys, datasets and internal systems.</t>
  </si>
  <si>
    <t xml:space="preserve">Identify Langflow instances (port 7860, /api/v1/) and the version (&lt; 1.3.0 vulnerable); PoC with a harmless expression within the RoE.</t>
  </si>
  <si>
    <t xml:space="preserve">Update to Langflow 1.3.0+ (and follow later advisories: CVE-2026-0770, CVE-2026-33017, CVE-2026-9198), authentication and network isolation mandatory, no Langflow directly exposed to the internet.</t>
  </si>
  <si>
    <t xml:space="preserve">Alert on POST to /api/v1/validate/code from unknown sources and on child processes of the Langflow Python service.</t>
  </si>
  <si>
    <t xml:space="preserve">CWE-306, CWE-94</t>
  </si>
  <si>
    <t xml:space="preserve">Langflow &lt; 1.3.0</t>
  </si>
  <si>
    <t xml:space="preserve">Langflow 1.3.0 (April 2025)</t>
  </si>
  <si>
    <t xml:space="preserve">Yes - KEV since 2025-05-05</t>
  </si>
  <si>
    <t xml:space="preserve">AV-AI-07, CVE-2026-0770</t>
  </si>
  <si>
    <t xml:space="preserve">KEV (2025-05-05); OWASP LLM03; CVSS source: CNA</t>
  </si>
  <si>
    <t xml:space="preserve">https://github.com/langflow-ai/langflow/pull/6911; https://github.com/langflow-ai/langflow/releases/tag/1.3.0; https://nvd.nist.gov/vuln/detail/CVE-2025-3248</t>
  </si>
  <si>
    <t xml:space="preserve">CVE-2026-0770</t>
  </si>
  <si>
    <t xml:space="preserve">Langflow - exec_globals untrusted code inclusion RCE (also CVE-2026-33017 build_public_tmp, CVE-2026-9198 auto_login chain)</t>
  </si>
  <si>
    <t xml:space="preserve">Langflow remained a recurring KEV product in 2026: the exec_globals parameter of the validate endpoint allowed unauthenticated code execution as root (CVE-2026-0770), the public flow build endpoint accepted attacker code (CVE-2026-33017), and the chain auto_login -&gt; validate/code gave RCE on default installations (CVE-2026-9198, IBM).</t>
  </si>
  <si>
    <t xml:space="preserve">Root RCE on AI platform servers; theft of model provider keys, datasets, and pivoting into the environment.</t>
  </si>
  <si>
    <t xml:space="preserve">Check the Langflow version (at least 1.9.0 for 33017; 1.10.1+ for 9198) and whether auto-login (LANGFLOW_AUTO_LOGIN) is enabled; check network exposure of the API.</t>
  </si>
  <si>
    <t xml:space="preserve">Update Langflow to the latest release, disable auto-login, make authentication and network isolation mandatory, do not run as root/run in a restricted container.</t>
  </si>
  <si>
    <t xml:space="preserve">Alert on requests to /api/v1/validate/code, /api/v1/build_public_tmp and /api/v1/auto_login from unknown sources.</t>
  </si>
  <si>
    <t xml:space="preserve">CWE-829, CWE-94, CWE-306</t>
  </si>
  <si>
    <t xml:space="preserve">Langflow 1.4.2 (CVE-2026-0770); &lt; 1.9.0 (CVE-2026-33017); 1.0.0 through 1.10.0 (CVE-2026-9198)</t>
  </si>
  <si>
    <t xml:space="preserve">Langflow 1.9.0 / 1.10.1 and higher (2026)</t>
  </si>
  <si>
    <t xml:space="preserve">Exploited in the wild (KEV 2026-03-25, 2026-07-21, 2026-08-04)</t>
  </si>
  <si>
    <t xml:space="preserve">CVE-2025-3248, AV-AI-07</t>
  </si>
  <si>
    <t xml:space="preserve">KEV; OWASP LLM03; CVSS source: CNA; Related CVEs without their own row: CVE-2026-33017, CVE-2026-9198</t>
  </si>
  <si>
    <t xml:space="preserve">https://www.zerodayinitiative.com/advisories/ZDI-26-036/; https://nvd.nist.gov/vuln/detail/CVE-2026-0770</t>
  </si>
  <si>
    <t xml:space="preserve">CVE-2025-6514</t>
  </si>
  <si>
    <t xml:space="preserve">mcp-remote - OS command injection via malicious MCP server authorization_endpoint</t>
  </si>
  <si>
    <t xml:space="preserve">The widely used MCP client proxy mcp-remote (0.0.5-0.1.15) passed the authorization_endpoint URL from the OAuth metadata of a (malicious) MCP server to a shell command to open the browser, so that connecting to an untrusted MCP server led to RCE on the user's workstation (also via MitM when using http://).</t>
  </si>
  <si>
    <t xml:space="preserve">RCE on workstations of developers/users who connect AI assistants to external MCP servers; first in-the-wild RCE class for MCP clients.</t>
  </si>
  <si>
    <t xml:space="preserve">Inventory MCP client configurations (Claude Desktop, Cursor, Windsurf, and others) for mcp-remote versions &lt; 0.1.16 and for connections to external/HTTP MCP servers.</t>
  </si>
  <si>
    <t xml:space="preserve">Update mcp-remote to 0.1.16+, connect only to trusted MCP servers via HTTPS, allowlist of MCP servers via policy, sandboxing of AI clients.</t>
  </si>
  <si>
    <t xml:space="preserve">EDR on child processes (cmd/powershell/sh) of npx/node processes running mcp-remote.</t>
  </si>
  <si>
    <t xml:space="preserve">T1204, T1059</t>
  </si>
  <si>
    <t xml:space="preserve">mcp-remote 0.0.5 through 0.1.15</t>
  </si>
  <si>
    <t xml:space="preserve">mcp-remote 0.1.16 (June 2025)</t>
  </si>
  <si>
    <t xml:space="preserve">Yes (public PoC; JFrog)</t>
  </si>
  <si>
    <t xml:space="preserve">AV-AI-04, CVE-2025-49596</t>
  </si>
  <si>
    <t xml:space="preserve">OWASP LLM06; MITRE ATLAS AML.T0053; CVSS source: CNA</t>
  </si>
  <si>
    <t xml:space="preserve">https://research.jfrog.com/vulnerabilities/mcp-remote-command-injection-rce-jfsa-2025-001290844/; https://github.com/geelen/mcp-remote/commit/607b226a356cb61a239ffaba2fb3db1c9dea4bac; https://nvd.nist.gov/vuln/detail/CVE-2025-6514</t>
  </si>
  <si>
    <t xml:space="preserve">CVE-2025-49596</t>
  </si>
  <si>
    <t xml:space="preserve">MCP Inspector - missing authentication between client and proxy (RCE via browser / DNS rebinding)</t>
  </si>
  <si>
    <t xml:space="preserve">The proxy server of the MCP Inspector (development tool for the Model Context Protocol) listened without authentication on 0.0.0.0:6277 and allowed any (web) client to start stdio commands; via a malicious web page (0.0.0.0-day/DNS rebinding), an attacker could remotely execute code on the developer's workstation.</t>
  </si>
  <si>
    <t xml:space="preserve">RCE on developer workstations and CI systems where the Inspector is running.</t>
  </si>
  <si>
    <t xml:space="preserve">Check for running MCP Inspector instances (&lt; 0.14.1) and whether 6274/6277 are listening on all interfaces; search projects for @modelcontextprotocol/inspector versions.</t>
  </si>
  <si>
    <t xml:space="preserve">Update to 0.14.1+ (session token and localhost binding), bind dev tools to 127.0.0.1, block DNS rebinding with Host validation.</t>
  </si>
  <si>
    <t xml:space="preserve">EDR on child processes of the Inspector's node processes; network monitoring for connections to 6277.</t>
  </si>
  <si>
    <t xml:space="preserve">CVSS:4.0/AV:N/AC:L/AT:N/PR:N/UI:P/VC:H/VI:H/VA:H/SC:H/SI:H/SA:H</t>
  </si>
  <si>
    <t xml:space="preserve">MCP Inspector (npm package modelcontextprotocol/inspector) &lt; 0.14.1</t>
  </si>
  <si>
    <t xml:space="preserve">MCP Inspector 0.14.1 (June 2025)</t>
  </si>
  <si>
    <t xml:space="preserve">Yes (public PoC; Oligo Security)</t>
  </si>
  <si>
    <t xml:space="preserve">AV-AI-04, CVE-2025-6514, CVE-2025-62593</t>
  </si>
  <si>
    <t xml:space="preserve">OWASP LLM06; CVSS source: CNA</t>
  </si>
  <si>
    <t xml:space="preserve">https://github.com/modelcontextprotocol/inspector/security/advisories/GHSA-7f8r-222p-6f5g; https://github.com/modelcontextprotocol/inspector/commit/50df0e1ec488f3983740b4d28d2a968f12eb8979; https://nvd.nist.gov/vuln/detail/CVE-2025-49596</t>
  </si>
  <si>
    <t xml:space="preserve">CVE-2024-37032</t>
  </si>
  <si>
    <t xml:space="preserve">Ollama - path traversal in model digest (Probllama) RCE</t>
  </si>
  <si>
    <t xml:space="preserve">Ollama did not validate the digest field of model manifests, resulting in a path traversal via /api/pull from a malicious registry, with arbitrary file write and RCE (e.g. overwriting ld.so.preload); on Docker installations Ollama runs as root and often listens on 0.0.0.0:11434 without authentication.</t>
  </si>
  <si>
    <t xml:space="preserve">RCE on AI inference servers (often with GPUs and sensitive data) that are connected to the network without authentication.</t>
  </si>
  <si>
    <t xml:space="preserve">Scan for Ollama (11434, /api/tags) and versions (&lt; 0.1.34 vulnerable); check whether the API is reachable without authentication (Ollama has no built-in auth).</t>
  </si>
  <si>
    <t xml:space="preserve">Update Ollama (0.1.34+), place the API behind a reverse proxy with authentication, bind to localhost, do not run as root, egress restriction for registries.</t>
  </si>
  <si>
    <t xml:space="preserve">Alert on /api/pull requests to unknown registries and on file changes outside the model directory.</t>
  </si>
  <si>
    <t xml:space="preserve">Ollama &lt; 0.1.34</t>
  </si>
  <si>
    <t xml:space="preserve">Ollama 0.1.34 (May 2024)</t>
  </si>
  <si>
    <t xml:space="preserve">Yes (public PoC; Wiz)</t>
  </si>
  <si>
    <t xml:space="preserve">AV-AI-07, AV-NET-14</t>
  </si>
  <si>
    <t xml:space="preserve">OWASP LLM03; CVSS source: ADP CISA-ADP</t>
  </si>
  <si>
    <t xml:space="preserve">https://github.com/ollama/ollama/pull/4175; https://github.com/ollama/ollama/compare/v0.1.33...v0.1.34; https://nvd.nist.gov/vuln/detail/CVE-2024-37032</t>
  </si>
  <si>
    <t xml:space="preserve">CVE-2024-5565</t>
  </si>
  <si>
    <t xml:space="preserve">Vanna.AI - prompt injection in 'ask' with visualize=True leading to RCE</t>
  </si>
  <si>
    <t xml:space="preserve">The text-to-SQL library Vanna lets the LLM generate Plotly visualization code that is then executed with exec(); via prompt injection in the user question, an attacker can have arbitrary Python generated and executed. Textbook example of 'improper output handling' and the reason that LLM-generated code must be sandboxed.</t>
  </si>
  <si>
    <t xml:space="preserve">RCE on the application server via an ordinary user question to the chatbot.</t>
  </si>
  <si>
    <t xml:space="preserve">Identify applications that execute LLM output (code/SQL) without a sandbox; test with prompts that cause harmless code to be generated (e.g. creating a file) within the RoE.</t>
  </si>
  <si>
    <t xml:space="preserve">Disable visualize or execute generated code in an isolated sandbox; treat LLM output as untrusted; allowlists for permitted functions.</t>
  </si>
  <si>
    <t xml:space="preserve">Alert on execution of generated code with OS/network calls.</t>
  </si>
  <si>
    <t xml:space="preserve">CWE-94, CWE-1427</t>
  </si>
  <si>
    <t xml:space="preserve">Vanna (Python) - versions with visualize=True as default (reported May 2024)</t>
  </si>
  <si>
    <t xml:space="preserve">Hardening guidance; sandboxing (no complete fix by design)</t>
  </si>
  <si>
    <t xml:space="preserve">AV-AI-03, AV-AI-01</t>
  </si>
  <si>
    <t xml:space="preserve">OWASP LLM05; MITRE ATLAS AML.T0051; CVSS source: CNA</t>
  </si>
  <si>
    <t xml:space="preserve">https://research.jfrog.com/vulnerabilities/vanna-prompt-injection-rce-jfsa-2024-001034449/; https://nvd.nist.gov/vuln/detail/CVE-2024-5565</t>
  </si>
  <si>
    <t xml:space="preserve">CVE-2026-42208</t>
  </si>
  <si>
    <t xml:space="preserve">LiteLLM proxy (AI gateway) - unauthenticated SQL injection in API key verification (also CVE-2026-59822 MCP auth bypass, CVE-2026-42271)</t>
  </si>
  <si>
    <t xml:space="preserve">The LiteLLM proxy mixed the client-supplied API key into the database query during key verification, allowing an unauthenticated attacker to perform SQL injection via the Authorization header and read the database with all provider keys and virtual keys (CVE-2026-42208); later in 2026, an MCP authentication bypass (CVE-2026-59822) and command execution via MCP test endpoints (CVE-2026-42271) followed.</t>
  </si>
  <si>
    <t xml:space="preserve">Theft of all LLM provider credentials (OpenAI, Azure, Anthropic, and others) and budgets; access to MCP tools without a valid key.</t>
  </si>
  <si>
    <t xml:space="preserve">Identify LiteLLM proxies (port 4000, /health, /v1/models) and versions (1.81.16 through 1.83.6 vulnerable to 42208; &lt; 1.84.0 for 59822); PoC only non-destructively within the RoE.</t>
  </si>
  <si>
    <t xml:space="preserve">Update LiteLLM to 1.84.0+; rotate all provider and virtual keys in case of exposure; place the gateway behind network restrictions; monitor budgets.</t>
  </si>
  <si>
    <t xml:space="preserve">Alert on Authorization headers with SQL metacharacters and on anomalous database queries; monitor unexpected model consumption.</t>
  </si>
  <si>
    <t xml:space="preserve">CWE-89, CWE-287</t>
  </si>
  <si>
    <t xml:space="preserve">LiteLLM 1.81.16 through 1.83.6 (CVE-2026-42208); &lt; 1.84.0 (CVE-2026-59822)</t>
  </si>
  <si>
    <t xml:space="preserve">LiteLLM 1.83.7 / 1.84.0 (May-June 2026)</t>
  </si>
  <si>
    <t xml:space="preserve">Yes - KEV since 2026-05-08</t>
  </si>
  <si>
    <t xml:space="preserve">Exploited in the wild (KEV 2026-05-08; 2026-09-02)</t>
  </si>
  <si>
    <t xml:space="preserve">AV-AI-07, AV-AI-04</t>
  </si>
  <si>
    <t xml:space="preserve">KEV; OWASP LLM03/LLM06; CVSS source: ADP redhat-SADP; Related CVEs without their own row: CVE-2026-59822, CVE-2026-42271</t>
  </si>
  <si>
    <t xml:space="preserve">https://github.com/BerriAI/litellm/security/advisories/GHSA-r75f-5x8p-qvmc; https://github.com/BerriAI/litellm/releases/tag/v1.83.7-stable; https://nvd.nist.gov/vuln/detail/CVE-2026-42208</t>
  </si>
  <si>
    <t xml:space="preserve">CVE-2026-64849</t>
  </si>
  <si>
    <t xml:space="preserve">MLflow - unauthenticated full-read SSRF in webhook test (redirects / DNS rebinding) exposing cloud credentials</t>
  </si>
  <si>
    <t xml:space="preserve">The unauthenticated endpoint POST /api/2.0/mlflow/webhooks/{id}/test validates only the original URL but follows redirects and re-resolves the hostname, allowing an attacker to reach internal services and cloud metadata endpoints (IMDS) and receive the responses; added to KEV in August 2026.</t>
  </si>
  <si>
    <t xml:space="preserve">Theft of cloud credentials (instance roles) and access to internal services from the MLOps server.</t>
  </si>
  <si>
    <t xml:space="preserve">Identify MLflow tracking servers (port 5000) and versions (3.3.0 through 3.14.x vulnerable); test SSRF with your own listener and (if permitted) a read-only metadata check within the RoE.</t>
  </si>
  <si>
    <t xml:space="preserve">Update MLflow to 3.15.0+, enable authentication on the tracking server, IMDSv2 with hop limit 1, egress restriction for the MLflow host.</t>
  </si>
  <si>
    <t xml:space="preserve">Alert on webhook test requests from unknown sources and on metadata access from the MLflow host.</t>
  </si>
  <si>
    <t xml:space="preserve">T1190, T1552.005</t>
  </si>
  <si>
    <t xml:space="preserve">MLflow 3.3.0 through 3.14.x</t>
  </si>
  <si>
    <t xml:space="preserve">MLflow 3.15.0 (August 2026)</t>
  </si>
  <si>
    <t xml:space="preserve">Yes - KEV since 2026-08-19</t>
  </si>
  <si>
    <t xml:space="preserve">Exploited in the wild (KEV 2026-08-19)</t>
  </si>
  <si>
    <t xml:space="preserve">AV-CLD-05, AV-AI-07, AV-WEB-07</t>
  </si>
  <si>
    <t xml:space="preserve">KEV; OWASP LLM03; CVSS source: CNA</t>
  </si>
  <si>
    <t xml:space="preserve">https://github.com/mlflow/mlflow/security/advisories/GHSA-7gwp-5pfp-969j; https://github.com/mlflow/mlflow/issues/24179; https://nvd.nist.gov/vuln/detail/CVE-2026-64849</t>
  </si>
  <si>
    <t xml:space="preserve">CVE-2025-62593</t>
  </si>
  <si>
    <t xml:space="preserve">Ray - RCE via browser DNS rebinding (Firefox/Safari User-Agent bypass)</t>
  </si>
  <si>
    <t xml:space="preserve">The Ray dashboard/Jobs API protected itself against browser-based attacks only with a User-Agent check for 'Mozilla', which can be bypassed via fetch(); with DNS rebinding, a malicious website can start jobs (arbitrary code) on the local Ray cluster from a developer's browser. Follow-up to the ShadowRay campaign (CVE-2023-48022) against unsecured Ray clusters.</t>
  </si>
  <si>
    <t xml:space="preserve">RCE on AI compute clusters (GPUs, datasets, cloud credentials) via a visited website or malvertising.</t>
  </si>
  <si>
    <t xml:space="preserve">Identify Ray dashboards (port 8265) and versions (&lt; 2.52.0 vulnerable) and whether they are reachable without authentication from workstations/the internet.</t>
  </si>
  <si>
    <t xml:space="preserve">Update Ray to 2.52.0+, bind the dashboard to localhost or behind an authenticating proxy, block DNS rebinding (Host validation), network isolation of clusters.</t>
  </si>
  <si>
    <t xml:space="preserve">Alert on job submissions from unexpected sources and on outbound connections from Ray nodes.</t>
  </si>
  <si>
    <t xml:space="preserve">T1190, T1189</t>
  </si>
  <si>
    <t xml:space="preserve">CWE-94, CWE-352</t>
  </si>
  <si>
    <t xml:space="preserve">Ray &lt; 2.52.0</t>
  </si>
  <si>
    <t xml:space="preserve">Ray 2.52.0 (November 2025)</t>
  </si>
  <si>
    <t xml:space="preserve">Yes - KEV since 2026-08-17</t>
  </si>
  <si>
    <t xml:space="preserve">Exploited in the wild (KEV 2026-08-17); public analysis (Oligo)</t>
  </si>
  <si>
    <t xml:space="preserve">AV-AI-07, CVE-2025-49596</t>
  </si>
  <si>
    <t xml:space="preserve">KEV; OWASP LLM03; CVSS source: CNA; Related CVEs without their own row: CVE-2023-48022</t>
  </si>
  <si>
    <t xml:space="preserve">https://github.com/ray-project/ray/security/advisories/GHSA-q279-jhrf-cc6v; https://github.com/ray-project/ray/commit/70e7c72780bdec075dba6cad1afe0832772bfe09; https://nvd.nist.gov/vuln/detail/CVE-2025-62593</t>
  </si>
  <si>
    <t xml:space="preserve">CVE-2025-68613</t>
  </si>
  <si>
    <t xml:space="preserve">n8n - workflow expression injection RCE (authenticated)</t>
  </si>
  <si>
    <t xml:space="preserve">The expression evaluation of the workflow automation platform n8n (widely used for AI agent workflows) was insufficiently isolated from the Node.js runtime, allowing an authenticated user who is permitted to edit workflows to execute arbitrary code with the privileges of the n8n process; added to KEV in March 2026.</t>
  </si>
  <si>
    <t xml:space="preserve">Full compromise of the automation server with all stored credentials (SaaS APIs, databases, LLM keys) of connected systems.</t>
  </si>
  <si>
    <t xml:space="preserve">Identify n8n instances (port 5678) and versions (0.211.0 through 1.120.3 and 1.121.0 vulnerable); check who is allowed to create workflows and whether self-signup/public access is enabled.</t>
  </si>
  <si>
    <t xml:space="preserve">Update n8n to 1.120.4 / 1.121.1 / 1.122.0+, restrict workflow editing to trusted users, run n8n with minimal OS privileges and network restrictions, rotate stored credentials if compromise is suspected.</t>
  </si>
  <si>
    <t xml:space="preserve">Alert on child processes of the n8n node process and on changes to workflows by unexpected users.</t>
  </si>
  <si>
    <t xml:space="preserve">CWE-913, CWE-94</t>
  </si>
  <si>
    <t xml:space="preserve">n8n 0.211.0 through 1.120.3 and 1.121.0</t>
  </si>
  <si>
    <t xml:space="preserve">n8n 1.120.4 / 1.121.1 / 1.122.0 (December 2025)</t>
  </si>
  <si>
    <t xml:space="preserve">Yes - KEV since 2026-03-11</t>
  </si>
  <si>
    <t xml:space="preserve">Exploited in the wild (KEV 2026-03-11); public PoC</t>
  </si>
  <si>
    <t xml:space="preserve">KEV; OWASP LLM03/LLM06; CVSS source: CNA</t>
  </si>
  <si>
    <t xml:space="preserve">https://github.com/n8n-io/n8n/security/advisories/GHSA-v98v-ff95-f3cp; https://github.com/n8n-io/n8n/commit/08f332015153decdda3c37ad4fcb9f7ba13a7c79; https://nvd.nist.gov/vuln/detail/CVE-2025-68613</t>
  </si>
  <si>
    <t xml:space="preserve">Attack-vectors knowledge base - Legend (version 0.10.0, 2026-10-09)</t>
  </si>
  <si>
    <t xml:space="preserve">Column</t>
  </si>
  <si>
    <t xml:space="preserve">Meaning</t>
  </si>
  <si>
    <t xml:space="preserve">Values / convention</t>
  </si>
  <si>
    <t xml:space="preserve">Unique key of the row.</t>
  </si>
  <si>
    <t xml:space="preserve">AV-&lt;SCOPE&gt;-&lt;nn&gt; for attack vectors (WEB, API, NET, EXT, AD, CLD, MOB, WIFI, SE, PHY, HOST, AI); CVE-yyyy-nnnnn for known vulnerabilities.</t>
  </si>
  <si>
    <t xml:space="preserve">Test scope in which the vector/vulnerability is typically encountered.</t>
  </si>
  <si>
    <t xml:space="preserve">Web application | API | Internal network | External network | Active Directory | Cloud | Mobile | Wireless | Social engineering | Physical | Endpoint | AI / LLM</t>
  </si>
  <si>
    <t xml:space="preserve">Short English name of the attack technique or vulnerability (report title).</t>
  </si>
  <si>
    <t xml:space="preserve">Free text; CVE rows: "&lt;Product&gt; - &lt;type&gt; (&lt;nickname&gt;)".</t>
  </si>
  <si>
    <t xml:space="preserve">Class of the finding.</t>
  </si>
  <si>
    <t xml:space="preserve">E.g. Authorization, Injection, Configuration, Credential access, Known vulnerability (all CVE rows).</t>
  </si>
  <si>
    <t xml:space="preserve">Phase (MITRE ATT&amp;CK tactic) in which the technique is typically used.</t>
  </si>
  <si>
    <t xml:space="preserve">Reconnaissance | Initial access | Execution | Persistence | Privilege escalation | Defense evasion | Credential access | Discovery | Lateral movement | Collection | Command and control | Impact</t>
  </si>
  <si>
    <t xml:space="preserve">Indicative default severity for reporting; adjust to context and evidence.</t>
  </si>
  <si>
    <t xml:space="preserve">Info | Low | Medium | High | Critical. For CVE rows based on practical pentest impact; the formal CVSS score is in CVSS_score.</t>
  </si>
  <si>
    <t xml:space="preserve">Description / Impact / Test_approach / Remediation / Detection_note</t>
  </si>
  <si>
    <t xml:space="preserve">Report text (EN; translated from the Dutch original, which by convention was written without diacritics).</t>
  </si>
  <si>
    <t xml:space="preserve">Test_approach describes a non-destructive approach within the rules of engagement (RoE).</t>
  </si>
  <si>
    <t xml:space="preserve">Mapping to OWASP Top 10 2025.</t>
  </si>
  <si>
    <t xml:space="preserve">A01 Broken Access Control, A02 Security Misconfiguration, A03 Software Supply Chain Failures, A04 Cryptographic Failures, A05 Injection, A06 Insecure Design, A07 Authentication Failures, A08 Software or Data Integrity Failures, A09 Security Logging &amp; Alerting Failures, A10 Mishandling of Exceptional Conditions. CVE rows receive A03:2025 (vulnerable component) plus the underlying class.</t>
  </si>
  <si>
    <t xml:space="preserve">Mapping to OWASP API Security Top 10 2023.</t>
  </si>
  <si>
    <t xml:space="preserve">API1 through API10.</t>
  </si>
  <si>
    <t xml:space="preserve">OWASP Web Security Testing Guide test ID (v4.2 / latest).</t>
  </si>
  <si>
    <t xml:space="preserve">E.g. WSTG-ATHZ-04 (IDOR), WSTG-INPV-05 (SQLi), WSTG-SESS-10 (JWT), WSTG-APIT-01 (GraphQL). The category prefix remains filterable.</t>
  </si>
  <si>
    <t xml:space="preserve">Chapter of OWASP ASVS 5.0.</t>
  </si>
  <si>
    <t xml:space="preserve">V1 Encoding/Sanitization, V2 Validation/Business Logic, V3 Web Frontend, V4 API/Web Service, V5 File Handling, V6 Authentication, V7 Session, V8 Authorization, V9 Self-contained Tokens, V10 OAuth/OIDC, V11 Cryptography, V12 Secure Communication, V13 Configuration, V14 Data Protection, V15 Secure Coding/Architecture, V16 Logging/Error Handling, V17 WebRTC.</t>
  </si>
  <si>
    <t xml:space="preserve">MITRE ATT&amp;CK technique ID(s) (Enterprise; T1660 = Mobile).</t>
  </si>
  <si>
    <t xml:space="preserve">Only filled in where a defensible mapping exists; application vulnerabilities often map to T1190 (Exploit Public-Facing Application).</t>
  </si>
  <si>
    <t xml:space="preserve">Common Weakness Enumeration.</t>
  </si>
  <si>
    <t xml:space="preserve">E.g. CWE-89; CWE-1427 = Improper Neutralization of Input Used for LLM Prompting.</t>
  </si>
  <si>
    <t xml:space="preserve">Relevant page in PayloadsAllTheThings (web) or InternalAllTheThings (AD/cloud/red team) by swisskyrepo.</t>
  </si>
  <si>
    <t xml:space="preserve">Page name.</t>
  </si>
  <si>
    <t xml:space="preserve">Module of the OffSec PEN-200 curriculum.</t>
  </si>
  <si>
    <t xml:space="preserve">Web attacks | Enumeration | Active Directory | Windows privilege escalation | Linux privilege escalation | Client-side attacks | Password attacks | Public exploits | Tunneling</t>
  </si>
  <si>
    <t xml:space="preserve">CISSP domain.</t>
  </si>
  <si>
    <t xml:space="preserve">D1 Security &amp; Risk Mgmt, D2 Asset Security, D3 Architecture &amp; Engineering, D4 Communication &amp; Network Security, D5 IAM, D6 Assessment &amp; Testing, D7 Security Operations, D8 Software Development Security.</t>
  </si>
  <si>
    <t xml:space="preserve">Evidence to be filled in per engagement (screenshots, request/response, hosts).</t>
  </si>
  <si>
    <t xml:space="preserve">Empty in the knowledge base.</t>
  </si>
  <si>
    <t xml:space="preserve">CVSS_score / CVSS_vector</t>
  </si>
  <si>
    <t xml:space="preserve">CVSS base score and vector of the CVE (temporal/threat metrics removed).</t>
  </si>
  <si>
    <t xml:space="preserve">Source: CNA (vendor) or CISA-ADP from the CVE records (cvelistV5), see Other_mapping; deviations from NVD are noted (e.g. Zerologon). Always check the current NVD score when reporting.</t>
  </si>
  <si>
    <t xml:space="preserve">Affected_versions / Fixed_in</t>
  </si>
  <si>
    <t xml:space="preserve">Affected versions and the release/patch that fixes the vulnerability.</t>
  </si>
  <si>
    <t xml:space="preserve">Summarized from the vendor advisory; consult the advisory for complete build lists.</t>
  </si>
  <si>
    <t xml:space="preserve">Included in the CISA Known Exploited Vulnerabilities catalog (evidence of exploitation in the wild).</t>
  </si>
  <si>
    <t xml:space="preserve">"Yes - KEV since yyyy-mm-dd" or "No". Catalog reference date: 2026-10-04.</t>
  </si>
  <si>
    <t xml:space="preserve">Availability of public exploit code / exploitation status.</t>
  </si>
  <si>
    <t xml:space="preserve">Free text (e.g. Metasploit, public PoC, in the wild). No exploit code or PoC links included.</t>
  </si>
  <si>
    <t xml:space="preserve">Cross-references to other rows (AV &lt;-&gt; CVE).</t>
  </si>
  <si>
    <t xml:space="preserve">Comma-separated IDs from this table; all references have been validated.</t>
  </si>
  <si>
    <t xml:space="preserve">Other frameworks.</t>
  </si>
  <si>
    <t xml:space="preserve">OWASP Mobile Top 10 2024 / MASVS 2.x, OWASP Top 10 for LLM Applications 2025 (LLM01-LLM10), MITRE ATLAS (AML.T*), CIS Benchmarks/Controls, NIST SP 800-63B, Certipy ESC numbers, ISO 27001 controls.</t>
  </si>
  <si>
    <t xml:space="preserve">Source for verification (vendor advisory, NVD, OWASP, MSRC).</t>
  </si>
  <si>
    <t xml:space="preserve">URL(s), semicolon-separated.</t>
  </si>
  <si>
    <t xml:space="preserve">Date of last review/change of the row.</t>
  </si>
  <si>
    <t xml:space="preserve">ISO date (yyyy-mm-dd).</t>
  </si>
  <si>
    <t xml:space="preserve">Sources and reference dates</t>
  </si>
  <si>
    <t xml:space="preserve">CVE records: CVEProject/cvelistV5 (CNA descriptions, CVSS, CISA-ADP incl. KEV date), as of 2026-10-04.</t>
  </si>
  <si>
    <t xml:space="preserve">CISA Known Exploited Vulnerabilities Catalog (via the ADP container in the CVE records), as of 2026-10-04.</t>
  </si>
  <si>
    <t xml:space="preserve">OWASP Top 10 2025, OWASP API Security Top 10 2023, OWASP WSTG v4.2/latest, OWASP ASVS 5.0, OWASP Mobile Top 10 2024 / MASVS 2.x, OWASP Top 10 for LLM Applications 2025.</t>
  </si>
  <si>
    <t xml:space="preserve">MITRE ATT&amp;CK Enterprise (v17/v18) and MITRE ATLAS.</t>
  </si>
  <si>
    <t xml:space="preserve">Vendor advisories (MSRC, Fortinet PSIRT, Citrix/NetScaler, Ivanti, Palo Alto Networks, Cisco PSIRT, Broadcom/VMware, Atlassian, Oracle CPU, SAP, Adobe, GitLab, JetBrains, JFrog and others).</t>
  </si>
  <si>
    <t xml:space="preserve">Severity_default, Test_approach, Remediation and Detection_note are editorial choices for reporting; CVSS/KEV/versions are taken from the sources.</t>
  </si>
  <si>
    <t xml:space="preserve">Version</t>
  </si>
  <si>
    <t xml:space="preserve">Date</t>
  </si>
  <si>
    <t xml:space="preserve">Component</t>
  </si>
  <si>
    <t xml:space="preserve">Change</t>
  </si>
  <si>
    <t xml:space="preserve">0.10.0</t>
  </si>
  <si>
    <t xml:space="preserve">Structure</t>
  </si>
  <si>
    <t xml:space="preserve">10 columns added after Evidence: CVSS_score, CVSS_vector, Affected_versions, Fixed_in, CISA_KEV, Exploit_public, Related_IDs, Other_mapping, References, Last_updated. Existing 21 columns, order and header names unchanged.</t>
  </si>
  <si>
    <t xml:space="preserve">Header row bold with fill, frozen first row/column (ID), autofilter across the entire table; Legend, Changelog and Overview tabs added.</t>
  </si>
  <si>
    <t xml:space="preserve">Attack vectors</t>
  </si>
  <si>
    <t xml:space="preserve">108 new AV rows (total 195): Web +29, API +2, Internal network +14, External network (new) +7, Active Directory +14, Cloud +11, Mobile +4, Wireless +4, Social engineering +5, Physical +4, Endpoint (new) +7, AI / LLM (new) +7.</t>
  </si>
  <si>
    <t xml:space="preserve">New scopes: External network (AV-EXT), Endpoint (AV-HOST) and AI / LLM (AV-AI) with mapping to OWASP LLM Top 10 2025 and MITRE ATLAS.</t>
  </si>
  <si>
    <t xml:space="preserve">Existing rows</t>
  </si>
  <si>
    <t xml:space="preserve">WSTG column refined from category (e.g. WSTG-ATHZ) to specific test IDs (e.g. WSTG-ATHZ-04); reflected/stored XSS moved from WSTG-CLNT to WSTG-INPV-01/02 in line with WSTG.</t>
  </si>
  <si>
    <t xml:space="preserve">MITRE ATT&amp;CK supplemented where a defensible mapping exists (including SQLi/SSRF/XXE/SSTI -&gt; T1190, file upload -&gt; T1505.003, session -&gt; T1539, JWT -&gt; T1606, TLS -&gt; T1557/T1040); AV-AD-08 (ACL abuse) corrected to T1098, T1484.001.</t>
  </si>
  <si>
    <t xml:space="preserve">AV-AD-09 extended from ESC1-ESC8 to ESC1-ESC16 (incl. ESC9/10 certificate mapping, ESC15 EKUwu, ESC16) with Certipy reference; AV-NET-02 extended with ADIDNS wildcard abuse; AV-WEB-11 renamed to "Path traversal / LFI / RFI"; AV-AD-01 remediation supplemented with RC4 disabling; AV-CLD-03 extended with snapshots/SAS tokens; AV-WEB-18 CWE-1188 added.</t>
  </si>
  <si>
    <t xml:space="preserve">Related_IDs and Other_mapping (MASVS / OWASP Mobile Top 10 2024, CIS, Certipy) filled in; OWASP_API_2023 supplemented for AV-WEB-01/02/12 (IDOR, privesc, auth).</t>
  </si>
  <si>
    <t xml:space="preserve">CVE rows</t>
  </si>
  <si>
    <t xml:space="preserve">154 CVE rows (was 1). Row CVE-2020-14008 translated into Dutch, supplemented (CVSS 7.2, build 14730, KEV status, WSTG/CWE/MITRE) and category typo "Known Vulnerabillity" corrected to "Known vulnerability".</t>
  </si>
  <si>
    <t xml:space="preserve">Selection criteria: exploited in the wild (CISA KEV) and/or structurally encountered in pentests of Dutch organizations; per scope: Active Directory (11), Internal network (25), External network (47), Web application (38), Endpoint (10), Social engineering (5), Cloud (7), AI / LLM (11). 137 of the 154 CVE rows are in the CISA KEV catalog. Coverage through KEV additions of 2026-10-04 (including CVE-2026-104286 FortiMail, CVE-2026-88771 NetScaler, CVE-2026-63030 WordPress, CVE-2026-33824 Windows IKEEXT).</t>
  </si>
  <si>
    <t xml:space="preserve">CVSS score/vector, KEV date and references automatically taken from the official CVE records (cvelistV5, CNA and CISA-ADP); temporal metrics removed from vectors. Exceptions documented in Other_mapping (CVE-2020-1472 NVD 10.0 instead of CNA 5.5; CVE-2020-14008 NVD 7.2; CVE-2013-4786 CVSSv2 only).</t>
  </si>
  <si>
    <t xml:space="preserve">Conventions</t>
  </si>
  <si>
    <t xml:space="preserve">Dutch without diacritics (as in the original), English technical terms; no exploit code or PoC links in new rows (only vendor/NVD/OWASP references). Test_approach describes non-destructive verification within the RoE.</t>
  </si>
  <si>
    <t xml:space="preserve">Points of attention</t>
  </si>
  <si>
    <t xml:space="preserve">When reporting, check the current NVD score and the vendor advisory; version numbers are summarized. Severity_default is indicative. All rows with Last_updated 2026-10-09 were reviewed in this release.</t>
  </si>
  <si>
    <t xml:space="preserve">0.9.1</t>
  </si>
  <si>
    <t xml:space="preserve">Baseline</t>
  </si>
  <si>
    <t xml:space="preserve">Original knowledge base: 87 attack vectors (9 scopes) and 1 CVE row.</t>
  </si>
  <si>
    <t xml:space="preserve">0.10.0-EN</t>
  </si>
  <si>
    <t xml:space="preserve">2026-10-11</t>
  </si>
  <si>
    <t xml:space="preserve">Translation</t>
  </si>
  <si>
    <t xml:space="preserve">Full English translation of all tabs (attack-vectors-knowledge-base, Legend, Changelog, Overview) from the Dutch 0.10.0 original. IDs, mappings, versions, CVSS, KEV dates, references and formulas unchanged; CISA_KEV values "Ja/Nee" are now "Yes/No" (Overview formulas adjusted accordingly); tabs "Legenda" and "Overzicht" renamed to "Legend" and "Overview".</t>
  </si>
  <si>
    <t xml:space="preserve">Overview of counts per scope and Severity_default (formulas on the attack-vectors-knowledge-base tab)</t>
  </si>
  <si>
    <t xml:space="preserve">Total</t>
  </si>
  <si>
    <t xml:space="preserve">of which CVE rows</t>
  </si>
  <si>
    <t xml:space="preserve">of which in KEV</t>
  </si>
  <si>
    <t xml:space="preserve">Check: number of rows with ID in main table</t>
  </si>
  <si>
    <t xml:space="preserve">Check: number of CVE rows (ID starts with CVE-)</t>
  </si>
  <si>
    <t xml:space="preserve">Check: number of rows in KEV</t>
  </si>
</sst>
</file>

<file path=xl/styles.xml><?xml version="1.0" encoding="utf-8"?>
<styleSheet xmlns="http://schemas.openxmlformats.org/spreadsheetml/2006/main">
  <numFmts count="2">
    <numFmt numFmtId="164" formatCode="General"/>
    <numFmt numFmtId="165" formatCode="0.0"/>
  </numFmts>
  <fonts count="6">
    <font>
      <sz val="11"/>
      <color theme="1"/>
      <name val="Calibri"/>
      <family val="2"/>
      <charset val="1"/>
    </font>
    <font>
      <sz val="10"/>
      <name val="Arial"/>
      <family val="0"/>
    </font>
    <font>
      <sz val="10"/>
      <name val="Arial"/>
      <family val="0"/>
    </font>
    <font>
      <sz val="10"/>
      <name val="Arial"/>
      <family val="0"/>
    </font>
    <font>
      <b val="true"/>
      <sz val="12"/>
      <name val="Aptos Narrow"/>
      <family val="0"/>
      <charset val="1"/>
    </font>
    <font>
      <sz val="12"/>
      <name val="Aptos Narrow"/>
      <family val="0"/>
      <charset val="1"/>
    </font>
  </fonts>
  <fills count="3">
    <fill>
      <patternFill patternType="none"/>
    </fill>
    <fill>
      <patternFill patternType="gray125"/>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D9E1F2"/>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83"/>
    <col collapsed="false" customWidth="true" hidden="false" outlineLevel="0" max="2" min="2" style="1" width="15.83"/>
    <col collapsed="false" customWidth="true" hidden="false" outlineLevel="0" max="3" min="3" style="1" width="39.51"/>
    <col collapsed="false" customWidth="true" hidden="false" outlineLevel="0" max="4" min="4" style="1" width="20.83"/>
    <col collapsed="false" customWidth="true" hidden="false" outlineLevel="0" max="5" min="5" style="1" width="17"/>
    <col collapsed="false" customWidth="true" hidden="false" outlineLevel="0" max="6" min="6" style="1" width="14.16"/>
    <col collapsed="false" customWidth="true" hidden="false" outlineLevel="0" max="7" min="7" style="1" width="107"/>
    <col collapsed="false" customWidth="true" hidden="false" outlineLevel="0" max="8" min="8" style="1" width="64.83"/>
    <col collapsed="false" customWidth="true" hidden="false" outlineLevel="0" max="9" min="9" style="1" width="107.5"/>
    <col collapsed="false" customWidth="true" hidden="false" outlineLevel="0" max="10" min="10" style="1" width="70"/>
    <col collapsed="false" customWidth="true" hidden="false" outlineLevel="0" max="11" min="11" style="1" width="62.16"/>
    <col collapsed="false" customWidth="true" hidden="false" outlineLevel="0" max="12" min="12" style="1" width="17.83"/>
    <col collapsed="false" customWidth="true" hidden="false" outlineLevel="0" max="13" min="13" style="1" width="15.33"/>
    <col collapsed="false" customWidth="true" hidden="false" outlineLevel="0" max="14" min="14" style="1" width="11.67"/>
    <col collapsed="false" customWidth="true" hidden="false" outlineLevel="0" max="15" min="15" style="1" width="8.5"/>
    <col collapsed="false" customWidth="true" hidden="false" outlineLevel="0" max="16" min="16" style="1" width="17.5"/>
    <col collapsed="false" customWidth="true" hidden="false" outlineLevel="0" max="17" min="17" style="1" width="22"/>
    <col collapsed="false" customWidth="true" hidden="false" outlineLevel="0" max="18" min="18" style="1" width="38"/>
    <col collapsed="false" customWidth="true" hidden="false" outlineLevel="0" max="19" min="19" style="1" width="14.16"/>
    <col collapsed="false" customWidth="true" hidden="false" outlineLevel="0" max="20" min="20" style="1" width="12.83"/>
    <col collapsed="false" customWidth="true" hidden="false" outlineLevel="0" max="21" min="21" style="1" width="14"/>
    <col collapsed="false" customWidth="true" hidden="false" outlineLevel="0" max="22" min="22" style="1" width="11"/>
    <col collapsed="false" customWidth="true" hidden="false" outlineLevel="0" max="23" min="23" style="1" width="46"/>
    <col collapsed="false" customWidth="true" hidden="false" outlineLevel="0" max="24" min="24" style="1" width="80"/>
    <col collapsed="false" customWidth="true" hidden="false" outlineLevel="0" max="25" min="25" style="1" width="60"/>
    <col collapsed="false" customWidth="true" hidden="false" outlineLevel="0" max="26" min="26" style="1" width="26"/>
    <col collapsed="false" customWidth="true" hidden="false" outlineLevel="0" max="27" min="27" style="1" width="40"/>
    <col collapsed="false" customWidth="true" hidden="false" outlineLevel="0" max="28" min="28" style="1" width="55"/>
    <col collapsed="false" customWidth="true" hidden="false" outlineLevel="0" max="29" min="29" style="1" width="50"/>
    <col collapsed="false" customWidth="true" hidden="false" outlineLevel="0" max="30" min="30" style="1" width="70"/>
    <col collapsed="false" customWidth="true" hidden="false" outlineLevel="0" max="31" min="31" style="1" width="13"/>
  </cols>
  <sheetData>
    <row r="1" customFormat="false" ht="19.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ustomFormat="false" ht="15" hidden="false" customHeight="true" outlineLevel="0" collapsed="false">
      <c r="A2" s="3" t="s">
        <v>31</v>
      </c>
      <c r="B2" s="3" t="s">
        <v>32</v>
      </c>
      <c r="C2" s="3" t="s">
        <v>33</v>
      </c>
      <c r="D2" s="3" t="s">
        <v>34</v>
      </c>
      <c r="E2" s="3" t="s">
        <v>35</v>
      </c>
      <c r="F2" s="4" t="s">
        <v>36</v>
      </c>
      <c r="G2" s="3" t="s">
        <v>37</v>
      </c>
      <c r="H2" s="3" t="s">
        <v>38</v>
      </c>
      <c r="I2" s="3" t="s">
        <v>39</v>
      </c>
      <c r="J2" s="3" t="s">
        <v>40</v>
      </c>
      <c r="K2" s="3" t="s">
        <v>41</v>
      </c>
      <c r="L2" s="3" t="s">
        <v>42</v>
      </c>
      <c r="M2" s="3" t="s">
        <v>43</v>
      </c>
      <c r="N2" s="3" t="s">
        <v>44</v>
      </c>
      <c r="O2" s="4" t="s">
        <v>45</v>
      </c>
      <c r="P2" s="3" t="s">
        <v>46</v>
      </c>
      <c r="Q2" s="3" t="s">
        <v>47</v>
      </c>
      <c r="R2" s="3" t="s">
        <v>48</v>
      </c>
      <c r="S2" s="3" t="s">
        <v>49</v>
      </c>
      <c r="T2" s="4" t="s">
        <v>50</v>
      </c>
      <c r="U2" s="3"/>
      <c r="V2" s="3"/>
      <c r="W2" s="3"/>
      <c r="X2" s="3"/>
      <c r="Y2" s="3"/>
      <c r="Z2" s="3"/>
      <c r="AA2" s="3"/>
      <c r="AB2" s="3" t="s">
        <v>51</v>
      </c>
      <c r="AC2" s="3"/>
      <c r="AD2" s="3" t="s">
        <v>52</v>
      </c>
      <c r="AE2" s="4" t="s">
        <v>53</v>
      </c>
    </row>
    <row r="3" customFormat="false" ht="15" hidden="false" customHeight="true" outlineLevel="0" collapsed="false">
      <c r="A3" s="3" t="s">
        <v>54</v>
      </c>
      <c r="B3" s="3" t="s">
        <v>32</v>
      </c>
      <c r="C3" s="3" t="s">
        <v>55</v>
      </c>
      <c r="D3" s="3" t="s">
        <v>34</v>
      </c>
      <c r="E3" s="3" t="s">
        <v>35</v>
      </c>
      <c r="F3" s="4" t="s">
        <v>36</v>
      </c>
      <c r="G3" s="3" t="s">
        <v>56</v>
      </c>
      <c r="H3" s="3" t="s">
        <v>57</v>
      </c>
      <c r="I3" s="3" t="s">
        <v>58</v>
      </c>
      <c r="J3" s="3" t="s">
        <v>59</v>
      </c>
      <c r="K3" s="3" t="s">
        <v>60</v>
      </c>
      <c r="L3" s="3" t="s">
        <v>42</v>
      </c>
      <c r="M3" s="3" t="s">
        <v>61</v>
      </c>
      <c r="N3" s="3" t="s">
        <v>62</v>
      </c>
      <c r="O3" s="4" t="s">
        <v>45</v>
      </c>
      <c r="P3" s="3" t="s">
        <v>63</v>
      </c>
      <c r="Q3" s="3" t="s">
        <v>64</v>
      </c>
      <c r="R3" s="3" t="s">
        <v>65</v>
      </c>
      <c r="S3" s="3" t="s">
        <v>49</v>
      </c>
      <c r="T3" s="4" t="s">
        <v>50</v>
      </c>
      <c r="U3" s="3"/>
      <c r="V3" s="3"/>
      <c r="W3" s="3"/>
      <c r="X3" s="3"/>
      <c r="Y3" s="3"/>
      <c r="Z3" s="3"/>
      <c r="AA3" s="3"/>
      <c r="AB3" s="3" t="s">
        <v>66</v>
      </c>
      <c r="AC3" s="3"/>
      <c r="AD3" s="3"/>
      <c r="AE3" s="4" t="s">
        <v>53</v>
      </c>
    </row>
    <row r="4" customFormat="false" ht="15" hidden="false" customHeight="true" outlineLevel="0" collapsed="false">
      <c r="A4" s="3" t="s">
        <v>67</v>
      </c>
      <c r="B4" s="3" t="s">
        <v>32</v>
      </c>
      <c r="C4" s="3" t="s">
        <v>68</v>
      </c>
      <c r="D4" s="3" t="s">
        <v>69</v>
      </c>
      <c r="E4" s="3" t="s">
        <v>70</v>
      </c>
      <c r="F4" s="4" t="s">
        <v>36</v>
      </c>
      <c r="G4" s="3" t="s">
        <v>71</v>
      </c>
      <c r="H4" s="3" t="s">
        <v>72</v>
      </c>
      <c r="I4" s="3" t="s">
        <v>73</v>
      </c>
      <c r="J4" s="3" t="s">
        <v>74</v>
      </c>
      <c r="K4" s="3" t="s">
        <v>75</v>
      </c>
      <c r="L4" s="3" t="s">
        <v>76</v>
      </c>
      <c r="M4" s="3"/>
      <c r="N4" s="3" t="s">
        <v>77</v>
      </c>
      <c r="O4" s="4" t="s">
        <v>78</v>
      </c>
      <c r="P4" s="3" t="s">
        <v>79</v>
      </c>
      <c r="Q4" s="3" t="s">
        <v>80</v>
      </c>
      <c r="R4" s="3" t="s">
        <v>81</v>
      </c>
      <c r="S4" s="3" t="s">
        <v>49</v>
      </c>
      <c r="T4" s="4" t="s">
        <v>82</v>
      </c>
      <c r="U4" s="3"/>
      <c r="V4" s="3"/>
      <c r="W4" s="3"/>
      <c r="X4" s="3"/>
      <c r="Y4" s="3"/>
      <c r="Z4" s="3"/>
      <c r="AA4" s="3"/>
      <c r="AB4" s="3" t="s">
        <v>83</v>
      </c>
      <c r="AC4" s="3"/>
      <c r="AD4" s="3"/>
      <c r="AE4" s="4" t="s">
        <v>53</v>
      </c>
    </row>
    <row r="5" customFormat="false" ht="15" hidden="false" customHeight="true" outlineLevel="0" collapsed="false">
      <c r="A5" s="3" t="s">
        <v>84</v>
      </c>
      <c r="B5" s="3" t="s">
        <v>32</v>
      </c>
      <c r="C5" s="3" t="s">
        <v>85</v>
      </c>
      <c r="D5" s="3" t="s">
        <v>69</v>
      </c>
      <c r="E5" s="3" t="s">
        <v>70</v>
      </c>
      <c r="F5" s="4" t="s">
        <v>86</v>
      </c>
      <c r="G5" s="3" t="s">
        <v>87</v>
      </c>
      <c r="H5" s="3" t="s">
        <v>88</v>
      </c>
      <c r="I5" s="3" t="s">
        <v>89</v>
      </c>
      <c r="J5" s="3" t="s">
        <v>90</v>
      </c>
      <c r="K5" s="3" t="s">
        <v>91</v>
      </c>
      <c r="L5" s="3" t="s">
        <v>76</v>
      </c>
      <c r="M5" s="3"/>
      <c r="N5" s="3" t="s">
        <v>92</v>
      </c>
      <c r="O5" s="4" t="s">
        <v>93</v>
      </c>
      <c r="P5" s="3" t="s">
        <v>94</v>
      </c>
      <c r="Q5" s="3" t="s">
        <v>95</v>
      </c>
      <c r="R5" s="3" t="s">
        <v>96</v>
      </c>
      <c r="S5" s="3" t="s">
        <v>49</v>
      </c>
      <c r="T5" s="4" t="s">
        <v>82</v>
      </c>
      <c r="U5" s="3"/>
      <c r="V5" s="3"/>
      <c r="W5" s="3"/>
      <c r="X5" s="3"/>
      <c r="Y5" s="3"/>
      <c r="Z5" s="3"/>
      <c r="AA5" s="3"/>
      <c r="AB5" s="3" t="s">
        <v>97</v>
      </c>
      <c r="AC5" s="3"/>
      <c r="AD5" s="3"/>
      <c r="AE5" s="4" t="s">
        <v>53</v>
      </c>
    </row>
    <row r="6" customFormat="false" ht="15" hidden="false" customHeight="true" outlineLevel="0" collapsed="false">
      <c r="A6" s="3" t="s">
        <v>98</v>
      </c>
      <c r="B6" s="3" t="s">
        <v>32</v>
      </c>
      <c r="C6" s="3" t="s">
        <v>99</v>
      </c>
      <c r="D6" s="3" t="s">
        <v>100</v>
      </c>
      <c r="E6" s="3" t="s">
        <v>70</v>
      </c>
      <c r="F6" s="4" t="s">
        <v>101</v>
      </c>
      <c r="G6" s="3" t="s">
        <v>102</v>
      </c>
      <c r="H6" s="3" t="s">
        <v>103</v>
      </c>
      <c r="I6" s="3" t="s">
        <v>104</v>
      </c>
      <c r="J6" s="3" t="s">
        <v>105</v>
      </c>
      <c r="K6" s="3" t="s">
        <v>106</v>
      </c>
      <c r="L6" s="3" t="s">
        <v>76</v>
      </c>
      <c r="M6" s="3"/>
      <c r="N6" s="3" t="s">
        <v>107</v>
      </c>
      <c r="O6" s="4" t="s">
        <v>108</v>
      </c>
      <c r="P6" s="3" t="s">
        <v>109</v>
      </c>
      <c r="Q6" s="3" t="s">
        <v>110</v>
      </c>
      <c r="R6" s="3" t="s">
        <v>111</v>
      </c>
      <c r="S6" s="3" t="s">
        <v>49</v>
      </c>
      <c r="T6" s="4" t="s">
        <v>82</v>
      </c>
      <c r="U6" s="3"/>
      <c r="V6" s="3"/>
      <c r="W6" s="3"/>
      <c r="X6" s="3"/>
      <c r="Y6" s="3"/>
      <c r="Z6" s="3"/>
      <c r="AA6" s="3"/>
      <c r="AB6" s="3" t="s">
        <v>112</v>
      </c>
      <c r="AC6" s="3"/>
      <c r="AD6" s="3"/>
      <c r="AE6" s="4" t="s">
        <v>53</v>
      </c>
    </row>
    <row r="7" customFormat="false" ht="15" hidden="false" customHeight="true" outlineLevel="0" collapsed="false">
      <c r="A7" s="3" t="s">
        <v>113</v>
      </c>
      <c r="B7" s="3" t="s">
        <v>32</v>
      </c>
      <c r="C7" s="3" t="s">
        <v>114</v>
      </c>
      <c r="D7" s="3" t="s">
        <v>100</v>
      </c>
      <c r="E7" s="3" t="s">
        <v>70</v>
      </c>
      <c r="F7" s="4" t="s">
        <v>36</v>
      </c>
      <c r="G7" s="3" t="s">
        <v>115</v>
      </c>
      <c r="H7" s="3" t="s">
        <v>116</v>
      </c>
      <c r="I7" s="3" t="s">
        <v>117</v>
      </c>
      <c r="J7" s="3" t="s">
        <v>118</v>
      </c>
      <c r="K7" s="3" t="s">
        <v>119</v>
      </c>
      <c r="L7" s="3" t="s">
        <v>76</v>
      </c>
      <c r="M7" s="3"/>
      <c r="N7" s="3" t="s">
        <v>120</v>
      </c>
      <c r="O7" s="4" t="s">
        <v>108</v>
      </c>
      <c r="P7" s="3" t="s">
        <v>109</v>
      </c>
      <c r="Q7" s="3" t="s">
        <v>110</v>
      </c>
      <c r="R7" s="3" t="s">
        <v>111</v>
      </c>
      <c r="S7" s="3" t="s">
        <v>49</v>
      </c>
      <c r="T7" s="4" t="s">
        <v>82</v>
      </c>
      <c r="U7" s="3"/>
      <c r="V7" s="3"/>
      <c r="W7" s="3"/>
      <c r="X7" s="3"/>
      <c r="Y7" s="3"/>
      <c r="Z7" s="3"/>
      <c r="AA7" s="3"/>
      <c r="AB7" s="3" t="s">
        <v>121</v>
      </c>
      <c r="AC7" s="3"/>
      <c r="AD7" s="3"/>
      <c r="AE7" s="4" t="s">
        <v>53</v>
      </c>
    </row>
    <row r="8" customFormat="false" ht="15" hidden="false" customHeight="true" outlineLevel="0" collapsed="false">
      <c r="A8" s="3" t="s">
        <v>122</v>
      </c>
      <c r="B8" s="3" t="s">
        <v>32</v>
      </c>
      <c r="C8" s="3" t="s">
        <v>123</v>
      </c>
      <c r="D8" s="3" t="s">
        <v>124</v>
      </c>
      <c r="E8" s="3" t="s">
        <v>125</v>
      </c>
      <c r="F8" s="4" t="s">
        <v>36</v>
      </c>
      <c r="G8" s="3" t="s">
        <v>126</v>
      </c>
      <c r="H8" s="3" t="s">
        <v>127</v>
      </c>
      <c r="I8" s="3" t="s">
        <v>128</v>
      </c>
      <c r="J8" s="3" t="s">
        <v>129</v>
      </c>
      <c r="K8" s="3" t="s">
        <v>130</v>
      </c>
      <c r="L8" s="3" t="s">
        <v>42</v>
      </c>
      <c r="M8" s="3"/>
      <c r="N8" s="3" t="s">
        <v>131</v>
      </c>
      <c r="O8" s="4" t="s">
        <v>132</v>
      </c>
      <c r="P8" s="3" t="s">
        <v>79</v>
      </c>
      <c r="Q8" s="3" t="s">
        <v>133</v>
      </c>
      <c r="R8" s="3" t="s">
        <v>134</v>
      </c>
      <c r="S8" s="3" t="s">
        <v>49</v>
      </c>
      <c r="T8" s="4" t="s">
        <v>82</v>
      </c>
      <c r="U8" s="3"/>
      <c r="V8" s="3"/>
      <c r="W8" s="3"/>
      <c r="X8" s="3"/>
      <c r="Y8" s="3"/>
      <c r="Z8" s="3"/>
      <c r="AA8" s="3"/>
      <c r="AB8" s="3" t="s">
        <v>135</v>
      </c>
      <c r="AC8" s="3"/>
      <c r="AD8" s="3"/>
      <c r="AE8" s="4" t="s">
        <v>53</v>
      </c>
    </row>
    <row r="9" customFormat="false" ht="15" hidden="false" customHeight="true" outlineLevel="0" collapsed="false">
      <c r="A9" s="3" t="s">
        <v>136</v>
      </c>
      <c r="B9" s="3" t="s">
        <v>32</v>
      </c>
      <c r="C9" s="3" t="s">
        <v>137</v>
      </c>
      <c r="D9" s="3" t="s">
        <v>69</v>
      </c>
      <c r="E9" s="3" t="s">
        <v>70</v>
      </c>
      <c r="F9" s="4" t="s">
        <v>36</v>
      </c>
      <c r="G9" s="3" t="s">
        <v>138</v>
      </c>
      <c r="H9" s="3" t="s">
        <v>139</v>
      </c>
      <c r="I9" s="3" t="s">
        <v>140</v>
      </c>
      <c r="J9" s="3" t="s">
        <v>141</v>
      </c>
      <c r="K9" s="3" t="s">
        <v>142</v>
      </c>
      <c r="L9" s="3" t="s">
        <v>76</v>
      </c>
      <c r="M9" s="3"/>
      <c r="N9" s="3" t="s">
        <v>143</v>
      </c>
      <c r="O9" s="4" t="s">
        <v>93</v>
      </c>
      <c r="P9" s="3" t="s">
        <v>79</v>
      </c>
      <c r="Q9" s="3" t="s">
        <v>144</v>
      </c>
      <c r="R9" s="3" t="s">
        <v>145</v>
      </c>
      <c r="S9" s="3" t="s">
        <v>49</v>
      </c>
      <c r="T9" s="4" t="s">
        <v>82</v>
      </c>
      <c r="U9" s="3"/>
      <c r="V9" s="3"/>
      <c r="W9" s="3"/>
      <c r="X9" s="3"/>
      <c r="Y9" s="3"/>
      <c r="Z9" s="3"/>
      <c r="AA9" s="3"/>
      <c r="AB9" s="3" t="s">
        <v>146</v>
      </c>
      <c r="AC9" s="3"/>
      <c r="AD9" s="3"/>
      <c r="AE9" s="4" t="s">
        <v>53</v>
      </c>
    </row>
    <row r="10" customFormat="false" ht="15" hidden="false" customHeight="true" outlineLevel="0" collapsed="false">
      <c r="A10" s="3" t="s">
        <v>147</v>
      </c>
      <c r="B10" s="3" t="s">
        <v>32</v>
      </c>
      <c r="C10" s="3" t="s">
        <v>148</v>
      </c>
      <c r="D10" s="3" t="s">
        <v>149</v>
      </c>
      <c r="E10" s="3" t="s">
        <v>70</v>
      </c>
      <c r="F10" s="4" t="s">
        <v>36</v>
      </c>
      <c r="G10" s="3" t="s">
        <v>150</v>
      </c>
      <c r="H10" s="3" t="s">
        <v>151</v>
      </c>
      <c r="I10" s="3" t="s">
        <v>152</v>
      </c>
      <c r="J10" s="3" t="s">
        <v>153</v>
      </c>
      <c r="K10" s="3" t="s">
        <v>154</v>
      </c>
      <c r="L10" s="3" t="s">
        <v>155</v>
      </c>
      <c r="M10" s="3"/>
      <c r="N10" s="3" t="s">
        <v>156</v>
      </c>
      <c r="O10" s="4" t="s">
        <v>93</v>
      </c>
      <c r="P10" s="3" t="s">
        <v>79</v>
      </c>
      <c r="Q10" s="3" t="s">
        <v>157</v>
      </c>
      <c r="R10" s="3" t="s">
        <v>158</v>
      </c>
      <c r="S10" s="3" t="s">
        <v>49</v>
      </c>
      <c r="T10" s="4" t="s">
        <v>82</v>
      </c>
      <c r="U10" s="3"/>
      <c r="V10" s="3"/>
      <c r="W10" s="3"/>
      <c r="X10" s="3"/>
      <c r="Y10" s="3"/>
      <c r="Z10" s="3"/>
      <c r="AA10" s="3"/>
      <c r="AB10" s="3" t="s">
        <v>159</v>
      </c>
      <c r="AC10" s="3"/>
      <c r="AD10" s="3"/>
      <c r="AE10" s="4" t="s">
        <v>53</v>
      </c>
    </row>
    <row r="11" customFormat="false" ht="15" hidden="false" customHeight="true" outlineLevel="0" collapsed="false">
      <c r="A11" s="3" t="s">
        <v>160</v>
      </c>
      <c r="B11" s="3" t="s">
        <v>32</v>
      </c>
      <c r="C11" s="3" t="s">
        <v>161</v>
      </c>
      <c r="D11" s="3" t="s">
        <v>162</v>
      </c>
      <c r="E11" s="3" t="s">
        <v>70</v>
      </c>
      <c r="F11" s="4" t="s">
        <v>36</v>
      </c>
      <c r="G11" s="3" t="s">
        <v>163</v>
      </c>
      <c r="H11" s="3" t="s">
        <v>164</v>
      </c>
      <c r="I11" s="3" t="s">
        <v>165</v>
      </c>
      <c r="J11" s="3" t="s">
        <v>166</v>
      </c>
      <c r="K11" s="3" t="s">
        <v>167</v>
      </c>
      <c r="L11" s="3" t="s">
        <v>76</v>
      </c>
      <c r="M11" s="3"/>
      <c r="N11" s="3" t="s">
        <v>168</v>
      </c>
      <c r="O11" s="4" t="s">
        <v>169</v>
      </c>
      <c r="P11" s="3" t="s">
        <v>170</v>
      </c>
      <c r="Q11" s="3" t="s">
        <v>171</v>
      </c>
      <c r="R11" s="3" t="s">
        <v>172</v>
      </c>
      <c r="S11" s="3" t="s">
        <v>49</v>
      </c>
      <c r="T11" s="4" t="s">
        <v>82</v>
      </c>
      <c r="U11" s="3"/>
      <c r="V11" s="3"/>
      <c r="W11" s="3"/>
      <c r="X11" s="3"/>
      <c r="Y11" s="3"/>
      <c r="Z11" s="3"/>
      <c r="AA11" s="3"/>
      <c r="AB11" s="3" t="s">
        <v>173</v>
      </c>
      <c r="AC11" s="3"/>
      <c r="AD11" s="3"/>
      <c r="AE11" s="4" t="s">
        <v>53</v>
      </c>
    </row>
    <row r="12" customFormat="false" ht="15" hidden="false" customHeight="true" outlineLevel="0" collapsed="false">
      <c r="A12" s="3" t="s">
        <v>174</v>
      </c>
      <c r="B12" s="3" t="s">
        <v>32</v>
      </c>
      <c r="C12" s="3" t="s">
        <v>175</v>
      </c>
      <c r="D12" s="3" t="s">
        <v>124</v>
      </c>
      <c r="E12" s="3" t="s">
        <v>125</v>
      </c>
      <c r="F12" s="4" t="s">
        <v>36</v>
      </c>
      <c r="G12" s="3" t="s">
        <v>176</v>
      </c>
      <c r="H12" s="3" t="s">
        <v>177</v>
      </c>
      <c r="I12" s="3" t="s">
        <v>178</v>
      </c>
      <c r="J12" s="3" t="s">
        <v>179</v>
      </c>
      <c r="K12" s="3" t="s">
        <v>180</v>
      </c>
      <c r="L12" s="3" t="s">
        <v>42</v>
      </c>
      <c r="M12" s="3"/>
      <c r="N12" s="3" t="s">
        <v>181</v>
      </c>
      <c r="O12" s="4" t="s">
        <v>169</v>
      </c>
      <c r="P12" s="3" t="s">
        <v>182</v>
      </c>
      <c r="Q12" s="3" t="s">
        <v>183</v>
      </c>
      <c r="R12" s="3" t="s">
        <v>184</v>
      </c>
      <c r="S12" s="3" t="s">
        <v>49</v>
      </c>
      <c r="T12" s="4" t="s">
        <v>82</v>
      </c>
      <c r="U12" s="3"/>
      <c r="V12" s="3"/>
      <c r="W12" s="3"/>
      <c r="X12" s="3"/>
      <c r="Y12" s="3"/>
      <c r="Z12" s="3"/>
      <c r="AA12" s="3"/>
      <c r="AB12" s="3" t="s">
        <v>185</v>
      </c>
      <c r="AC12" s="3"/>
      <c r="AD12" s="3"/>
      <c r="AE12" s="4" t="s">
        <v>53</v>
      </c>
    </row>
    <row r="13" customFormat="false" ht="15" hidden="false" customHeight="true" outlineLevel="0" collapsed="false">
      <c r="A13" s="3" t="s">
        <v>186</v>
      </c>
      <c r="B13" s="3" t="s">
        <v>32</v>
      </c>
      <c r="C13" s="3" t="s">
        <v>187</v>
      </c>
      <c r="D13" s="3" t="s">
        <v>188</v>
      </c>
      <c r="E13" s="3" t="s">
        <v>189</v>
      </c>
      <c r="F13" s="4" t="s">
        <v>36</v>
      </c>
      <c r="G13" s="3" t="s">
        <v>190</v>
      </c>
      <c r="H13" s="3" t="s">
        <v>191</v>
      </c>
      <c r="I13" s="3" t="s">
        <v>192</v>
      </c>
      <c r="J13" s="3" t="s">
        <v>193</v>
      </c>
      <c r="K13" s="3" t="s">
        <v>194</v>
      </c>
      <c r="L13" s="3" t="s">
        <v>195</v>
      </c>
      <c r="M13" s="3" t="s">
        <v>196</v>
      </c>
      <c r="N13" s="3" t="s">
        <v>197</v>
      </c>
      <c r="O13" s="4" t="s">
        <v>198</v>
      </c>
      <c r="P13" s="3" t="s">
        <v>199</v>
      </c>
      <c r="Q13" s="3" t="s">
        <v>200</v>
      </c>
      <c r="R13" s="3" t="s">
        <v>201</v>
      </c>
      <c r="S13" s="3" t="s">
        <v>49</v>
      </c>
      <c r="T13" s="4" t="s">
        <v>50</v>
      </c>
      <c r="U13" s="3"/>
      <c r="V13" s="3"/>
      <c r="W13" s="3"/>
      <c r="X13" s="3"/>
      <c r="Y13" s="3"/>
      <c r="Z13" s="3"/>
      <c r="AA13" s="3"/>
      <c r="AB13" s="3" t="s">
        <v>202</v>
      </c>
      <c r="AC13" s="3"/>
      <c r="AD13" s="3"/>
      <c r="AE13" s="4" t="s">
        <v>53</v>
      </c>
    </row>
    <row r="14" customFormat="false" ht="15" hidden="false" customHeight="true" outlineLevel="0" collapsed="false">
      <c r="A14" s="3" t="s">
        <v>203</v>
      </c>
      <c r="B14" s="3" t="s">
        <v>32</v>
      </c>
      <c r="C14" s="3" t="s">
        <v>204</v>
      </c>
      <c r="D14" s="3" t="s">
        <v>205</v>
      </c>
      <c r="E14" s="3" t="s">
        <v>189</v>
      </c>
      <c r="F14" s="4" t="s">
        <v>101</v>
      </c>
      <c r="G14" s="3" t="s">
        <v>206</v>
      </c>
      <c r="H14" s="3" t="s">
        <v>207</v>
      </c>
      <c r="I14" s="3" t="s">
        <v>208</v>
      </c>
      <c r="J14" s="3" t="s">
        <v>209</v>
      </c>
      <c r="K14" s="3" t="s">
        <v>210</v>
      </c>
      <c r="L14" s="3" t="s">
        <v>195</v>
      </c>
      <c r="M14" s="3"/>
      <c r="N14" s="3" t="s">
        <v>211</v>
      </c>
      <c r="O14" s="4" t="s">
        <v>212</v>
      </c>
      <c r="P14" s="3" t="s">
        <v>213</v>
      </c>
      <c r="Q14" s="3" t="s">
        <v>214</v>
      </c>
      <c r="R14" s="3" t="s">
        <v>215</v>
      </c>
      <c r="S14" s="3" t="s">
        <v>49</v>
      </c>
      <c r="T14" s="4" t="s">
        <v>50</v>
      </c>
      <c r="U14" s="3"/>
      <c r="V14" s="3"/>
      <c r="W14" s="3"/>
      <c r="X14" s="3"/>
      <c r="Y14" s="3"/>
      <c r="Z14" s="3"/>
      <c r="AA14" s="3"/>
      <c r="AB14" s="3" t="s">
        <v>216</v>
      </c>
      <c r="AC14" s="3"/>
      <c r="AD14" s="3"/>
      <c r="AE14" s="4" t="s">
        <v>53</v>
      </c>
    </row>
    <row r="15" customFormat="false" ht="15" hidden="false" customHeight="true" outlineLevel="0" collapsed="false">
      <c r="A15" s="3" t="s">
        <v>217</v>
      </c>
      <c r="B15" s="3" t="s">
        <v>32</v>
      </c>
      <c r="C15" s="3" t="s">
        <v>218</v>
      </c>
      <c r="D15" s="3" t="s">
        <v>219</v>
      </c>
      <c r="E15" s="3" t="s">
        <v>189</v>
      </c>
      <c r="F15" s="4" t="s">
        <v>36</v>
      </c>
      <c r="G15" s="3" t="s">
        <v>220</v>
      </c>
      <c r="H15" s="3" t="s">
        <v>221</v>
      </c>
      <c r="I15" s="3" t="s">
        <v>222</v>
      </c>
      <c r="J15" s="3" t="s">
        <v>223</v>
      </c>
      <c r="K15" s="3" t="s">
        <v>224</v>
      </c>
      <c r="L15" s="3" t="s">
        <v>195</v>
      </c>
      <c r="M15" s="3"/>
      <c r="N15" s="3" t="s">
        <v>225</v>
      </c>
      <c r="O15" s="4" t="s">
        <v>226</v>
      </c>
      <c r="P15" s="3" t="s">
        <v>227</v>
      </c>
      <c r="Q15" s="3" t="s">
        <v>228</v>
      </c>
      <c r="R15" s="3" t="s">
        <v>229</v>
      </c>
      <c r="S15" s="3" t="s">
        <v>49</v>
      </c>
      <c r="T15" s="4" t="s">
        <v>50</v>
      </c>
      <c r="U15" s="3"/>
      <c r="V15" s="3"/>
      <c r="W15" s="3"/>
      <c r="X15" s="3"/>
      <c r="Y15" s="3"/>
      <c r="Z15" s="3"/>
      <c r="AA15" s="3"/>
      <c r="AB15" s="3" t="s">
        <v>230</v>
      </c>
      <c r="AC15" s="3"/>
      <c r="AD15" s="3"/>
      <c r="AE15" s="4" t="s">
        <v>53</v>
      </c>
    </row>
    <row r="16" customFormat="false" ht="15" hidden="false" customHeight="true" outlineLevel="0" collapsed="false">
      <c r="A16" s="3" t="s">
        <v>231</v>
      </c>
      <c r="B16" s="3" t="s">
        <v>32</v>
      </c>
      <c r="C16" s="3" t="s">
        <v>232</v>
      </c>
      <c r="D16" s="3" t="s">
        <v>233</v>
      </c>
      <c r="E16" s="3" t="s">
        <v>70</v>
      </c>
      <c r="F16" s="4" t="s">
        <v>101</v>
      </c>
      <c r="G16" s="3" t="s">
        <v>234</v>
      </c>
      <c r="H16" s="3" t="s">
        <v>235</v>
      </c>
      <c r="I16" s="3" t="s">
        <v>236</v>
      </c>
      <c r="J16" s="3" t="s">
        <v>237</v>
      </c>
      <c r="K16" s="3" t="s">
        <v>238</v>
      </c>
      <c r="L16" s="3" t="s">
        <v>42</v>
      </c>
      <c r="M16" s="3"/>
      <c r="N16" s="3" t="s">
        <v>239</v>
      </c>
      <c r="O16" s="4" t="s">
        <v>240</v>
      </c>
      <c r="P16" s="3"/>
      <c r="Q16" s="3" t="s">
        <v>241</v>
      </c>
      <c r="R16" s="3" t="s">
        <v>242</v>
      </c>
      <c r="S16" s="3" t="s">
        <v>49</v>
      </c>
      <c r="T16" s="4" t="s">
        <v>82</v>
      </c>
      <c r="U16" s="3"/>
      <c r="V16" s="3"/>
      <c r="W16" s="3"/>
      <c r="X16" s="3"/>
      <c r="Y16" s="3"/>
      <c r="Z16" s="3"/>
      <c r="AA16" s="3"/>
      <c r="AB16" s="3" t="s">
        <v>243</v>
      </c>
      <c r="AC16" s="3"/>
      <c r="AD16" s="3"/>
      <c r="AE16" s="4" t="s">
        <v>53</v>
      </c>
    </row>
    <row r="17" customFormat="false" ht="15" hidden="false" customHeight="true" outlineLevel="0" collapsed="false">
      <c r="A17" s="3" t="s">
        <v>244</v>
      </c>
      <c r="B17" s="3" t="s">
        <v>32</v>
      </c>
      <c r="C17" s="3" t="s">
        <v>245</v>
      </c>
      <c r="D17" s="3" t="s">
        <v>69</v>
      </c>
      <c r="E17" s="3" t="s">
        <v>70</v>
      </c>
      <c r="F17" s="4" t="s">
        <v>36</v>
      </c>
      <c r="G17" s="3" t="s">
        <v>246</v>
      </c>
      <c r="H17" s="3" t="s">
        <v>247</v>
      </c>
      <c r="I17" s="3" t="s">
        <v>248</v>
      </c>
      <c r="J17" s="3" t="s">
        <v>249</v>
      </c>
      <c r="K17" s="3" t="s">
        <v>250</v>
      </c>
      <c r="L17" s="3" t="s">
        <v>76</v>
      </c>
      <c r="M17" s="3"/>
      <c r="N17" s="3" t="s">
        <v>251</v>
      </c>
      <c r="O17" s="4" t="s">
        <v>93</v>
      </c>
      <c r="P17" s="3" t="s">
        <v>79</v>
      </c>
      <c r="Q17" s="3" t="s">
        <v>252</v>
      </c>
      <c r="R17" s="3" t="s">
        <v>253</v>
      </c>
      <c r="S17" s="3" t="s">
        <v>49</v>
      </c>
      <c r="T17" s="4" t="s">
        <v>82</v>
      </c>
      <c r="U17" s="3"/>
      <c r="V17" s="3"/>
      <c r="W17" s="3"/>
      <c r="X17" s="3"/>
      <c r="Y17" s="3"/>
      <c r="Z17" s="3"/>
      <c r="AA17" s="3"/>
      <c r="AB17" s="3" t="s">
        <v>254</v>
      </c>
      <c r="AC17" s="3"/>
      <c r="AD17" s="3"/>
      <c r="AE17" s="4" t="s">
        <v>53</v>
      </c>
    </row>
    <row r="18" customFormat="false" ht="15" hidden="false" customHeight="true" outlineLevel="0" collapsed="false">
      <c r="A18" s="3" t="s">
        <v>255</v>
      </c>
      <c r="B18" s="3" t="s">
        <v>32</v>
      </c>
      <c r="C18" s="3" t="s">
        <v>256</v>
      </c>
      <c r="D18" s="3" t="s">
        <v>257</v>
      </c>
      <c r="E18" s="3" t="s">
        <v>258</v>
      </c>
      <c r="F18" s="4" t="s">
        <v>259</v>
      </c>
      <c r="G18" s="3" t="s">
        <v>260</v>
      </c>
      <c r="H18" s="3" t="s">
        <v>261</v>
      </c>
      <c r="I18" s="3" t="s">
        <v>262</v>
      </c>
      <c r="J18" s="3" t="s">
        <v>263</v>
      </c>
      <c r="K18" s="3" t="s">
        <v>264</v>
      </c>
      <c r="L18" s="3" t="s">
        <v>42</v>
      </c>
      <c r="M18" s="3"/>
      <c r="N18" s="3" t="s">
        <v>265</v>
      </c>
      <c r="O18" s="4" t="s">
        <v>266</v>
      </c>
      <c r="P18" s="3" t="s">
        <v>267</v>
      </c>
      <c r="Q18" s="3" t="s">
        <v>268</v>
      </c>
      <c r="R18" s="3" t="s">
        <v>269</v>
      </c>
      <c r="S18" s="3" t="s">
        <v>49</v>
      </c>
      <c r="T18" s="4" t="s">
        <v>82</v>
      </c>
      <c r="U18" s="3"/>
      <c r="V18" s="3"/>
      <c r="W18" s="3"/>
      <c r="X18" s="3"/>
      <c r="Y18" s="3"/>
      <c r="Z18" s="3"/>
      <c r="AA18" s="3"/>
      <c r="AB18" s="3" t="s">
        <v>270</v>
      </c>
      <c r="AC18" s="3"/>
      <c r="AD18" s="3"/>
      <c r="AE18" s="4" t="s">
        <v>53</v>
      </c>
    </row>
    <row r="19" customFormat="false" ht="15" hidden="false" customHeight="true" outlineLevel="0" collapsed="false">
      <c r="A19" s="3" t="s">
        <v>271</v>
      </c>
      <c r="B19" s="3" t="s">
        <v>32</v>
      </c>
      <c r="C19" s="3" t="s">
        <v>272</v>
      </c>
      <c r="D19" s="3" t="s">
        <v>273</v>
      </c>
      <c r="E19" s="3" t="s">
        <v>274</v>
      </c>
      <c r="F19" s="4" t="s">
        <v>101</v>
      </c>
      <c r="G19" s="3" t="s">
        <v>275</v>
      </c>
      <c r="H19" s="3" t="s">
        <v>276</v>
      </c>
      <c r="I19" s="3" t="s">
        <v>277</v>
      </c>
      <c r="J19" s="3" t="s">
        <v>278</v>
      </c>
      <c r="K19" s="3" t="s">
        <v>279</v>
      </c>
      <c r="L19" s="3" t="s">
        <v>280</v>
      </c>
      <c r="M19" s="3"/>
      <c r="N19" s="3" t="s">
        <v>281</v>
      </c>
      <c r="O19" s="4" t="s">
        <v>282</v>
      </c>
      <c r="P19" s="3" t="s">
        <v>283</v>
      </c>
      <c r="Q19" s="3" t="s">
        <v>284</v>
      </c>
      <c r="R19" s="3" t="s">
        <v>285</v>
      </c>
      <c r="S19" s="3" t="s">
        <v>286</v>
      </c>
      <c r="T19" s="4" t="s">
        <v>287</v>
      </c>
      <c r="U19" s="3"/>
      <c r="V19" s="3"/>
      <c r="W19" s="3"/>
      <c r="X19" s="3"/>
      <c r="Y19" s="3"/>
      <c r="Z19" s="3"/>
      <c r="AA19" s="3"/>
      <c r="AB19" s="3" t="s">
        <v>288</v>
      </c>
      <c r="AC19" s="3"/>
      <c r="AD19" s="3"/>
      <c r="AE19" s="4" t="s">
        <v>53</v>
      </c>
    </row>
    <row r="20" customFormat="false" ht="15" hidden="false" customHeight="true" outlineLevel="0" collapsed="false">
      <c r="A20" s="3" t="s">
        <v>289</v>
      </c>
      <c r="B20" s="3" t="s">
        <v>32</v>
      </c>
      <c r="C20" s="3" t="s">
        <v>290</v>
      </c>
      <c r="D20" s="3" t="s">
        <v>273</v>
      </c>
      <c r="E20" s="3" t="s">
        <v>274</v>
      </c>
      <c r="F20" s="4" t="s">
        <v>259</v>
      </c>
      <c r="G20" s="3" t="s">
        <v>291</v>
      </c>
      <c r="H20" s="3" t="s">
        <v>292</v>
      </c>
      <c r="I20" s="3" t="s">
        <v>293</v>
      </c>
      <c r="J20" s="3" t="s">
        <v>294</v>
      </c>
      <c r="K20" s="3" t="s">
        <v>295</v>
      </c>
      <c r="L20" s="3" t="s">
        <v>280</v>
      </c>
      <c r="M20" s="3"/>
      <c r="N20" s="3" t="s">
        <v>296</v>
      </c>
      <c r="O20" s="4" t="s">
        <v>240</v>
      </c>
      <c r="P20" s="3"/>
      <c r="Q20" s="3" t="s">
        <v>297</v>
      </c>
      <c r="R20" s="3" t="s">
        <v>285</v>
      </c>
      <c r="S20" s="3" t="s">
        <v>286</v>
      </c>
      <c r="T20" s="4" t="s">
        <v>287</v>
      </c>
      <c r="U20" s="3"/>
      <c r="V20" s="3"/>
      <c r="W20" s="3"/>
      <c r="X20" s="3"/>
      <c r="Y20" s="3"/>
      <c r="Z20" s="3"/>
      <c r="AA20" s="3"/>
      <c r="AB20" s="3" t="s">
        <v>298</v>
      </c>
      <c r="AC20" s="3"/>
      <c r="AD20" s="3"/>
      <c r="AE20" s="4" t="s">
        <v>53</v>
      </c>
    </row>
    <row r="21" customFormat="false" ht="15" hidden="false" customHeight="true" outlineLevel="0" collapsed="false">
      <c r="A21" s="3" t="s">
        <v>299</v>
      </c>
      <c r="B21" s="3" t="s">
        <v>32</v>
      </c>
      <c r="C21" s="3" t="s">
        <v>300</v>
      </c>
      <c r="D21" s="3" t="s">
        <v>301</v>
      </c>
      <c r="E21" s="3" t="s">
        <v>189</v>
      </c>
      <c r="F21" s="4" t="s">
        <v>101</v>
      </c>
      <c r="G21" s="3" t="s">
        <v>302</v>
      </c>
      <c r="H21" s="3" t="s">
        <v>303</v>
      </c>
      <c r="I21" s="3" t="s">
        <v>304</v>
      </c>
      <c r="J21" s="3" t="s">
        <v>305</v>
      </c>
      <c r="K21" s="3" t="s">
        <v>306</v>
      </c>
      <c r="L21" s="3" t="s">
        <v>307</v>
      </c>
      <c r="M21" s="3"/>
      <c r="N21" s="3" t="s">
        <v>308</v>
      </c>
      <c r="O21" s="4" t="s">
        <v>309</v>
      </c>
      <c r="P21" s="3" t="s">
        <v>310</v>
      </c>
      <c r="Q21" s="3" t="s">
        <v>311</v>
      </c>
      <c r="R21" s="3" t="s">
        <v>285</v>
      </c>
      <c r="S21" s="3" t="s">
        <v>286</v>
      </c>
      <c r="T21" s="4" t="s">
        <v>287</v>
      </c>
      <c r="U21" s="3"/>
      <c r="V21" s="3"/>
      <c r="W21" s="3"/>
      <c r="X21" s="3"/>
      <c r="Y21" s="3"/>
      <c r="Z21" s="3"/>
      <c r="AA21" s="3"/>
      <c r="AB21" s="3" t="s">
        <v>312</v>
      </c>
      <c r="AC21" s="3"/>
      <c r="AD21" s="3"/>
      <c r="AE21" s="4" t="s">
        <v>53</v>
      </c>
    </row>
    <row r="22" customFormat="false" ht="15" hidden="false" customHeight="true" outlineLevel="0" collapsed="false">
      <c r="A22" s="3" t="s">
        <v>313</v>
      </c>
      <c r="B22" s="3" t="s">
        <v>32</v>
      </c>
      <c r="C22" s="3" t="s">
        <v>314</v>
      </c>
      <c r="D22" s="3" t="s">
        <v>315</v>
      </c>
      <c r="E22" s="3" t="s">
        <v>316</v>
      </c>
      <c r="F22" s="4" t="s">
        <v>101</v>
      </c>
      <c r="G22" s="3" t="s">
        <v>317</v>
      </c>
      <c r="H22" s="3" t="s">
        <v>318</v>
      </c>
      <c r="I22" s="3" t="s">
        <v>319</v>
      </c>
      <c r="J22" s="3" t="s">
        <v>320</v>
      </c>
      <c r="K22" s="3" t="s">
        <v>321</v>
      </c>
      <c r="L22" s="3" t="s">
        <v>307</v>
      </c>
      <c r="M22" s="3"/>
      <c r="N22" s="3" t="s">
        <v>322</v>
      </c>
      <c r="O22" s="4" t="s">
        <v>323</v>
      </c>
      <c r="P22" s="3" t="s">
        <v>324</v>
      </c>
      <c r="Q22" s="3" t="s">
        <v>325</v>
      </c>
      <c r="R22" s="3" t="s">
        <v>285</v>
      </c>
      <c r="S22" s="3" t="s">
        <v>286</v>
      </c>
      <c r="T22" s="4" t="s">
        <v>326</v>
      </c>
      <c r="U22" s="3"/>
      <c r="V22" s="3"/>
      <c r="W22" s="3"/>
      <c r="X22" s="3"/>
      <c r="Y22" s="3"/>
      <c r="Z22" s="3"/>
      <c r="AA22" s="3"/>
      <c r="AB22" s="3" t="s">
        <v>327</v>
      </c>
      <c r="AC22" s="3"/>
      <c r="AD22" s="3"/>
      <c r="AE22" s="4" t="s">
        <v>53</v>
      </c>
    </row>
    <row r="23" customFormat="false" ht="15" hidden="false" customHeight="true" outlineLevel="0" collapsed="false">
      <c r="A23" s="3" t="s">
        <v>328</v>
      </c>
      <c r="B23" s="3" t="s">
        <v>32</v>
      </c>
      <c r="C23" s="3" t="s">
        <v>329</v>
      </c>
      <c r="D23" s="3" t="s">
        <v>330</v>
      </c>
      <c r="E23" s="3" t="s">
        <v>70</v>
      </c>
      <c r="F23" s="4" t="s">
        <v>101</v>
      </c>
      <c r="G23" s="3" t="s">
        <v>331</v>
      </c>
      <c r="H23" s="3" t="s">
        <v>332</v>
      </c>
      <c r="I23" s="3" t="s">
        <v>333</v>
      </c>
      <c r="J23" s="3" t="s">
        <v>334</v>
      </c>
      <c r="K23" s="3" t="s">
        <v>335</v>
      </c>
      <c r="L23" s="3" t="s">
        <v>336</v>
      </c>
      <c r="M23" s="3"/>
      <c r="N23" s="3" t="s">
        <v>337</v>
      </c>
      <c r="O23" s="4" t="s">
        <v>266</v>
      </c>
      <c r="P23" s="3"/>
      <c r="Q23" s="3" t="s">
        <v>338</v>
      </c>
      <c r="R23" s="3" t="s">
        <v>285</v>
      </c>
      <c r="S23" s="3" t="s">
        <v>49</v>
      </c>
      <c r="T23" s="4" t="s">
        <v>82</v>
      </c>
      <c r="U23" s="3"/>
      <c r="V23" s="3"/>
      <c r="W23" s="3"/>
      <c r="X23" s="3"/>
      <c r="Y23" s="3"/>
      <c r="Z23" s="3"/>
      <c r="AA23" s="3"/>
      <c r="AB23" s="3" t="s">
        <v>339</v>
      </c>
      <c r="AC23" s="3"/>
      <c r="AD23" s="3"/>
      <c r="AE23" s="4" t="s">
        <v>53</v>
      </c>
    </row>
    <row r="24" customFormat="false" ht="15" hidden="false" customHeight="true" outlineLevel="0" collapsed="false">
      <c r="A24" s="3" t="s">
        <v>340</v>
      </c>
      <c r="B24" s="3" t="s">
        <v>32</v>
      </c>
      <c r="C24" s="3" t="s">
        <v>341</v>
      </c>
      <c r="D24" s="3" t="s">
        <v>342</v>
      </c>
      <c r="E24" s="3" t="s">
        <v>258</v>
      </c>
      <c r="F24" s="4" t="s">
        <v>36</v>
      </c>
      <c r="G24" s="3" t="s">
        <v>343</v>
      </c>
      <c r="H24" s="3" t="s">
        <v>344</v>
      </c>
      <c r="I24" s="3" t="s">
        <v>345</v>
      </c>
      <c r="J24" s="3" t="s">
        <v>346</v>
      </c>
      <c r="K24" s="3" t="s">
        <v>347</v>
      </c>
      <c r="L24" s="3" t="s">
        <v>348</v>
      </c>
      <c r="M24" s="3"/>
      <c r="N24" s="3" t="s">
        <v>349</v>
      </c>
      <c r="O24" s="4" t="s">
        <v>350</v>
      </c>
      <c r="P24" s="3" t="s">
        <v>79</v>
      </c>
      <c r="Q24" s="3" t="s">
        <v>351</v>
      </c>
      <c r="R24" s="3" t="s">
        <v>285</v>
      </c>
      <c r="S24" s="3" t="s">
        <v>286</v>
      </c>
      <c r="T24" s="4" t="s">
        <v>82</v>
      </c>
      <c r="U24" s="3"/>
      <c r="V24" s="3"/>
      <c r="W24" s="3"/>
      <c r="X24" s="3"/>
      <c r="Y24" s="3"/>
      <c r="Z24" s="3"/>
      <c r="AA24" s="3"/>
      <c r="AB24" s="3" t="s">
        <v>352</v>
      </c>
      <c r="AC24" s="3"/>
      <c r="AD24" s="3"/>
      <c r="AE24" s="4" t="s">
        <v>53</v>
      </c>
    </row>
    <row r="25" customFormat="false" ht="15" hidden="false" customHeight="true" outlineLevel="0" collapsed="false">
      <c r="A25" s="3" t="s">
        <v>353</v>
      </c>
      <c r="B25" s="3" t="s">
        <v>32</v>
      </c>
      <c r="C25" s="3" t="s">
        <v>354</v>
      </c>
      <c r="D25" s="3" t="s">
        <v>355</v>
      </c>
      <c r="E25" s="3" t="s">
        <v>274</v>
      </c>
      <c r="F25" s="4" t="s">
        <v>259</v>
      </c>
      <c r="G25" s="3" t="s">
        <v>356</v>
      </c>
      <c r="H25" s="3" t="s">
        <v>357</v>
      </c>
      <c r="I25" s="3" t="s">
        <v>358</v>
      </c>
      <c r="J25" s="3" t="s">
        <v>359</v>
      </c>
      <c r="K25" s="3" t="s">
        <v>360</v>
      </c>
      <c r="L25" s="3" t="s">
        <v>361</v>
      </c>
      <c r="M25" s="3"/>
      <c r="N25" s="3" t="s">
        <v>362</v>
      </c>
      <c r="O25" s="4" t="s">
        <v>363</v>
      </c>
      <c r="P25" s="3"/>
      <c r="Q25" s="3" t="s">
        <v>364</v>
      </c>
      <c r="R25" s="3" t="s">
        <v>285</v>
      </c>
      <c r="S25" s="3" t="s">
        <v>49</v>
      </c>
      <c r="T25" s="4" t="s">
        <v>82</v>
      </c>
      <c r="U25" s="3"/>
      <c r="V25" s="3"/>
      <c r="W25" s="3"/>
      <c r="X25" s="3"/>
      <c r="Y25" s="3"/>
      <c r="Z25" s="3"/>
      <c r="AA25" s="3"/>
      <c r="AB25" s="3" t="s">
        <v>365</v>
      </c>
      <c r="AC25" s="3"/>
      <c r="AD25" s="3"/>
      <c r="AE25" s="4" t="s">
        <v>53</v>
      </c>
    </row>
    <row r="26" customFormat="false" ht="15" hidden="false" customHeight="true" outlineLevel="0" collapsed="false">
      <c r="A26" s="3" t="s">
        <v>366</v>
      </c>
      <c r="B26" s="3" t="s">
        <v>32</v>
      </c>
      <c r="C26" s="3" t="s">
        <v>367</v>
      </c>
      <c r="D26" s="3" t="s">
        <v>69</v>
      </c>
      <c r="E26" s="3" t="s">
        <v>70</v>
      </c>
      <c r="F26" s="4" t="s">
        <v>36</v>
      </c>
      <c r="G26" s="3" t="s">
        <v>368</v>
      </c>
      <c r="H26" s="3" t="s">
        <v>369</v>
      </c>
      <c r="I26" s="3" t="s">
        <v>370</v>
      </c>
      <c r="J26" s="3" t="s">
        <v>371</v>
      </c>
      <c r="K26" s="3" t="s">
        <v>372</v>
      </c>
      <c r="L26" s="3" t="s">
        <v>336</v>
      </c>
      <c r="M26" s="3"/>
      <c r="N26" s="3" t="s">
        <v>373</v>
      </c>
      <c r="O26" s="4" t="s">
        <v>374</v>
      </c>
      <c r="P26" s="3" t="s">
        <v>79</v>
      </c>
      <c r="Q26" s="3" t="s">
        <v>375</v>
      </c>
      <c r="R26" s="3" t="s">
        <v>376</v>
      </c>
      <c r="S26" s="3" t="s">
        <v>49</v>
      </c>
      <c r="T26" s="4" t="s">
        <v>82</v>
      </c>
      <c r="U26" s="3"/>
      <c r="V26" s="3"/>
      <c r="W26" s="3"/>
      <c r="X26" s="3"/>
      <c r="Y26" s="3"/>
      <c r="Z26" s="3"/>
      <c r="AA26" s="3"/>
      <c r="AB26" s="3"/>
      <c r="AC26" s="3"/>
      <c r="AD26" s="3" t="s">
        <v>377</v>
      </c>
      <c r="AE26" s="4" t="s">
        <v>53</v>
      </c>
    </row>
    <row r="27" customFormat="false" ht="15" hidden="false" customHeight="true" outlineLevel="0" collapsed="false">
      <c r="A27" s="3" t="s">
        <v>378</v>
      </c>
      <c r="B27" s="3" t="s">
        <v>32</v>
      </c>
      <c r="C27" s="3" t="s">
        <v>379</v>
      </c>
      <c r="D27" s="3" t="s">
        <v>273</v>
      </c>
      <c r="E27" s="3" t="s">
        <v>316</v>
      </c>
      <c r="F27" s="4" t="s">
        <v>101</v>
      </c>
      <c r="G27" s="3" t="s">
        <v>380</v>
      </c>
      <c r="H27" s="3" t="s">
        <v>381</v>
      </c>
      <c r="I27" s="3" t="s">
        <v>382</v>
      </c>
      <c r="J27" s="3" t="s">
        <v>383</v>
      </c>
      <c r="K27" s="3" t="s">
        <v>384</v>
      </c>
      <c r="L27" s="3" t="s">
        <v>42</v>
      </c>
      <c r="M27" s="3" t="s">
        <v>385</v>
      </c>
      <c r="N27" s="3" t="s">
        <v>386</v>
      </c>
      <c r="O27" s="4" t="s">
        <v>240</v>
      </c>
      <c r="P27" s="3"/>
      <c r="Q27" s="3" t="s">
        <v>387</v>
      </c>
      <c r="R27" s="3" t="s">
        <v>388</v>
      </c>
      <c r="S27" s="3" t="s">
        <v>49</v>
      </c>
      <c r="T27" s="4" t="s">
        <v>82</v>
      </c>
      <c r="U27" s="3"/>
      <c r="V27" s="3"/>
      <c r="W27" s="3"/>
      <c r="X27" s="3"/>
      <c r="Y27" s="3"/>
      <c r="Z27" s="3"/>
      <c r="AA27" s="3"/>
      <c r="AB27" s="3"/>
      <c r="AC27" s="3"/>
      <c r="AD27" s="3" t="s">
        <v>389</v>
      </c>
      <c r="AE27" s="4" t="s">
        <v>53</v>
      </c>
    </row>
    <row r="28" customFormat="false" ht="15" hidden="false" customHeight="true" outlineLevel="0" collapsed="false">
      <c r="A28" s="3" t="s">
        <v>390</v>
      </c>
      <c r="B28" s="3" t="s">
        <v>32</v>
      </c>
      <c r="C28" s="3" t="s">
        <v>391</v>
      </c>
      <c r="D28" s="3" t="s">
        <v>233</v>
      </c>
      <c r="E28" s="3" t="s">
        <v>70</v>
      </c>
      <c r="F28" s="4" t="s">
        <v>259</v>
      </c>
      <c r="G28" s="3" t="s">
        <v>392</v>
      </c>
      <c r="H28" s="3" t="s">
        <v>393</v>
      </c>
      <c r="I28" s="3" t="s">
        <v>394</v>
      </c>
      <c r="J28" s="3" t="s">
        <v>395</v>
      </c>
      <c r="K28" s="3" t="s">
        <v>396</v>
      </c>
      <c r="L28" s="3" t="s">
        <v>280</v>
      </c>
      <c r="M28" s="3"/>
      <c r="N28" s="3" t="s">
        <v>397</v>
      </c>
      <c r="O28" s="4" t="s">
        <v>240</v>
      </c>
      <c r="P28" s="3"/>
      <c r="Q28" s="3" t="s">
        <v>398</v>
      </c>
      <c r="R28" s="3" t="s">
        <v>399</v>
      </c>
      <c r="S28" s="3" t="s">
        <v>49</v>
      </c>
      <c r="T28" s="4" t="s">
        <v>82</v>
      </c>
      <c r="U28" s="3"/>
      <c r="V28" s="3"/>
      <c r="W28" s="3"/>
      <c r="X28" s="3"/>
      <c r="Y28" s="3"/>
      <c r="Z28" s="3"/>
      <c r="AA28" s="3"/>
      <c r="AB28" s="3" t="s">
        <v>289</v>
      </c>
      <c r="AC28" s="3"/>
      <c r="AD28" s="3" t="s">
        <v>400</v>
      </c>
      <c r="AE28" s="4" t="s">
        <v>53</v>
      </c>
    </row>
    <row r="29" customFormat="false" ht="15" hidden="false" customHeight="true" outlineLevel="0" collapsed="false">
      <c r="A29" s="3" t="s">
        <v>401</v>
      </c>
      <c r="B29" s="3" t="s">
        <v>32</v>
      </c>
      <c r="C29" s="3" t="s">
        <v>402</v>
      </c>
      <c r="D29" s="3" t="s">
        <v>273</v>
      </c>
      <c r="E29" s="3" t="s">
        <v>258</v>
      </c>
      <c r="F29" s="4" t="s">
        <v>101</v>
      </c>
      <c r="G29" s="3" t="s">
        <v>403</v>
      </c>
      <c r="H29" s="3" t="s">
        <v>404</v>
      </c>
      <c r="I29" s="3" t="s">
        <v>405</v>
      </c>
      <c r="J29" s="3" t="s">
        <v>406</v>
      </c>
      <c r="K29" s="3" t="s">
        <v>407</v>
      </c>
      <c r="L29" s="3" t="s">
        <v>280</v>
      </c>
      <c r="M29" s="3"/>
      <c r="N29" s="3" t="s">
        <v>408</v>
      </c>
      <c r="O29" s="4" t="s">
        <v>282</v>
      </c>
      <c r="P29" s="3" t="s">
        <v>409</v>
      </c>
      <c r="Q29" s="3" t="s">
        <v>410</v>
      </c>
      <c r="R29" s="3" t="s">
        <v>411</v>
      </c>
      <c r="S29" s="3" t="s">
        <v>286</v>
      </c>
      <c r="T29" s="4" t="s">
        <v>412</v>
      </c>
      <c r="U29" s="3"/>
      <c r="V29" s="3"/>
      <c r="W29" s="3"/>
      <c r="X29" s="3"/>
      <c r="Y29" s="3"/>
      <c r="Z29" s="3"/>
      <c r="AA29" s="3"/>
      <c r="AB29" s="3" t="s">
        <v>413</v>
      </c>
      <c r="AC29" s="3"/>
      <c r="AD29" s="3" t="s">
        <v>414</v>
      </c>
      <c r="AE29" s="4" t="s">
        <v>53</v>
      </c>
    </row>
    <row r="30" customFormat="false" ht="15" hidden="false" customHeight="true" outlineLevel="0" collapsed="false">
      <c r="A30" s="3" t="s">
        <v>415</v>
      </c>
      <c r="B30" s="3" t="s">
        <v>32</v>
      </c>
      <c r="C30" s="3" t="s">
        <v>416</v>
      </c>
      <c r="D30" s="3" t="s">
        <v>69</v>
      </c>
      <c r="E30" s="3" t="s">
        <v>189</v>
      </c>
      <c r="F30" s="4" t="s">
        <v>101</v>
      </c>
      <c r="G30" s="3" t="s">
        <v>417</v>
      </c>
      <c r="H30" s="3" t="s">
        <v>418</v>
      </c>
      <c r="I30" s="3" t="s">
        <v>419</v>
      </c>
      <c r="J30" s="3" t="s">
        <v>420</v>
      </c>
      <c r="K30" s="3" t="s">
        <v>421</v>
      </c>
      <c r="L30" s="3" t="s">
        <v>76</v>
      </c>
      <c r="M30" s="3"/>
      <c r="N30" s="3" t="s">
        <v>422</v>
      </c>
      <c r="O30" s="4" t="s">
        <v>423</v>
      </c>
      <c r="P30" s="3" t="s">
        <v>267</v>
      </c>
      <c r="Q30" s="3" t="s">
        <v>424</v>
      </c>
      <c r="R30" s="3" t="s">
        <v>285</v>
      </c>
      <c r="S30" s="3" t="s">
        <v>49</v>
      </c>
      <c r="T30" s="4" t="s">
        <v>82</v>
      </c>
      <c r="U30" s="3"/>
      <c r="V30" s="3"/>
      <c r="W30" s="3"/>
      <c r="X30" s="3"/>
      <c r="Y30" s="3"/>
      <c r="Z30" s="3"/>
      <c r="AA30" s="3"/>
      <c r="AB30" s="3" t="s">
        <v>425</v>
      </c>
      <c r="AC30" s="3"/>
      <c r="AD30" s="3" t="s">
        <v>426</v>
      </c>
      <c r="AE30" s="4" t="s">
        <v>53</v>
      </c>
    </row>
    <row r="31" customFormat="false" ht="15" hidden="false" customHeight="true" outlineLevel="0" collapsed="false">
      <c r="A31" s="3" t="s">
        <v>270</v>
      </c>
      <c r="B31" s="3" t="s">
        <v>32</v>
      </c>
      <c r="C31" s="3" t="s">
        <v>427</v>
      </c>
      <c r="D31" s="3" t="s">
        <v>188</v>
      </c>
      <c r="E31" s="3" t="s">
        <v>189</v>
      </c>
      <c r="F31" s="4" t="s">
        <v>36</v>
      </c>
      <c r="G31" s="3" t="s">
        <v>428</v>
      </c>
      <c r="H31" s="3" t="s">
        <v>429</v>
      </c>
      <c r="I31" s="3" t="s">
        <v>430</v>
      </c>
      <c r="J31" s="3" t="s">
        <v>431</v>
      </c>
      <c r="K31" s="3" t="s">
        <v>432</v>
      </c>
      <c r="L31" s="3" t="s">
        <v>195</v>
      </c>
      <c r="M31" s="3" t="s">
        <v>196</v>
      </c>
      <c r="N31" s="3" t="s">
        <v>433</v>
      </c>
      <c r="O31" s="4" t="s">
        <v>434</v>
      </c>
      <c r="P31" s="3" t="s">
        <v>435</v>
      </c>
      <c r="Q31" s="3" t="s">
        <v>436</v>
      </c>
      <c r="R31" s="3" t="s">
        <v>437</v>
      </c>
      <c r="S31" s="3" t="s">
        <v>49</v>
      </c>
      <c r="T31" s="4" t="s">
        <v>50</v>
      </c>
      <c r="U31" s="3"/>
      <c r="V31" s="3"/>
      <c r="W31" s="3"/>
      <c r="X31" s="3"/>
      <c r="Y31" s="3"/>
      <c r="Z31" s="3"/>
      <c r="AA31" s="3"/>
      <c r="AB31" s="3" t="s">
        <v>438</v>
      </c>
      <c r="AC31" s="3"/>
      <c r="AD31" s="3" t="s">
        <v>439</v>
      </c>
      <c r="AE31" s="4" t="s">
        <v>53</v>
      </c>
    </row>
    <row r="32" customFormat="false" ht="15" hidden="false" customHeight="true" outlineLevel="0" collapsed="false">
      <c r="A32" s="3" t="s">
        <v>146</v>
      </c>
      <c r="B32" s="3" t="s">
        <v>32</v>
      </c>
      <c r="C32" s="3" t="s">
        <v>440</v>
      </c>
      <c r="D32" s="3" t="s">
        <v>188</v>
      </c>
      <c r="E32" s="3" t="s">
        <v>189</v>
      </c>
      <c r="F32" s="4" t="s">
        <v>36</v>
      </c>
      <c r="G32" s="3" t="s">
        <v>441</v>
      </c>
      <c r="H32" s="3" t="s">
        <v>442</v>
      </c>
      <c r="I32" s="3" t="s">
        <v>443</v>
      </c>
      <c r="J32" s="3" t="s">
        <v>444</v>
      </c>
      <c r="K32" s="3" t="s">
        <v>445</v>
      </c>
      <c r="L32" s="3" t="s">
        <v>195</v>
      </c>
      <c r="M32" s="3"/>
      <c r="N32" s="3" t="s">
        <v>446</v>
      </c>
      <c r="O32" s="4" t="s">
        <v>447</v>
      </c>
      <c r="P32" s="3" t="s">
        <v>448</v>
      </c>
      <c r="Q32" s="3" t="s">
        <v>449</v>
      </c>
      <c r="R32" s="3" t="s">
        <v>450</v>
      </c>
      <c r="S32" s="3" t="s">
        <v>49</v>
      </c>
      <c r="T32" s="4" t="s">
        <v>50</v>
      </c>
      <c r="U32" s="3"/>
      <c r="V32" s="3"/>
      <c r="W32" s="3"/>
      <c r="X32" s="3"/>
      <c r="Y32" s="3"/>
      <c r="Z32" s="3"/>
      <c r="AA32" s="3"/>
      <c r="AB32" s="3" t="s">
        <v>451</v>
      </c>
      <c r="AC32" s="3"/>
      <c r="AD32" s="3" t="s">
        <v>452</v>
      </c>
      <c r="AE32" s="4" t="s">
        <v>53</v>
      </c>
    </row>
    <row r="33" customFormat="false" ht="15" hidden="false" customHeight="true" outlineLevel="0" collapsed="false">
      <c r="A33" s="3" t="s">
        <v>453</v>
      </c>
      <c r="B33" s="3" t="s">
        <v>32</v>
      </c>
      <c r="C33" s="3" t="s">
        <v>454</v>
      </c>
      <c r="D33" s="3" t="s">
        <v>273</v>
      </c>
      <c r="E33" s="3" t="s">
        <v>125</v>
      </c>
      <c r="F33" s="4" t="s">
        <v>101</v>
      </c>
      <c r="G33" s="3" t="s">
        <v>455</v>
      </c>
      <c r="H33" s="3" t="s">
        <v>456</v>
      </c>
      <c r="I33" s="3" t="s">
        <v>457</v>
      </c>
      <c r="J33" s="3" t="s">
        <v>458</v>
      </c>
      <c r="K33" s="3" t="s">
        <v>459</v>
      </c>
      <c r="L33" s="3" t="s">
        <v>42</v>
      </c>
      <c r="M33" s="3" t="s">
        <v>460</v>
      </c>
      <c r="N33" s="3" t="s">
        <v>461</v>
      </c>
      <c r="O33" s="4" t="s">
        <v>132</v>
      </c>
      <c r="P33" s="3"/>
      <c r="Q33" s="3" t="s">
        <v>462</v>
      </c>
      <c r="R33" s="3" t="s">
        <v>463</v>
      </c>
      <c r="S33" s="3" t="s">
        <v>49</v>
      </c>
      <c r="T33" s="4" t="s">
        <v>82</v>
      </c>
      <c r="U33" s="3"/>
      <c r="V33" s="3"/>
      <c r="W33" s="3"/>
      <c r="X33" s="3"/>
      <c r="Y33" s="3"/>
      <c r="Z33" s="3"/>
      <c r="AA33" s="3"/>
      <c r="AB33" s="3" t="s">
        <v>464</v>
      </c>
      <c r="AC33" s="3"/>
      <c r="AD33" s="3" t="s">
        <v>465</v>
      </c>
      <c r="AE33" s="4" t="s">
        <v>53</v>
      </c>
    </row>
    <row r="34" customFormat="false" ht="15" hidden="false" customHeight="true" outlineLevel="0" collapsed="false">
      <c r="A34" s="3" t="s">
        <v>466</v>
      </c>
      <c r="B34" s="3" t="s">
        <v>32</v>
      </c>
      <c r="C34" s="3" t="s">
        <v>467</v>
      </c>
      <c r="D34" s="3" t="s">
        <v>205</v>
      </c>
      <c r="E34" s="3" t="s">
        <v>70</v>
      </c>
      <c r="F34" s="4" t="s">
        <v>101</v>
      </c>
      <c r="G34" s="3" t="s">
        <v>468</v>
      </c>
      <c r="H34" s="3" t="s">
        <v>469</v>
      </c>
      <c r="I34" s="3" t="s">
        <v>470</v>
      </c>
      <c r="J34" s="3" t="s">
        <v>471</v>
      </c>
      <c r="K34" s="3" t="s">
        <v>472</v>
      </c>
      <c r="L34" s="3" t="s">
        <v>42</v>
      </c>
      <c r="M34" s="3"/>
      <c r="N34" s="3" t="s">
        <v>473</v>
      </c>
      <c r="O34" s="4" t="s">
        <v>474</v>
      </c>
      <c r="P34" s="3"/>
      <c r="Q34" s="3" t="s">
        <v>475</v>
      </c>
      <c r="R34" s="3" t="s">
        <v>476</v>
      </c>
      <c r="S34" s="3" t="s">
        <v>49</v>
      </c>
      <c r="T34" s="4" t="s">
        <v>82</v>
      </c>
      <c r="U34" s="3"/>
      <c r="V34" s="3"/>
      <c r="W34" s="3"/>
      <c r="X34" s="3"/>
      <c r="Y34" s="3"/>
      <c r="Z34" s="3"/>
      <c r="AA34" s="3"/>
      <c r="AB34" s="3" t="s">
        <v>231</v>
      </c>
      <c r="AC34" s="3"/>
      <c r="AD34" s="3" t="s">
        <v>477</v>
      </c>
      <c r="AE34" s="4" t="s">
        <v>53</v>
      </c>
    </row>
    <row r="35" customFormat="false" ht="15" hidden="false" customHeight="true" outlineLevel="0" collapsed="false">
      <c r="A35" s="3" t="s">
        <v>478</v>
      </c>
      <c r="B35" s="3" t="s">
        <v>32</v>
      </c>
      <c r="C35" s="3" t="s">
        <v>479</v>
      </c>
      <c r="D35" s="3" t="s">
        <v>330</v>
      </c>
      <c r="E35" s="3" t="s">
        <v>70</v>
      </c>
      <c r="F35" s="4" t="s">
        <v>101</v>
      </c>
      <c r="G35" s="3" t="s">
        <v>480</v>
      </c>
      <c r="H35" s="3" t="s">
        <v>481</v>
      </c>
      <c r="I35" s="3" t="s">
        <v>482</v>
      </c>
      <c r="J35" s="3" t="s">
        <v>483</v>
      </c>
      <c r="K35" s="3" t="s">
        <v>484</v>
      </c>
      <c r="L35" s="3" t="s">
        <v>336</v>
      </c>
      <c r="M35" s="3" t="s">
        <v>485</v>
      </c>
      <c r="N35" s="3" t="s">
        <v>486</v>
      </c>
      <c r="O35" s="4" t="s">
        <v>266</v>
      </c>
      <c r="P35" s="3"/>
      <c r="Q35" s="3" t="s">
        <v>487</v>
      </c>
      <c r="R35" s="3" t="s">
        <v>488</v>
      </c>
      <c r="S35" s="3" t="s">
        <v>49</v>
      </c>
      <c r="T35" s="4" t="s">
        <v>82</v>
      </c>
      <c r="U35" s="3"/>
      <c r="V35" s="3"/>
      <c r="W35" s="3"/>
      <c r="X35" s="3"/>
      <c r="Y35" s="3"/>
      <c r="Z35" s="3"/>
      <c r="AA35" s="3"/>
      <c r="AB35" s="3" t="s">
        <v>328</v>
      </c>
      <c r="AC35" s="3"/>
      <c r="AD35" s="3" t="s">
        <v>489</v>
      </c>
      <c r="AE35" s="4" t="s">
        <v>53</v>
      </c>
    </row>
    <row r="36" customFormat="false" ht="15" hidden="false" customHeight="true" outlineLevel="0" collapsed="false">
      <c r="A36" s="3" t="s">
        <v>490</v>
      </c>
      <c r="B36" s="3" t="s">
        <v>32</v>
      </c>
      <c r="C36" s="3" t="s">
        <v>491</v>
      </c>
      <c r="D36" s="3" t="s">
        <v>273</v>
      </c>
      <c r="E36" s="3" t="s">
        <v>70</v>
      </c>
      <c r="F36" s="4" t="s">
        <v>101</v>
      </c>
      <c r="G36" s="3" t="s">
        <v>492</v>
      </c>
      <c r="H36" s="3" t="s">
        <v>493</v>
      </c>
      <c r="I36" s="3" t="s">
        <v>494</v>
      </c>
      <c r="J36" s="3" t="s">
        <v>495</v>
      </c>
      <c r="K36" s="3" t="s">
        <v>496</v>
      </c>
      <c r="L36" s="3" t="s">
        <v>336</v>
      </c>
      <c r="M36" s="3"/>
      <c r="N36" s="3" t="s">
        <v>497</v>
      </c>
      <c r="O36" s="4" t="s">
        <v>498</v>
      </c>
      <c r="P36" s="3"/>
      <c r="Q36" s="3" t="s">
        <v>499</v>
      </c>
      <c r="R36" s="3" t="s">
        <v>500</v>
      </c>
      <c r="S36" s="3" t="s">
        <v>49</v>
      </c>
      <c r="T36" s="4" t="s">
        <v>82</v>
      </c>
      <c r="U36" s="3"/>
      <c r="V36" s="3"/>
      <c r="W36" s="3"/>
      <c r="X36" s="3"/>
      <c r="Y36" s="3"/>
      <c r="Z36" s="3"/>
      <c r="AA36" s="3"/>
      <c r="AB36" s="3" t="s">
        <v>366</v>
      </c>
      <c r="AC36" s="3"/>
      <c r="AD36" s="3" t="s">
        <v>501</v>
      </c>
      <c r="AE36" s="4" t="s">
        <v>53</v>
      </c>
    </row>
    <row r="37" customFormat="false" ht="15" hidden="false" customHeight="true" outlineLevel="0" collapsed="false">
      <c r="A37" s="3" t="s">
        <v>502</v>
      </c>
      <c r="B37" s="3" t="s">
        <v>32</v>
      </c>
      <c r="C37" s="3" t="s">
        <v>503</v>
      </c>
      <c r="D37" s="3" t="s">
        <v>69</v>
      </c>
      <c r="E37" s="3" t="s">
        <v>70</v>
      </c>
      <c r="F37" s="4" t="s">
        <v>36</v>
      </c>
      <c r="G37" s="3" t="s">
        <v>504</v>
      </c>
      <c r="H37" s="3" t="s">
        <v>505</v>
      </c>
      <c r="I37" s="3" t="s">
        <v>506</v>
      </c>
      <c r="J37" s="3" t="s">
        <v>507</v>
      </c>
      <c r="K37" s="3" t="s">
        <v>508</v>
      </c>
      <c r="L37" s="3" t="s">
        <v>76</v>
      </c>
      <c r="M37" s="3"/>
      <c r="N37" s="3" t="s">
        <v>77</v>
      </c>
      <c r="O37" s="4" t="s">
        <v>93</v>
      </c>
      <c r="P37" s="3" t="s">
        <v>79</v>
      </c>
      <c r="Q37" s="3" t="s">
        <v>509</v>
      </c>
      <c r="R37" s="3" t="s">
        <v>510</v>
      </c>
      <c r="S37" s="3" t="s">
        <v>49</v>
      </c>
      <c r="T37" s="4" t="s">
        <v>82</v>
      </c>
      <c r="U37" s="3"/>
      <c r="V37" s="3"/>
      <c r="W37" s="3"/>
      <c r="X37" s="3"/>
      <c r="Y37" s="3"/>
      <c r="Z37" s="3"/>
      <c r="AA37" s="3"/>
      <c r="AB37" s="3" t="s">
        <v>67</v>
      </c>
      <c r="AC37" s="3"/>
      <c r="AD37" s="3" t="s">
        <v>511</v>
      </c>
      <c r="AE37" s="4" t="s">
        <v>53</v>
      </c>
    </row>
    <row r="38" customFormat="false" ht="15" hidden="false" customHeight="true" outlineLevel="0" collapsed="false">
      <c r="A38" s="3" t="s">
        <v>512</v>
      </c>
      <c r="B38" s="3" t="s">
        <v>32</v>
      </c>
      <c r="C38" s="3" t="s">
        <v>513</v>
      </c>
      <c r="D38" s="3" t="s">
        <v>69</v>
      </c>
      <c r="E38" s="3" t="s">
        <v>70</v>
      </c>
      <c r="F38" s="4" t="s">
        <v>36</v>
      </c>
      <c r="G38" s="3" t="s">
        <v>514</v>
      </c>
      <c r="H38" s="3" t="s">
        <v>515</v>
      </c>
      <c r="I38" s="3" t="s">
        <v>516</v>
      </c>
      <c r="J38" s="3" t="s">
        <v>517</v>
      </c>
      <c r="K38" s="3" t="s">
        <v>518</v>
      </c>
      <c r="L38" s="3" t="s">
        <v>76</v>
      </c>
      <c r="M38" s="3"/>
      <c r="N38" s="3" t="s">
        <v>519</v>
      </c>
      <c r="O38" s="4" t="s">
        <v>93</v>
      </c>
      <c r="P38" s="3" t="s">
        <v>79</v>
      </c>
      <c r="Q38" s="3" t="s">
        <v>520</v>
      </c>
      <c r="R38" s="3" t="s">
        <v>521</v>
      </c>
      <c r="S38" s="3" t="s">
        <v>49</v>
      </c>
      <c r="T38" s="4" t="s">
        <v>82</v>
      </c>
      <c r="U38" s="3"/>
      <c r="V38" s="3"/>
      <c r="W38" s="3"/>
      <c r="X38" s="3"/>
      <c r="Y38" s="3"/>
      <c r="Z38" s="3"/>
      <c r="AA38" s="3"/>
      <c r="AB38" s="3"/>
      <c r="AC38" s="3"/>
      <c r="AD38" s="3" t="s">
        <v>522</v>
      </c>
      <c r="AE38" s="4" t="s">
        <v>53</v>
      </c>
    </row>
    <row r="39" customFormat="false" ht="15" hidden="false" customHeight="true" outlineLevel="0" collapsed="false">
      <c r="A39" s="3" t="s">
        <v>523</v>
      </c>
      <c r="B39" s="3" t="s">
        <v>32</v>
      </c>
      <c r="C39" s="3" t="s">
        <v>524</v>
      </c>
      <c r="D39" s="3" t="s">
        <v>69</v>
      </c>
      <c r="E39" s="3" t="s">
        <v>70</v>
      </c>
      <c r="F39" s="4" t="s">
        <v>101</v>
      </c>
      <c r="G39" s="3" t="s">
        <v>525</v>
      </c>
      <c r="H39" s="3" t="s">
        <v>526</v>
      </c>
      <c r="I39" s="3" t="s">
        <v>527</v>
      </c>
      <c r="J39" s="3" t="s">
        <v>528</v>
      </c>
      <c r="K39" s="3" t="s">
        <v>529</v>
      </c>
      <c r="L39" s="3" t="s">
        <v>76</v>
      </c>
      <c r="M39" s="3"/>
      <c r="N39" s="3" t="s">
        <v>530</v>
      </c>
      <c r="O39" s="4" t="s">
        <v>93</v>
      </c>
      <c r="P39" s="3"/>
      <c r="Q39" s="3" t="s">
        <v>531</v>
      </c>
      <c r="R39" s="3" t="s">
        <v>532</v>
      </c>
      <c r="S39" s="3" t="s">
        <v>49</v>
      </c>
      <c r="T39" s="4" t="s">
        <v>82</v>
      </c>
      <c r="U39" s="3"/>
      <c r="V39" s="3"/>
      <c r="W39" s="3"/>
      <c r="X39" s="3"/>
      <c r="Y39" s="3"/>
      <c r="Z39" s="3"/>
      <c r="AA39" s="3"/>
      <c r="AB39" s="3"/>
      <c r="AC39" s="3"/>
      <c r="AD39" s="3" t="s">
        <v>533</v>
      </c>
      <c r="AE39" s="4" t="s">
        <v>53</v>
      </c>
    </row>
    <row r="40" customFormat="false" ht="15" hidden="false" customHeight="true" outlineLevel="0" collapsed="false">
      <c r="A40" s="3" t="s">
        <v>534</v>
      </c>
      <c r="B40" s="3" t="s">
        <v>32</v>
      </c>
      <c r="C40" s="3" t="s">
        <v>535</v>
      </c>
      <c r="D40" s="3" t="s">
        <v>69</v>
      </c>
      <c r="E40" s="3" t="s">
        <v>70</v>
      </c>
      <c r="F40" s="4" t="s">
        <v>86</v>
      </c>
      <c r="G40" s="3" t="s">
        <v>536</v>
      </c>
      <c r="H40" s="3" t="s">
        <v>537</v>
      </c>
      <c r="I40" s="3" t="s">
        <v>538</v>
      </c>
      <c r="J40" s="3" t="s">
        <v>539</v>
      </c>
      <c r="K40" s="3" t="s">
        <v>540</v>
      </c>
      <c r="L40" s="3" t="s">
        <v>76</v>
      </c>
      <c r="M40" s="3"/>
      <c r="N40" s="3" t="s">
        <v>541</v>
      </c>
      <c r="O40" s="4" t="s">
        <v>93</v>
      </c>
      <c r="P40" s="3" t="s">
        <v>94</v>
      </c>
      <c r="Q40" s="3" t="s">
        <v>542</v>
      </c>
      <c r="R40" s="3" t="s">
        <v>285</v>
      </c>
      <c r="S40" s="3" t="s">
        <v>49</v>
      </c>
      <c r="T40" s="4" t="s">
        <v>82</v>
      </c>
      <c r="U40" s="3"/>
      <c r="V40" s="3"/>
      <c r="W40" s="3"/>
      <c r="X40" s="3"/>
      <c r="Y40" s="3"/>
      <c r="Z40" s="3"/>
      <c r="AA40" s="3"/>
      <c r="AB40" s="3" t="s">
        <v>543</v>
      </c>
      <c r="AC40" s="3"/>
      <c r="AD40" s="3" t="s">
        <v>544</v>
      </c>
      <c r="AE40" s="4" t="s">
        <v>53</v>
      </c>
    </row>
    <row r="41" customFormat="false" ht="15" hidden="false" customHeight="true" outlineLevel="0" collapsed="false">
      <c r="A41" s="3" t="s">
        <v>545</v>
      </c>
      <c r="B41" s="3" t="s">
        <v>32</v>
      </c>
      <c r="C41" s="3" t="s">
        <v>546</v>
      </c>
      <c r="D41" s="3" t="s">
        <v>69</v>
      </c>
      <c r="E41" s="3" t="s">
        <v>70</v>
      </c>
      <c r="F41" s="4" t="s">
        <v>101</v>
      </c>
      <c r="G41" s="3" t="s">
        <v>547</v>
      </c>
      <c r="H41" s="3" t="s">
        <v>548</v>
      </c>
      <c r="I41" s="3" t="s">
        <v>549</v>
      </c>
      <c r="J41" s="3" t="s">
        <v>550</v>
      </c>
      <c r="K41" s="3" t="s">
        <v>551</v>
      </c>
      <c r="L41" s="3" t="s">
        <v>76</v>
      </c>
      <c r="M41" s="3"/>
      <c r="N41" s="3" t="s">
        <v>552</v>
      </c>
      <c r="O41" s="4" t="s">
        <v>553</v>
      </c>
      <c r="P41" s="3"/>
      <c r="Q41" s="3" t="s">
        <v>554</v>
      </c>
      <c r="R41" s="3" t="s">
        <v>555</v>
      </c>
      <c r="S41" s="3" t="s">
        <v>49</v>
      </c>
      <c r="T41" s="4" t="s">
        <v>82</v>
      </c>
      <c r="U41" s="3"/>
      <c r="V41" s="3"/>
      <c r="W41" s="3"/>
      <c r="X41" s="3"/>
      <c r="Y41" s="3"/>
      <c r="Z41" s="3"/>
      <c r="AA41" s="3"/>
      <c r="AB41" s="3" t="s">
        <v>340</v>
      </c>
      <c r="AC41" s="3"/>
      <c r="AD41" s="3" t="s">
        <v>556</v>
      </c>
      <c r="AE41" s="4" t="s">
        <v>53</v>
      </c>
    </row>
    <row r="42" customFormat="false" ht="15" hidden="false" customHeight="true" outlineLevel="0" collapsed="false">
      <c r="A42" s="3" t="s">
        <v>557</v>
      </c>
      <c r="B42" s="3" t="s">
        <v>32</v>
      </c>
      <c r="C42" s="3" t="s">
        <v>558</v>
      </c>
      <c r="D42" s="3" t="s">
        <v>100</v>
      </c>
      <c r="E42" s="3" t="s">
        <v>70</v>
      </c>
      <c r="F42" s="4" t="s">
        <v>101</v>
      </c>
      <c r="G42" s="3" t="s">
        <v>559</v>
      </c>
      <c r="H42" s="3" t="s">
        <v>560</v>
      </c>
      <c r="I42" s="3" t="s">
        <v>561</v>
      </c>
      <c r="J42" s="3" t="s">
        <v>562</v>
      </c>
      <c r="K42" s="3" t="s">
        <v>563</v>
      </c>
      <c r="L42" s="3" t="s">
        <v>76</v>
      </c>
      <c r="M42" s="3"/>
      <c r="N42" s="3" t="s">
        <v>552</v>
      </c>
      <c r="O42" s="4" t="s">
        <v>108</v>
      </c>
      <c r="P42" s="3" t="s">
        <v>564</v>
      </c>
      <c r="Q42" s="3" t="s">
        <v>110</v>
      </c>
      <c r="R42" s="3" t="s">
        <v>111</v>
      </c>
      <c r="S42" s="3" t="s">
        <v>49</v>
      </c>
      <c r="T42" s="4" t="s">
        <v>82</v>
      </c>
      <c r="U42" s="3"/>
      <c r="V42" s="3"/>
      <c r="W42" s="3"/>
      <c r="X42" s="3"/>
      <c r="Y42" s="3"/>
      <c r="Z42" s="3"/>
      <c r="AA42" s="3"/>
      <c r="AB42" s="3" t="s">
        <v>565</v>
      </c>
      <c r="AC42" s="3"/>
      <c r="AD42" s="3" t="s">
        <v>566</v>
      </c>
      <c r="AE42" s="4" t="s">
        <v>53</v>
      </c>
    </row>
    <row r="43" customFormat="false" ht="15" hidden="false" customHeight="true" outlineLevel="0" collapsed="false">
      <c r="A43" s="3" t="s">
        <v>567</v>
      </c>
      <c r="B43" s="3" t="s">
        <v>32</v>
      </c>
      <c r="C43" s="3" t="s">
        <v>568</v>
      </c>
      <c r="D43" s="3" t="s">
        <v>100</v>
      </c>
      <c r="E43" s="3" t="s">
        <v>70</v>
      </c>
      <c r="F43" s="4" t="s">
        <v>259</v>
      </c>
      <c r="G43" s="3" t="s">
        <v>569</v>
      </c>
      <c r="H43" s="3" t="s">
        <v>570</v>
      </c>
      <c r="I43" s="3" t="s">
        <v>571</v>
      </c>
      <c r="J43" s="3" t="s">
        <v>572</v>
      </c>
      <c r="K43" s="3" t="s">
        <v>573</v>
      </c>
      <c r="L43" s="3" t="s">
        <v>76</v>
      </c>
      <c r="M43" s="3"/>
      <c r="N43" s="3" t="s">
        <v>574</v>
      </c>
      <c r="O43" s="4" t="s">
        <v>93</v>
      </c>
      <c r="P43" s="3"/>
      <c r="Q43" s="3" t="s">
        <v>575</v>
      </c>
      <c r="R43" s="3" t="s">
        <v>111</v>
      </c>
      <c r="S43" s="3" t="s">
        <v>49</v>
      </c>
      <c r="T43" s="4" t="s">
        <v>82</v>
      </c>
      <c r="U43" s="3"/>
      <c r="V43" s="3"/>
      <c r="W43" s="3"/>
      <c r="X43" s="3"/>
      <c r="Y43" s="3"/>
      <c r="Z43" s="3"/>
      <c r="AA43" s="3"/>
      <c r="AB43" s="3" t="s">
        <v>98</v>
      </c>
      <c r="AC43" s="3"/>
      <c r="AD43" s="3" t="s">
        <v>576</v>
      </c>
      <c r="AE43" s="4" t="s">
        <v>53</v>
      </c>
    </row>
    <row r="44" customFormat="false" ht="15" hidden="false" customHeight="true" outlineLevel="0" collapsed="false">
      <c r="A44" s="3" t="s">
        <v>577</v>
      </c>
      <c r="B44" s="3" t="s">
        <v>32</v>
      </c>
      <c r="C44" s="3" t="s">
        <v>578</v>
      </c>
      <c r="D44" s="3" t="s">
        <v>188</v>
      </c>
      <c r="E44" s="3" t="s">
        <v>274</v>
      </c>
      <c r="F44" s="4" t="s">
        <v>259</v>
      </c>
      <c r="G44" s="3" t="s">
        <v>579</v>
      </c>
      <c r="H44" s="3" t="s">
        <v>580</v>
      </c>
      <c r="I44" s="3" t="s">
        <v>581</v>
      </c>
      <c r="J44" s="3" t="s">
        <v>582</v>
      </c>
      <c r="K44" s="3" t="s">
        <v>583</v>
      </c>
      <c r="L44" s="3" t="s">
        <v>195</v>
      </c>
      <c r="M44" s="3" t="s">
        <v>196</v>
      </c>
      <c r="N44" s="3" t="s">
        <v>584</v>
      </c>
      <c r="O44" s="4" t="s">
        <v>198</v>
      </c>
      <c r="P44" s="3" t="s">
        <v>585</v>
      </c>
      <c r="Q44" s="3" t="s">
        <v>586</v>
      </c>
      <c r="R44" s="3" t="s">
        <v>201</v>
      </c>
      <c r="S44" s="3" t="s">
        <v>286</v>
      </c>
      <c r="T44" s="4" t="s">
        <v>50</v>
      </c>
      <c r="U44" s="3"/>
      <c r="V44" s="3"/>
      <c r="W44" s="3"/>
      <c r="X44" s="3"/>
      <c r="Y44" s="3"/>
      <c r="Z44" s="3"/>
      <c r="AA44" s="3"/>
      <c r="AB44" s="3" t="s">
        <v>587</v>
      </c>
      <c r="AC44" s="3"/>
      <c r="AD44" s="3" t="s">
        <v>588</v>
      </c>
      <c r="AE44" s="4" t="s">
        <v>53</v>
      </c>
    </row>
    <row r="45" customFormat="false" ht="15" hidden="false" customHeight="true" outlineLevel="0" collapsed="false">
      <c r="A45" s="3" t="s">
        <v>589</v>
      </c>
      <c r="B45" s="3" t="s">
        <v>32</v>
      </c>
      <c r="C45" s="3" t="s">
        <v>590</v>
      </c>
      <c r="D45" s="3" t="s">
        <v>188</v>
      </c>
      <c r="E45" s="3" t="s">
        <v>189</v>
      </c>
      <c r="F45" s="4" t="s">
        <v>101</v>
      </c>
      <c r="G45" s="3" t="s">
        <v>591</v>
      </c>
      <c r="H45" s="3" t="s">
        <v>592</v>
      </c>
      <c r="I45" s="3" t="s">
        <v>593</v>
      </c>
      <c r="J45" s="3" t="s">
        <v>594</v>
      </c>
      <c r="K45" s="3" t="s">
        <v>595</v>
      </c>
      <c r="L45" s="3" t="s">
        <v>195</v>
      </c>
      <c r="M45" s="3"/>
      <c r="N45" s="3" t="s">
        <v>596</v>
      </c>
      <c r="O45" s="4" t="s">
        <v>198</v>
      </c>
      <c r="P45" s="3" t="s">
        <v>597</v>
      </c>
      <c r="Q45" s="3" t="s">
        <v>598</v>
      </c>
      <c r="R45" s="3" t="s">
        <v>201</v>
      </c>
      <c r="S45" s="3" t="s">
        <v>599</v>
      </c>
      <c r="T45" s="4" t="s">
        <v>50</v>
      </c>
      <c r="U45" s="3"/>
      <c r="V45" s="3"/>
      <c r="W45" s="3"/>
      <c r="X45" s="3"/>
      <c r="Y45" s="3"/>
      <c r="Z45" s="3"/>
      <c r="AA45" s="3"/>
      <c r="AB45" s="3" t="s">
        <v>600</v>
      </c>
      <c r="AC45" s="3" t="s">
        <v>601</v>
      </c>
      <c r="AD45" s="3" t="s">
        <v>602</v>
      </c>
      <c r="AE45" s="4" t="s">
        <v>53</v>
      </c>
    </row>
    <row r="46" customFormat="false" ht="15" hidden="false" customHeight="true" outlineLevel="0" collapsed="false">
      <c r="A46" s="3" t="s">
        <v>425</v>
      </c>
      <c r="B46" s="3" t="s">
        <v>32</v>
      </c>
      <c r="C46" s="3" t="s">
        <v>603</v>
      </c>
      <c r="D46" s="3" t="s">
        <v>188</v>
      </c>
      <c r="E46" s="3" t="s">
        <v>189</v>
      </c>
      <c r="F46" s="4" t="s">
        <v>36</v>
      </c>
      <c r="G46" s="3" t="s">
        <v>604</v>
      </c>
      <c r="H46" s="3" t="s">
        <v>605</v>
      </c>
      <c r="I46" s="3" t="s">
        <v>606</v>
      </c>
      <c r="J46" s="3" t="s">
        <v>607</v>
      </c>
      <c r="K46" s="3" t="s">
        <v>608</v>
      </c>
      <c r="L46" s="3" t="s">
        <v>195</v>
      </c>
      <c r="M46" s="3"/>
      <c r="N46" s="3" t="s">
        <v>609</v>
      </c>
      <c r="O46" s="4" t="s">
        <v>198</v>
      </c>
      <c r="P46" s="3" t="s">
        <v>610</v>
      </c>
      <c r="Q46" s="3" t="s">
        <v>611</v>
      </c>
      <c r="R46" s="3" t="s">
        <v>201</v>
      </c>
      <c r="S46" s="3" t="s">
        <v>49</v>
      </c>
      <c r="T46" s="4" t="s">
        <v>50</v>
      </c>
      <c r="U46" s="3"/>
      <c r="V46" s="3"/>
      <c r="W46" s="3"/>
      <c r="X46" s="3"/>
      <c r="Y46" s="3"/>
      <c r="Z46" s="3"/>
      <c r="AA46" s="3"/>
      <c r="AB46" s="3" t="s">
        <v>612</v>
      </c>
      <c r="AC46" s="3"/>
      <c r="AD46" s="3" t="s">
        <v>613</v>
      </c>
      <c r="AE46" s="4" t="s">
        <v>53</v>
      </c>
    </row>
    <row r="47" customFormat="false" ht="15" hidden="false" customHeight="true" outlineLevel="0" collapsed="false">
      <c r="A47" s="3" t="s">
        <v>614</v>
      </c>
      <c r="B47" s="3" t="s">
        <v>32</v>
      </c>
      <c r="C47" s="3" t="s">
        <v>615</v>
      </c>
      <c r="D47" s="3" t="s">
        <v>188</v>
      </c>
      <c r="E47" s="3" t="s">
        <v>189</v>
      </c>
      <c r="F47" s="4" t="s">
        <v>36</v>
      </c>
      <c r="G47" s="3" t="s">
        <v>616</v>
      </c>
      <c r="H47" s="3" t="s">
        <v>617</v>
      </c>
      <c r="I47" s="3" t="s">
        <v>618</v>
      </c>
      <c r="J47" s="3" t="s">
        <v>619</v>
      </c>
      <c r="K47" s="3" t="s">
        <v>620</v>
      </c>
      <c r="L47" s="3" t="s">
        <v>195</v>
      </c>
      <c r="M47" s="3" t="s">
        <v>196</v>
      </c>
      <c r="N47" s="3" t="s">
        <v>621</v>
      </c>
      <c r="O47" s="4" t="s">
        <v>198</v>
      </c>
      <c r="P47" s="3" t="s">
        <v>622</v>
      </c>
      <c r="Q47" s="3" t="s">
        <v>623</v>
      </c>
      <c r="R47" s="3" t="s">
        <v>201</v>
      </c>
      <c r="S47" s="3" t="s">
        <v>49</v>
      </c>
      <c r="T47" s="4" t="s">
        <v>50</v>
      </c>
      <c r="U47" s="3"/>
      <c r="V47" s="3"/>
      <c r="W47" s="3"/>
      <c r="X47" s="3"/>
      <c r="Y47" s="3"/>
      <c r="Z47" s="3"/>
      <c r="AA47" s="3"/>
      <c r="AB47" s="3" t="s">
        <v>624</v>
      </c>
      <c r="AC47" s="3"/>
      <c r="AD47" s="3" t="s">
        <v>625</v>
      </c>
      <c r="AE47" s="4" t="s">
        <v>53</v>
      </c>
    </row>
    <row r="48" customFormat="false" ht="15" hidden="false" customHeight="true" outlineLevel="0" collapsed="false">
      <c r="A48" s="3" t="s">
        <v>626</v>
      </c>
      <c r="B48" s="3" t="s">
        <v>32</v>
      </c>
      <c r="C48" s="3" t="s">
        <v>627</v>
      </c>
      <c r="D48" s="3" t="s">
        <v>205</v>
      </c>
      <c r="E48" s="3" t="s">
        <v>189</v>
      </c>
      <c r="F48" s="4" t="s">
        <v>259</v>
      </c>
      <c r="G48" s="3" t="s">
        <v>628</v>
      </c>
      <c r="H48" s="3" t="s">
        <v>629</v>
      </c>
      <c r="I48" s="3" t="s">
        <v>630</v>
      </c>
      <c r="J48" s="3" t="s">
        <v>631</v>
      </c>
      <c r="K48" s="3" t="s">
        <v>632</v>
      </c>
      <c r="L48" s="3" t="s">
        <v>280</v>
      </c>
      <c r="M48" s="3"/>
      <c r="N48" s="3" t="s">
        <v>633</v>
      </c>
      <c r="O48" s="4" t="s">
        <v>212</v>
      </c>
      <c r="P48" s="3" t="s">
        <v>634</v>
      </c>
      <c r="Q48" s="3" t="s">
        <v>635</v>
      </c>
      <c r="R48" s="3" t="s">
        <v>215</v>
      </c>
      <c r="S48" s="3" t="s">
        <v>49</v>
      </c>
      <c r="T48" s="4" t="s">
        <v>50</v>
      </c>
      <c r="U48" s="3"/>
      <c r="V48" s="3"/>
      <c r="W48" s="3"/>
      <c r="X48" s="3"/>
      <c r="Y48" s="3"/>
      <c r="Z48" s="3"/>
      <c r="AA48" s="3"/>
      <c r="AB48" s="3" t="s">
        <v>203</v>
      </c>
      <c r="AC48" s="3"/>
      <c r="AD48" s="3" t="s">
        <v>636</v>
      </c>
      <c r="AE48" s="4" t="s">
        <v>53</v>
      </c>
    </row>
    <row r="49" customFormat="false" ht="15" hidden="false" customHeight="true" outlineLevel="0" collapsed="false">
      <c r="A49" s="3" t="s">
        <v>365</v>
      </c>
      <c r="B49" s="3" t="s">
        <v>32</v>
      </c>
      <c r="C49" s="3" t="s">
        <v>637</v>
      </c>
      <c r="D49" s="3" t="s">
        <v>273</v>
      </c>
      <c r="E49" s="3" t="s">
        <v>274</v>
      </c>
      <c r="F49" s="4" t="s">
        <v>259</v>
      </c>
      <c r="G49" s="3" t="s">
        <v>638</v>
      </c>
      <c r="H49" s="3" t="s">
        <v>639</v>
      </c>
      <c r="I49" s="3" t="s">
        <v>640</v>
      </c>
      <c r="J49" s="3" t="s">
        <v>641</v>
      </c>
      <c r="K49" s="3" t="s">
        <v>642</v>
      </c>
      <c r="L49" s="3" t="s">
        <v>280</v>
      </c>
      <c r="M49" s="3" t="s">
        <v>643</v>
      </c>
      <c r="N49" s="3" t="s">
        <v>644</v>
      </c>
      <c r="O49" s="4" t="s">
        <v>645</v>
      </c>
      <c r="P49" s="3" t="s">
        <v>646</v>
      </c>
      <c r="Q49" s="3" t="s">
        <v>647</v>
      </c>
      <c r="R49" s="3" t="s">
        <v>648</v>
      </c>
      <c r="S49" s="3" t="s">
        <v>286</v>
      </c>
      <c r="T49" s="4" t="s">
        <v>82</v>
      </c>
      <c r="U49" s="3"/>
      <c r="V49" s="3"/>
      <c r="W49" s="3"/>
      <c r="X49" s="3"/>
      <c r="Y49" s="3"/>
      <c r="Z49" s="3"/>
      <c r="AA49" s="3"/>
      <c r="AB49" s="3" t="s">
        <v>649</v>
      </c>
      <c r="AC49" s="3"/>
      <c r="AD49" s="3" t="s">
        <v>650</v>
      </c>
      <c r="AE49" s="4" t="s">
        <v>53</v>
      </c>
    </row>
    <row r="50" customFormat="false" ht="15" hidden="false" customHeight="true" outlineLevel="0" collapsed="false">
      <c r="A50" s="3" t="s">
        <v>651</v>
      </c>
      <c r="B50" s="3" t="s">
        <v>32</v>
      </c>
      <c r="C50" s="3" t="s">
        <v>652</v>
      </c>
      <c r="D50" s="3" t="s">
        <v>273</v>
      </c>
      <c r="E50" s="3" t="s">
        <v>70</v>
      </c>
      <c r="F50" s="4" t="s">
        <v>101</v>
      </c>
      <c r="G50" s="3" t="s">
        <v>653</v>
      </c>
      <c r="H50" s="3" t="s">
        <v>654</v>
      </c>
      <c r="I50" s="3" t="s">
        <v>655</v>
      </c>
      <c r="J50" s="3" t="s">
        <v>656</v>
      </c>
      <c r="K50" s="3" t="s">
        <v>657</v>
      </c>
      <c r="L50" s="3" t="s">
        <v>280</v>
      </c>
      <c r="M50" s="3"/>
      <c r="N50" s="3" t="s">
        <v>658</v>
      </c>
      <c r="O50" s="4" t="s">
        <v>282</v>
      </c>
      <c r="P50" s="3" t="s">
        <v>79</v>
      </c>
      <c r="Q50" s="3" t="s">
        <v>659</v>
      </c>
      <c r="R50" s="3" t="s">
        <v>285</v>
      </c>
      <c r="S50" s="3" t="s">
        <v>49</v>
      </c>
      <c r="T50" s="4" t="s">
        <v>82</v>
      </c>
      <c r="U50" s="3"/>
      <c r="V50" s="3"/>
      <c r="W50" s="3"/>
      <c r="X50" s="3"/>
      <c r="Y50" s="3"/>
      <c r="Z50" s="3"/>
      <c r="AA50" s="3"/>
      <c r="AB50" s="3" t="s">
        <v>660</v>
      </c>
      <c r="AC50" s="3"/>
      <c r="AD50" s="3" t="s">
        <v>661</v>
      </c>
      <c r="AE50" s="4" t="s">
        <v>53</v>
      </c>
    </row>
    <row r="51" customFormat="false" ht="15" hidden="false" customHeight="true" outlineLevel="0" collapsed="false">
      <c r="A51" s="3" t="s">
        <v>662</v>
      </c>
      <c r="B51" s="3" t="s">
        <v>32</v>
      </c>
      <c r="C51" s="3" t="s">
        <v>663</v>
      </c>
      <c r="D51" s="3" t="s">
        <v>664</v>
      </c>
      <c r="E51" s="3" t="s">
        <v>665</v>
      </c>
      <c r="F51" s="4" t="s">
        <v>101</v>
      </c>
      <c r="G51" s="3" t="s">
        <v>666</v>
      </c>
      <c r="H51" s="3" t="s">
        <v>667</v>
      </c>
      <c r="I51" s="3" t="s">
        <v>668</v>
      </c>
      <c r="J51" s="3" t="s">
        <v>669</v>
      </c>
      <c r="K51" s="3" t="s">
        <v>670</v>
      </c>
      <c r="L51" s="3" t="s">
        <v>671</v>
      </c>
      <c r="M51" s="3"/>
      <c r="N51" s="3" t="s">
        <v>672</v>
      </c>
      <c r="O51" s="4" t="s">
        <v>363</v>
      </c>
      <c r="P51" s="3" t="s">
        <v>673</v>
      </c>
      <c r="Q51" s="3" t="s">
        <v>674</v>
      </c>
      <c r="R51" s="3" t="s">
        <v>285</v>
      </c>
      <c r="S51" s="3"/>
      <c r="T51" s="4" t="s">
        <v>675</v>
      </c>
      <c r="U51" s="3"/>
      <c r="V51" s="3"/>
      <c r="W51" s="3"/>
      <c r="X51" s="3"/>
      <c r="Y51" s="3"/>
      <c r="Z51" s="3"/>
      <c r="AA51" s="3"/>
      <c r="AB51" s="3" t="s">
        <v>676</v>
      </c>
      <c r="AC51" s="3"/>
      <c r="AD51" s="3" t="s">
        <v>677</v>
      </c>
      <c r="AE51" s="4" t="s">
        <v>53</v>
      </c>
    </row>
    <row r="52" customFormat="false" ht="15" hidden="false" customHeight="true" outlineLevel="0" collapsed="false">
      <c r="A52" s="3" t="s">
        <v>678</v>
      </c>
      <c r="B52" s="3" t="s">
        <v>32</v>
      </c>
      <c r="C52" s="3" t="s">
        <v>679</v>
      </c>
      <c r="D52" s="3" t="s">
        <v>149</v>
      </c>
      <c r="E52" s="3" t="s">
        <v>258</v>
      </c>
      <c r="F52" s="4" t="s">
        <v>101</v>
      </c>
      <c r="G52" s="3" t="s">
        <v>680</v>
      </c>
      <c r="H52" s="3" t="s">
        <v>681</v>
      </c>
      <c r="I52" s="3" t="s">
        <v>682</v>
      </c>
      <c r="J52" s="3" t="s">
        <v>683</v>
      </c>
      <c r="K52" s="3" t="s">
        <v>684</v>
      </c>
      <c r="L52" s="3" t="s">
        <v>685</v>
      </c>
      <c r="M52" s="3"/>
      <c r="N52" s="3" t="s">
        <v>686</v>
      </c>
      <c r="O52" s="4" t="s">
        <v>687</v>
      </c>
      <c r="P52" s="3" t="s">
        <v>688</v>
      </c>
      <c r="Q52" s="3" t="s">
        <v>689</v>
      </c>
      <c r="R52" s="3" t="s">
        <v>285</v>
      </c>
      <c r="S52" s="3"/>
      <c r="T52" s="4" t="s">
        <v>82</v>
      </c>
      <c r="U52" s="3"/>
      <c r="V52" s="3"/>
      <c r="W52" s="3"/>
      <c r="X52" s="3"/>
      <c r="Y52" s="3"/>
      <c r="Z52" s="3"/>
      <c r="AA52" s="3"/>
      <c r="AB52" s="3" t="s">
        <v>690</v>
      </c>
      <c r="AC52" s="3"/>
      <c r="AD52" s="3" t="s">
        <v>691</v>
      </c>
      <c r="AE52" s="4" t="s">
        <v>53</v>
      </c>
    </row>
    <row r="53" customFormat="false" ht="15" hidden="false" customHeight="true" outlineLevel="0" collapsed="false">
      <c r="A53" s="3" t="s">
        <v>692</v>
      </c>
      <c r="B53" s="3" t="s">
        <v>32</v>
      </c>
      <c r="C53" s="3" t="s">
        <v>693</v>
      </c>
      <c r="D53" s="3" t="s">
        <v>233</v>
      </c>
      <c r="E53" s="3" t="s">
        <v>316</v>
      </c>
      <c r="F53" s="4" t="s">
        <v>101</v>
      </c>
      <c r="G53" s="3" t="s">
        <v>694</v>
      </c>
      <c r="H53" s="3" t="s">
        <v>695</v>
      </c>
      <c r="I53" s="3" t="s">
        <v>696</v>
      </c>
      <c r="J53" s="3" t="s">
        <v>697</v>
      </c>
      <c r="K53" s="3" t="s">
        <v>698</v>
      </c>
      <c r="L53" s="3" t="s">
        <v>42</v>
      </c>
      <c r="M53" s="3"/>
      <c r="N53" s="3" t="s">
        <v>699</v>
      </c>
      <c r="O53" s="4" t="s">
        <v>240</v>
      </c>
      <c r="P53" s="3"/>
      <c r="Q53" s="3" t="s">
        <v>700</v>
      </c>
      <c r="R53" s="3" t="s">
        <v>111</v>
      </c>
      <c r="S53" s="3" t="s">
        <v>49</v>
      </c>
      <c r="T53" s="4" t="s">
        <v>82</v>
      </c>
      <c r="U53" s="3"/>
      <c r="V53" s="3"/>
      <c r="W53" s="3"/>
      <c r="X53" s="3"/>
      <c r="Y53" s="3"/>
      <c r="Z53" s="3"/>
      <c r="AA53" s="3"/>
      <c r="AB53" s="3" t="s">
        <v>701</v>
      </c>
      <c r="AC53" s="3"/>
      <c r="AD53" s="3" t="s">
        <v>702</v>
      </c>
      <c r="AE53" s="4" t="s">
        <v>53</v>
      </c>
    </row>
    <row r="54" customFormat="false" ht="15" hidden="false" customHeight="true" outlineLevel="0" collapsed="false">
      <c r="A54" s="3" t="s">
        <v>703</v>
      </c>
      <c r="B54" s="3" t="s">
        <v>32</v>
      </c>
      <c r="C54" s="3" t="s">
        <v>704</v>
      </c>
      <c r="D54" s="3" t="s">
        <v>315</v>
      </c>
      <c r="E54" s="3" t="s">
        <v>189</v>
      </c>
      <c r="F54" s="4" t="s">
        <v>101</v>
      </c>
      <c r="G54" s="3" t="s">
        <v>705</v>
      </c>
      <c r="H54" s="3" t="s">
        <v>706</v>
      </c>
      <c r="I54" s="3" t="s">
        <v>707</v>
      </c>
      <c r="J54" s="3" t="s">
        <v>708</v>
      </c>
      <c r="K54" s="3" t="s">
        <v>709</v>
      </c>
      <c r="L54" s="3" t="s">
        <v>307</v>
      </c>
      <c r="M54" s="3"/>
      <c r="N54" s="3" t="s">
        <v>710</v>
      </c>
      <c r="O54" s="4" t="s">
        <v>711</v>
      </c>
      <c r="P54" s="3" t="s">
        <v>712</v>
      </c>
      <c r="Q54" s="3" t="s">
        <v>713</v>
      </c>
      <c r="R54" s="3" t="s">
        <v>285</v>
      </c>
      <c r="S54" s="3" t="s">
        <v>49</v>
      </c>
      <c r="T54" s="4" t="s">
        <v>326</v>
      </c>
      <c r="U54" s="3"/>
      <c r="V54" s="3"/>
      <c r="W54" s="3"/>
      <c r="X54" s="3"/>
      <c r="Y54" s="3"/>
      <c r="Z54" s="3"/>
      <c r="AA54" s="3"/>
      <c r="AB54" s="3" t="s">
        <v>714</v>
      </c>
      <c r="AC54" s="3"/>
      <c r="AD54" s="3" t="s">
        <v>715</v>
      </c>
      <c r="AE54" s="4" t="s">
        <v>53</v>
      </c>
    </row>
    <row r="55" customFormat="false" ht="15" hidden="false" customHeight="true" outlineLevel="0" collapsed="false">
      <c r="A55" s="3" t="s">
        <v>51</v>
      </c>
      <c r="B55" s="3" t="s">
        <v>716</v>
      </c>
      <c r="C55" s="3" t="s">
        <v>717</v>
      </c>
      <c r="D55" s="3" t="s">
        <v>34</v>
      </c>
      <c r="E55" s="3" t="s">
        <v>35</v>
      </c>
      <c r="F55" s="4" t="s">
        <v>36</v>
      </c>
      <c r="G55" s="3" t="s">
        <v>718</v>
      </c>
      <c r="H55" s="3" t="s">
        <v>719</v>
      </c>
      <c r="I55" s="3" t="s">
        <v>720</v>
      </c>
      <c r="J55" s="3" t="s">
        <v>721</v>
      </c>
      <c r="K55" s="3" t="s">
        <v>722</v>
      </c>
      <c r="L55" s="3" t="s">
        <v>42</v>
      </c>
      <c r="M55" s="3" t="s">
        <v>43</v>
      </c>
      <c r="N55" s="3" t="s">
        <v>44</v>
      </c>
      <c r="O55" s="4" t="s">
        <v>45</v>
      </c>
      <c r="P55" s="3" t="s">
        <v>46</v>
      </c>
      <c r="Q55" s="3" t="s">
        <v>723</v>
      </c>
      <c r="R55" s="3" t="s">
        <v>48</v>
      </c>
      <c r="S55" s="3" t="s">
        <v>49</v>
      </c>
      <c r="T55" s="4" t="s">
        <v>50</v>
      </c>
      <c r="U55" s="3"/>
      <c r="V55" s="3"/>
      <c r="W55" s="3"/>
      <c r="X55" s="3"/>
      <c r="Y55" s="3"/>
      <c r="Z55" s="3"/>
      <c r="AA55" s="3"/>
      <c r="AB55" s="3" t="s">
        <v>31</v>
      </c>
      <c r="AC55" s="3"/>
      <c r="AD55" s="3"/>
      <c r="AE55" s="4" t="s">
        <v>53</v>
      </c>
    </row>
    <row r="56" customFormat="false" ht="15" hidden="false" customHeight="true" outlineLevel="0" collapsed="false">
      <c r="A56" s="3" t="s">
        <v>724</v>
      </c>
      <c r="B56" s="3" t="s">
        <v>716</v>
      </c>
      <c r="C56" s="3" t="s">
        <v>725</v>
      </c>
      <c r="D56" s="3" t="s">
        <v>188</v>
      </c>
      <c r="E56" s="3" t="s">
        <v>189</v>
      </c>
      <c r="F56" s="4" t="s">
        <v>36</v>
      </c>
      <c r="G56" s="3" t="s">
        <v>726</v>
      </c>
      <c r="H56" s="3" t="s">
        <v>727</v>
      </c>
      <c r="I56" s="3" t="s">
        <v>728</v>
      </c>
      <c r="J56" s="3" t="s">
        <v>729</v>
      </c>
      <c r="K56" s="3" t="s">
        <v>730</v>
      </c>
      <c r="L56" s="3" t="s">
        <v>195</v>
      </c>
      <c r="M56" s="3" t="s">
        <v>196</v>
      </c>
      <c r="N56" s="3" t="s">
        <v>731</v>
      </c>
      <c r="O56" s="4" t="s">
        <v>198</v>
      </c>
      <c r="P56" s="3" t="s">
        <v>46</v>
      </c>
      <c r="Q56" s="3" t="s">
        <v>732</v>
      </c>
      <c r="R56" s="3" t="s">
        <v>201</v>
      </c>
      <c r="S56" s="3" t="s">
        <v>49</v>
      </c>
      <c r="T56" s="4" t="s">
        <v>50</v>
      </c>
      <c r="U56" s="3"/>
      <c r="V56" s="3"/>
      <c r="W56" s="3"/>
      <c r="X56" s="3"/>
      <c r="Y56" s="3"/>
      <c r="Z56" s="3"/>
      <c r="AA56" s="3"/>
      <c r="AB56" s="3" t="s">
        <v>733</v>
      </c>
      <c r="AC56" s="3"/>
      <c r="AD56" s="3"/>
      <c r="AE56" s="4" t="s">
        <v>53</v>
      </c>
    </row>
    <row r="57" customFormat="false" ht="15" hidden="false" customHeight="true" outlineLevel="0" collapsed="false">
      <c r="A57" s="3" t="s">
        <v>734</v>
      </c>
      <c r="B57" s="3" t="s">
        <v>716</v>
      </c>
      <c r="C57" s="3" t="s">
        <v>735</v>
      </c>
      <c r="D57" s="3" t="s">
        <v>34</v>
      </c>
      <c r="E57" s="3" t="s">
        <v>316</v>
      </c>
      <c r="F57" s="4" t="s">
        <v>101</v>
      </c>
      <c r="G57" s="3" t="s">
        <v>736</v>
      </c>
      <c r="H57" s="3" t="s">
        <v>737</v>
      </c>
      <c r="I57" s="3" t="s">
        <v>738</v>
      </c>
      <c r="J57" s="3" t="s">
        <v>739</v>
      </c>
      <c r="K57" s="3" t="s">
        <v>740</v>
      </c>
      <c r="L57" s="3" t="s">
        <v>42</v>
      </c>
      <c r="M57" s="3" t="s">
        <v>741</v>
      </c>
      <c r="N57" s="3" t="s">
        <v>742</v>
      </c>
      <c r="O57" s="4" t="s">
        <v>45</v>
      </c>
      <c r="P57" s="3"/>
      <c r="Q57" s="3" t="s">
        <v>743</v>
      </c>
      <c r="R57" s="3" t="s">
        <v>744</v>
      </c>
      <c r="S57" s="3" t="s">
        <v>49</v>
      </c>
      <c r="T57" s="4" t="s">
        <v>50</v>
      </c>
      <c r="U57" s="3"/>
      <c r="V57" s="3"/>
      <c r="W57" s="3"/>
      <c r="X57" s="3"/>
      <c r="Y57" s="3"/>
      <c r="Z57" s="3"/>
      <c r="AA57" s="3"/>
      <c r="AB57" s="3" t="s">
        <v>745</v>
      </c>
      <c r="AC57" s="3"/>
      <c r="AD57" s="3"/>
      <c r="AE57" s="4" t="s">
        <v>53</v>
      </c>
    </row>
    <row r="58" customFormat="false" ht="15" hidden="false" customHeight="true" outlineLevel="0" collapsed="false">
      <c r="A58" s="3" t="s">
        <v>464</v>
      </c>
      <c r="B58" s="3" t="s">
        <v>716</v>
      </c>
      <c r="C58" s="3" t="s">
        <v>746</v>
      </c>
      <c r="D58" s="3" t="s">
        <v>747</v>
      </c>
      <c r="E58" s="3" t="s">
        <v>7</v>
      </c>
      <c r="F58" s="4" t="s">
        <v>101</v>
      </c>
      <c r="G58" s="3" t="s">
        <v>748</v>
      </c>
      <c r="H58" s="3" t="s">
        <v>749</v>
      </c>
      <c r="I58" s="3" t="s">
        <v>750</v>
      </c>
      <c r="J58" s="3" t="s">
        <v>751</v>
      </c>
      <c r="K58" s="3" t="s">
        <v>752</v>
      </c>
      <c r="L58" s="3" t="s">
        <v>336</v>
      </c>
      <c r="M58" s="3" t="s">
        <v>753</v>
      </c>
      <c r="N58" s="3" t="s">
        <v>486</v>
      </c>
      <c r="O58" s="4" t="s">
        <v>266</v>
      </c>
      <c r="P58" s="3" t="s">
        <v>754</v>
      </c>
      <c r="Q58" s="3" t="s">
        <v>755</v>
      </c>
      <c r="R58" s="3" t="s">
        <v>285</v>
      </c>
      <c r="S58" s="3" t="s">
        <v>49</v>
      </c>
      <c r="T58" s="4" t="s">
        <v>82</v>
      </c>
      <c r="U58" s="3"/>
      <c r="V58" s="3"/>
      <c r="W58" s="3"/>
      <c r="X58" s="3"/>
      <c r="Y58" s="3"/>
      <c r="Z58" s="3"/>
      <c r="AA58" s="3"/>
      <c r="AB58" s="3" t="s">
        <v>756</v>
      </c>
      <c r="AC58" s="3"/>
      <c r="AD58" s="3"/>
      <c r="AE58" s="4" t="s">
        <v>53</v>
      </c>
    </row>
    <row r="59" customFormat="false" ht="15" hidden="false" customHeight="true" outlineLevel="0" collapsed="false">
      <c r="A59" s="3" t="s">
        <v>757</v>
      </c>
      <c r="B59" s="3" t="s">
        <v>716</v>
      </c>
      <c r="C59" s="3" t="s">
        <v>758</v>
      </c>
      <c r="D59" s="3" t="s">
        <v>34</v>
      </c>
      <c r="E59" s="3" t="s">
        <v>35</v>
      </c>
      <c r="F59" s="4" t="s">
        <v>36</v>
      </c>
      <c r="G59" s="3" t="s">
        <v>759</v>
      </c>
      <c r="H59" s="3" t="s">
        <v>760</v>
      </c>
      <c r="I59" s="3" t="s">
        <v>761</v>
      </c>
      <c r="J59" s="3" t="s">
        <v>762</v>
      </c>
      <c r="K59" s="3" t="s">
        <v>763</v>
      </c>
      <c r="L59" s="3" t="s">
        <v>42</v>
      </c>
      <c r="M59" s="3" t="s">
        <v>61</v>
      </c>
      <c r="N59" s="3" t="s">
        <v>62</v>
      </c>
      <c r="O59" s="4" t="s">
        <v>45</v>
      </c>
      <c r="P59" s="3"/>
      <c r="Q59" s="3" t="s">
        <v>764</v>
      </c>
      <c r="R59" s="3" t="s">
        <v>65</v>
      </c>
      <c r="S59" s="3" t="s">
        <v>49</v>
      </c>
      <c r="T59" s="4" t="s">
        <v>50</v>
      </c>
      <c r="U59" s="3"/>
      <c r="V59" s="3"/>
      <c r="W59" s="3"/>
      <c r="X59" s="3"/>
      <c r="Y59" s="3"/>
      <c r="Z59" s="3"/>
      <c r="AA59" s="3"/>
      <c r="AB59" s="3" t="s">
        <v>54</v>
      </c>
      <c r="AC59" s="3"/>
      <c r="AD59" s="3"/>
      <c r="AE59" s="4" t="s">
        <v>53</v>
      </c>
    </row>
    <row r="60" customFormat="false" ht="15" hidden="false" customHeight="true" outlineLevel="0" collapsed="false">
      <c r="A60" s="3" t="s">
        <v>765</v>
      </c>
      <c r="B60" s="3" t="s">
        <v>716</v>
      </c>
      <c r="C60" s="3" t="s">
        <v>766</v>
      </c>
      <c r="D60" s="3" t="s">
        <v>330</v>
      </c>
      <c r="E60" s="3" t="s">
        <v>7</v>
      </c>
      <c r="F60" s="4" t="s">
        <v>101</v>
      </c>
      <c r="G60" s="3" t="s">
        <v>767</v>
      </c>
      <c r="H60" s="3" t="s">
        <v>768</v>
      </c>
      <c r="I60" s="3" t="s">
        <v>769</v>
      </c>
      <c r="J60" s="3" t="s">
        <v>770</v>
      </c>
      <c r="K60" s="3" t="s">
        <v>771</v>
      </c>
      <c r="L60" s="3" t="s">
        <v>336</v>
      </c>
      <c r="M60" s="3" t="s">
        <v>485</v>
      </c>
      <c r="N60" s="3" t="s">
        <v>772</v>
      </c>
      <c r="O60" s="4" t="s">
        <v>266</v>
      </c>
      <c r="P60" s="3"/>
      <c r="Q60" s="3" t="s">
        <v>338</v>
      </c>
      <c r="R60" s="3" t="s">
        <v>285</v>
      </c>
      <c r="S60" s="3" t="s">
        <v>49</v>
      </c>
      <c r="T60" s="4" t="s">
        <v>82</v>
      </c>
      <c r="U60" s="3"/>
      <c r="V60" s="3"/>
      <c r="W60" s="3"/>
      <c r="X60" s="3"/>
      <c r="Y60" s="3"/>
      <c r="Z60" s="3"/>
      <c r="AA60" s="3"/>
      <c r="AB60" s="3" t="s">
        <v>773</v>
      </c>
      <c r="AC60" s="3"/>
      <c r="AD60" s="3"/>
      <c r="AE60" s="4" t="s">
        <v>53</v>
      </c>
    </row>
    <row r="61" customFormat="false" ht="15" hidden="false" customHeight="true" outlineLevel="0" collapsed="false">
      <c r="A61" s="3" t="s">
        <v>774</v>
      </c>
      <c r="B61" s="3" t="s">
        <v>716</v>
      </c>
      <c r="C61" s="3" t="s">
        <v>775</v>
      </c>
      <c r="D61" s="3" t="s">
        <v>124</v>
      </c>
      <c r="E61" s="3" t="s">
        <v>125</v>
      </c>
      <c r="F61" s="4" t="s">
        <v>36</v>
      </c>
      <c r="G61" s="3" t="s">
        <v>776</v>
      </c>
      <c r="H61" s="3" t="s">
        <v>777</v>
      </c>
      <c r="I61" s="3" t="s">
        <v>778</v>
      </c>
      <c r="J61" s="3" t="s">
        <v>779</v>
      </c>
      <c r="K61" s="3" t="s">
        <v>780</v>
      </c>
      <c r="L61" s="3" t="s">
        <v>42</v>
      </c>
      <c r="M61" s="3" t="s">
        <v>781</v>
      </c>
      <c r="N61" s="3" t="s">
        <v>131</v>
      </c>
      <c r="O61" s="4" t="s">
        <v>132</v>
      </c>
      <c r="P61" s="3" t="s">
        <v>79</v>
      </c>
      <c r="Q61" s="3" t="s">
        <v>133</v>
      </c>
      <c r="R61" s="3" t="s">
        <v>134</v>
      </c>
      <c r="S61" s="3" t="s">
        <v>49</v>
      </c>
      <c r="T61" s="4" t="s">
        <v>82</v>
      </c>
      <c r="U61" s="3"/>
      <c r="V61" s="3"/>
      <c r="W61" s="3"/>
      <c r="X61" s="3"/>
      <c r="Y61" s="3"/>
      <c r="Z61" s="3"/>
      <c r="AA61" s="3"/>
      <c r="AB61" s="3" t="s">
        <v>782</v>
      </c>
      <c r="AC61" s="3"/>
      <c r="AD61" s="3"/>
      <c r="AE61" s="4" t="s">
        <v>53</v>
      </c>
    </row>
    <row r="62" customFormat="false" ht="15" hidden="false" customHeight="true" outlineLevel="0" collapsed="false">
      <c r="A62" s="3" t="s">
        <v>783</v>
      </c>
      <c r="B62" s="3" t="s">
        <v>716</v>
      </c>
      <c r="C62" s="3" t="s">
        <v>784</v>
      </c>
      <c r="D62" s="3" t="s">
        <v>273</v>
      </c>
      <c r="E62" s="3" t="s">
        <v>274</v>
      </c>
      <c r="F62" s="4" t="s">
        <v>101</v>
      </c>
      <c r="G62" s="3" t="s">
        <v>785</v>
      </c>
      <c r="H62" s="3" t="s">
        <v>786</v>
      </c>
      <c r="I62" s="3" t="s">
        <v>787</v>
      </c>
      <c r="J62" s="3" t="s">
        <v>788</v>
      </c>
      <c r="K62" s="3" t="s">
        <v>789</v>
      </c>
      <c r="L62" s="3" t="s">
        <v>280</v>
      </c>
      <c r="M62" s="3" t="s">
        <v>385</v>
      </c>
      <c r="N62" s="3" t="s">
        <v>790</v>
      </c>
      <c r="O62" s="4" t="s">
        <v>282</v>
      </c>
      <c r="P62" s="3"/>
      <c r="Q62" s="3" t="s">
        <v>791</v>
      </c>
      <c r="R62" s="3" t="s">
        <v>285</v>
      </c>
      <c r="S62" s="3" t="s">
        <v>286</v>
      </c>
      <c r="T62" s="4" t="s">
        <v>287</v>
      </c>
      <c r="U62" s="3"/>
      <c r="V62" s="3"/>
      <c r="W62" s="3"/>
      <c r="X62" s="3"/>
      <c r="Y62" s="3"/>
      <c r="Z62" s="3"/>
      <c r="AA62" s="3"/>
      <c r="AB62" s="3" t="s">
        <v>792</v>
      </c>
      <c r="AC62" s="3"/>
      <c r="AD62" s="3"/>
      <c r="AE62" s="4" t="s">
        <v>53</v>
      </c>
    </row>
    <row r="63" customFormat="false" ht="15" hidden="false" customHeight="true" outlineLevel="0" collapsed="false">
      <c r="A63" s="3" t="s">
        <v>793</v>
      </c>
      <c r="B63" s="3" t="s">
        <v>716</v>
      </c>
      <c r="C63" s="3" t="s">
        <v>794</v>
      </c>
      <c r="D63" s="3" t="s">
        <v>273</v>
      </c>
      <c r="E63" s="3" t="s">
        <v>274</v>
      </c>
      <c r="F63" s="4" t="s">
        <v>101</v>
      </c>
      <c r="G63" s="3" t="s">
        <v>795</v>
      </c>
      <c r="H63" s="3" t="s">
        <v>796</v>
      </c>
      <c r="I63" s="3" t="s">
        <v>797</v>
      </c>
      <c r="J63" s="3" t="s">
        <v>798</v>
      </c>
      <c r="K63" s="3" t="s">
        <v>799</v>
      </c>
      <c r="L63" s="3" t="s">
        <v>280</v>
      </c>
      <c r="M63" s="3" t="s">
        <v>643</v>
      </c>
      <c r="N63" s="3" t="s">
        <v>800</v>
      </c>
      <c r="O63" s="4" t="s">
        <v>282</v>
      </c>
      <c r="P63" s="3"/>
      <c r="Q63" s="3" t="s">
        <v>801</v>
      </c>
      <c r="R63" s="3" t="s">
        <v>285</v>
      </c>
      <c r="S63" s="3" t="s">
        <v>286</v>
      </c>
      <c r="T63" s="4" t="s">
        <v>82</v>
      </c>
      <c r="U63" s="3"/>
      <c r="V63" s="3"/>
      <c r="W63" s="3"/>
      <c r="X63" s="3"/>
      <c r="Y63" s="3"/>
      <c r="Z63" s="3"/>
      <c r="AA63" s="3"/>
      <c r="AB63" s="3" t="s">
        <v>802</v>
      </c>
      <c r="AC63" s="3"/>
      <c r="AD63" s="3"/>
      <c r="AE63" s="4" t="s">
        <v>53</v>
      </c>
    </row>
    <row r="64" customFormat="false" ht="15" hidden="false" customHeight="true" outlineLevel="0" collapsed="false">
      <c r="A64" s="3" t="s">
        <v>803</v>
      </c>
      <c r="B64" s="3" t="s">
        <v>716</v>
      </c>
      <c r="C64" s="3" t="s">
        <v>804</v>
      </c>
      <c r="D64" s="3" t="s">
        <v>149</v>
      </c>
      <c r="E64" s="3" t="s">
        <v>70</v>
      </c>
      <c r="F64" s="4" t="s">
        <v>101</v>
      </c>
      <c r="G64" s="3" t="s">
        <v>805</v>
      </c>
      <c r="H64" s="3" t="s">
        <v>806</v>
      </c>
      <c r="I64" s="3" t="s">
        <v>807</v>
      </c>
      <c r="J64" s="3" t="s">
        <v>808</v>
      </c>
      <c r="K64" s="3" t="s">
        <v>809</v>
      </c>
      <c r="L64" s="3" t="s">
        <v>155</v>
      </c>
      <c r="M64" s="3" t="s">
        <v>810</v>
      </c>
      <c r="N64" s="3" t="s">
        <v>156</v>
      </c>
      <c r="O64" s="4" t="s">
        <v>132</v>
      </c>
      <c r="P64" s="3" t="s">
        <v>811</v>
      </c>
      <c r="Q64" s="3" t="s">
        <v>351</v>
      </c>
      <c r="R64" s="3" t="s">
        <v>285</v>
      </c>
      <c r="S64" s="3" t="s">
        <v>49</v>
      </c>
      <c r="T64" s="4" t="s">
        <v>82</v>
      </c>
      <c r="U64" s="3"/>
      <c r="V64" s="3"/>
      <c r="W64" s="3"/>
      <c r="X64" s="3"/>
      <c r="Y64" s="3"/>
      <c r="Z64" s="3"/>
      <c r="AA64" s="3"/>
      <c r="AB64" s="3" t="s">
        <v>812</v>
      </c>
      <c r="AC64" s="3"/>
      <c r="AD64" s="3"/>
      <c r="AE64" s="4" t="s">
        <v>53</v>
      </c>
    </row>
    <row r="65" customFormat="false" ht="15" hidden="false" customHeight="true" outlineLevel="0" collapsed="false">
      <c r="A65" s="3" t="s">
        <v>745</v>
      </c>
      <c r="B65" s="3" t="s">
        <v>716</v>
      </c>
      <c r="C65" s="3" t="s">
        <v>813</v>
      </c>
      <c r="D65" s="3" t="s">
        <v>257</v>
      </c>
      <c r="E65" s="3" t="s">
        <v>70</v>
      </c>
      <c r="F65" s="4" t="s">
        <v>101</v>
      </c>
      <c r="G65" s="3" t="s">
        <v>814</v>
      </c>
      <c r="H65" s="3" t="s">
        <v>815</v>
      </c>
      <c r="I65" s="3" t="s">
        <v>816</v>
      </c>
      <c r="J65" s="3" t="s">
        <v>817</v>
      </c>
      <c r="K65" s="3" t="s">
        <v>818</v>
      </c>
      <c r="L65" s="3" t="s">
        <v>76</v>
      </c>
      <c r="M65" s="3" t="s">
        <v>819</v>
      </c>
      <c r="N65" s="3" t="s">
        <v>820</v>
      </c>
      <c r="O65" s="4" t="s">
        <v>423</v>
      </c>
      <c r="P65" s="3"/>
      <c r="Q65" s="3" t="s">
        <v>821</v>
      </c>
      <c r="R65" s="3" t="s">
        <v>822</v>
      </c>
      <c r="S65" s="3" t="s">
        <v>49</v>
      </c>
      <c r="T65" s="4" t="s">
        <v>82</v>
      </c>
      <c r="U65" s="3"/>
      <c r="V65" s="3"/>
      <c r="W65" s="3"/>
      <c r="X65" s="3"/>
      <c r="Y65" s="3"/>
      <c r="Z65" s="3"/>
      <c r="AA65" s="3"/>
      <c r="AB65" s="3" t="s">
        <v>734</v>
      </c>
      <c r="AC65" s="3"/>
      <c r="AD65" s="3" t="s">
        <v>823</v>
      </c>
      <c r="AE65" s="4" t="s">
        <v>53</v>
      </c>
    </row>
    <row r="66" customFormat="false" ht="15" hidden="false" customHeight="true" outlineLevel="0" collapsed="false">
      <c r="A66" s="3" t="s">
        <v>824</v>
      </c>
      <c r="B66" s="3" t="s">
        <v>716</v>
      </c>
      <c r="C66" s="3" t="s">
        <v>825</v>
      </c>
      <c r="D66" s="3" t="s">
        <v>188</v>
      </c>
      <c r="E66" s="3" t="s">
        <v>826</v>
      </c>
      <c r="F66" s="4" t="s">
        <v>36</v>
      </c>
      <c r="G66" s="3" t="s">
        <v>827</v>
      </c>
      <c r="H66" s="3" t="s">
        <v>828</v>
      </c>
      <c r="I66" s="3" t="s">
        <v>829</v>
      </c>
      <c r="J66" s="3" t="s">
        <v>830</v>
      </c>
      <c r="K66" s="3" t="s">
        <v>831</v>
      </c>
      <c r="L66" s="3" t="s">
        <v>195</v>
      </c>
      <c r="M66" s="3" t="s">
        <v>196</v>
      </c>
      <c r="N66" s="3" t="s">
        <v>832</v>
      </c>
      <c r="O66" s="4" t="s">
        <v>833</v>
      </c>
      <c r="P66" s="3" t="s">
        <v>834</v>
      </c>
      <c r="Q66" s="3" t="s">
        <v>835</v>
      </c>
      <c r="R66" s="3" t="s">
        <v>836</v>
      </c>
      <c r="S66" s="3"/>
      <c r="T66" s="4" t="s">
        <v>50</v>
      </c>
      <c r="U66" s="3"/>
      <c r="V66" s="3"/>
      <c r="W66" s="3"/>
      <c r="X66" s="3"/>
      <c r="Y66" s="3"/>
      <c r="Z66" s="3"/>
      <c r="AA66" s="3"/>
      <c r="AB66" s="3" t="s">
        <v>837</v>
      </c>
      <c r="AC66" s="3"/>
      <c r="AD66" s="3" t="s">
        <v>838</v>
      </c>
      <c r="AE66" s="4" t="s">
        <v>53</v>
      </c>
    </row>
    <row r="67" customFormat="false" ht="15" hidden="false" customHeight="true" outlineLevel="0" collapsed="false">
      <c r="A67" s="3" t="s">
        <v>839</v>
      </c>
      <c r="B67" s="3" t="s">
        <v>840</v>
      </c>
      <c r="C67" s="3" t="s">
        <v>841</v>
      </c>
      <c r="D67" s="3" t="s">
        <v>274</v>
      </c>
      <c r="E67" s="3" t="s">
        <v>274</v>
      </c>
      <c r="F67" s="4" t="s">
        <v>842</v>
      </c>
      <c r="G67" s="3" t="s">
        <v>843</v>
      </c>
      <c r="H67" s="3" t="s">
        <v>844</v>
      </c>
      <c r="I67" s="3" t="s">
        <v>845</v>
      </c>
      <c r="J67" s="3" t="s">
        <v>846</v>
      </c>
      <c r="K67" s="3" t="s">
        <v>847</v>
      </c>
      <c r="L67" s="3"/>
      <c r="M67" s="3"/>
      <c r="N67" s="3"/>
      <c r="O67" s="4"/>
      <c r="P67" s="3" t="s">
        <v>848</v>
      </c>
      <c r="Q67" s="3"/>
      <c r="R67" s="3" t="s">
        <v>849</v>
      </c>
      <c r="S67" s="3" t="s">
        <v>286</v>
      </c>
      <c r="T67" s="4" t="s">
        <v>412</v>
      </c>
      <c r="U67" s="3"/>
      <c r="V67" s="3"/>
      <c r="W67" s="3"/>
      <c r="X67" s="3"/>
      <c r="Y67" s="3"/>
      <c r="Z67" s="3"/>
      <c r="AA67" s="3"/>
      <c r="AB67" s="3" t="s">
        <v>850</v>
      </c>
      <c r="AC67" s="3"/>
      <c r="AD67" s="3"/>
      <c r="AE67" s="4" t="s">
        <v>53</v>
      </c>
    </row>
    <row r="68" customFormat="false" ht="15" hidden="false" customHeight="true" outlineLevel="0" collapsed="false">
      <c r="A68" s="3" t="s">
        <v>851</v>
      </c>
      <c r="B68" s="3" t="s">
        <v>840</v>
      </c>
      <c r="C68" s="3" t="s">
        <v>852</v>
      </c>
      <c r="D68" s="3" t="s">
        <v>853</v>
      </c>
      <c r="E68" s="3" t="s">
        <v>189</v>
      </c>
      <c r="F68" s="4" t="s">
        <v>36</v>
      </c>
      <c r="G68" s="3" t="s">
        <v>854</v>
      </c>
      <c r="H68" s="3" t="s">
        <v>855</v>
      </c>
      <c r="I68" s="3" t="s">
        <v>856</v>
      </c>
      <c r="J68" s="3" t="s">
        <v>857</v>
      </c>
      <c r="K68" s="3" t="s">
        <v>858</v>
      </c>
      <c r="L68" s="3"/>
      <c r="M68" s="3"/>
      <c r="N68" s="3"/>
      <c r="O68" s="4"/>
      <c r="P68" s="3" t="s">
        <v>859</v>
      </c>
      <c r="Q68" s="3"/>
      <c r="R68" s="3" t="s">
        <v>860</v>
      </c>
      <c r="S68" s="3" t="s">
        <v>861</v>
      </c>
      <c r="T68" s="4" t="s">
        <v>412</v>
      </c>
      <c r="U68" s="3"/>
      <c r="V68" s="3"/>
      <c r="W68" s="3"/>
      <c r="X68" s="3"/>
      <c r="Y68" s="3"/>
      <c r="Z68" s="3"/>
      <c r="AA68" s="3"/>
      <c r="AB68" s="3" t="s">
        <v>862</v>
      </c>
      <c r="AC68" s="3"/>
      <c r="AD68" s="3"/>
      <c r="AE68" s="4" t="s">
        <v>53</v>
      </c>
    </row>
    <row r="69" customFormat="false" ht="15" hidden="false" customHeight="true" outlineLevel="0" collapsed="false">
      <c r="A69" s="3" t="s">
        <v>863</v>
      </c>
      <c r="B69" s="3" t="s">
        <v>840</v>
      </c>
      <c r="C69" s="3" t="s">
        <v>864</v>
      </c>
      <c r="D69" s="3" t="s">
        <v>853</v>
      </c>
      <c r="E69" s="3" t="s">
        <v>826</v>
      </c>
      <c r="F69" s="4" t="s">
        <v>36</v>
      </c>
      <c r="G69" s="3" t="s">
        <v>865</v>
      </c>
      <c r="H69" s="3" t="s">
        <v>866</v>
      </c>
      <c r="I69" s="3" t="s">
        <v>867</v>
      </c>
      <c r="J69" s="3" t="s">
        <v>868</v>
      </c>
      <c r="K69" s="3" t="s">
        <v>869</v>
      </c>
      <c r="L69" s="3"/>
      <c r="M69" s="3"/>
      <c r="N69" s="3"/>
      <c r="O69" s="4"/>
      <c r="P69" s="3" t="s">
        <v>870</v>
      </c>
      <c r="Q69" s="3"/>
      <c r="R69" s="3" t="s">
        <v>860</v>
      </c>
      <c r="S69" s="3" t="s">
        <v>861</v>
      </c>
      <c r="T69" s="4" t="s">
        <v>412</v>
      </c>
      <c r="U69" s="3"/>
      <c r="V69" s="3"/>
      <c r="W69" s="3"/>
      <c r="X69" s="3"/>
      <c r="Y69" s="3"/>
      <c r="Z69" s="3"/>
      <c r="AA69" s="3"/>
      <c r="AB69" s="3" t="s">
        <v>871</v>
      </c>
      <c r="AC69" s="3"/>
      <c r="AD69" s="3"/>
      <c r="AE69" s="4" t="s">
        <v>53</v>
      </c>
    </row>
    <row r="70" customFormat="false" ht="15" hidden="false" customHeight="true" outlineLevel="0" collapsed="false">
      <c r="A70" s="3" t="s">
        <v>872</v>
      </c>
      <c r="B70" s="3" t="s">
        <v>840</v>
      </c>
      <c r="C70" s="3" t="s">
        <v>873</v>
      </c>
      <c r="D70" s="3" t="s">
        <v>874</v>
      </c>
      <c r="E70" s="3" t="s">
        <v>258</v>
      </c>
      <c r="F70" s="4" t="s">
        <v>36</v>
      </c>
      <c r="G70" s="3" t="s">
        <v>875</v>
      </c>
      <c r="H70" s="3" t="s">
        <v>876</v>
      </c>
      <c r="I70" s="3" t="s">
        <v>877</v>
      </c>
      <c r="J70" s="3" t="s">
        <v>878</v>
      </c>
      <c r="K70" s="3" t="s">
        <v>879</v>
      </c>
      <c r="L70" s="3" t="s">
        <v>348</v>
      </c>
      <c r="M70" s="3"/>
      <c r="N70" s="3"/>
      <c r="O70" s="4"/>
      <c r="P70" s="3" t="s">
        <v>880</v>
      </c>
      <c r="Q70" s="3" t="s">
        <v>351</v>
      </c>
      <c r="R70" s="3" t="s">
        <v>285</v>
      </c>
      <c r="S70" s="3" t="s">
        <v>286</v>
      </c>
      <c r="T70" s="4" t="s">
        <v>412</v>
      </c>
      <c r="U70" s="3"/>
      <c r="V70" s="3"/>
      <c r="W70" s="3"/>
      <c r="X70" s="3"/>
      <c r="Y70" s="3"/>
      <c r="Z70" s="3"/>
      <c r="AA70" s="3"/>
      <c r="AB70" s="3" t="s">
        <v>881</v>
      </c>
      <c r="AC70" s="3"/>
      <c r="AD70" s="3"/>
      <c r="AE70" s="4" t="s">
        <v>53</v>
      </c>
    </row>
    <row r="71" customFormat="false" ht="15" hidden="false" customHeight="true" outlineLevel="0" collapsed="false">
      <c r="A71" s="3" t="s">
        <v>882</v>
      </c>
      <c r="B71" s="3" t="s">
        <v>840</v>
      </c>
      <c r="C71" s="3" t="s">
        <v>883</v>
      </c>
      <c r="D71" s="3" t="s">
        <v>189</v>
      </c>
      <c r="E71" s="3" t="s">
        <v>258</v>
      </c>
      <c r="F71" s="4" t="s">
        <v>36</v>
      </c>
      <c r="G71" s="3" t="s">
        <v>884</v>
      </c>
      <c r="H71" s="3" t="s">
        <v>885</v>
      </c>
      <c r="I71" s="3" t="s">
        <v>886</v>
      </c>
      <c r="J71" s="3" t="s">
        <v>887</v>
      </c>
      <c r="K71" s="3" t="s">
        <v>888</v>
      </c>
      <c r="L71" s="3"/>
      <c r="M71" s="3"/>
      <c r="N71" s="3"/>
      <c r="O71" s="4"/>
      <c r="P71" s="3" t="s">
        <v>889</v>
      </c>
      <c r="Q71" s="3" t="s">
        <v>598</v>
      </c>
      <c r="R71" s="3" t="s">
        <v>285</v>
      </c>
      <c r="S71" s="3" t="s">
        <v>286</v>
      </c>
      <c r="T71" s="4" t="s">
        <v>50</v>
      </c>
      <c r="U71" s="3"/>
      <c r="V71" s="3"/>
      <c r="W71" s="3"/>
      <c r="X71" s="3"/>
      <c r="Y71" s="3"/>
      <c r="Z71" s="3"/>
      <c r="AA71" s="3"/>
      <c r="AB71" s="3" t="s">
        <v>890</v>
      </c>
      <c r="AC71" s="3"/>
      <c r="AD71" s="3"/>
      <c r="AE71" s="4" t="s">
        <v>53</v>
      </c>
    </row>
    <row r="72" customFormat="false" ht="15" hidden="false" customHeight="true" outlineLevel="0" collapsed="false">
      <c r="A72" s="3" t="s">
        <v>891</v>
      </c>
      <c r="B72" s="3" t="s">
        <v>840</v>
      </c>
      <c r="C72" s="3" t="s">
        <v>892</v>
      </c>
      <c r="D72" s="3" t="s">
        <v>189</v>
      </c>
      <c r="E72" s="3" t="s">
        <v>189</v>
      </c>
      <c r="F72" s="4" t="s">
        <v>36</v>
      </c>
      <c r="G72" s="3" t="s">
        <v>893</v>
      </c>
      <c r="H72" s="3" t="s">
        <v>894</v>
      </c>
      <c r="I72" s="3" t="s">
        <v>895</v>
      </c>
      <c r="J72" s="3" t="s">
        <v>896</v>
      </c>
      <c r="K72" s="3" t="s">
        <v>897</v>
      </c>
      <c r="L72" s="3"/>
      <c r="M72" s="3"/>
      <c r="N72" s="3"/>
      <c r="O72" s="4"/>
      <c r="P72" s="3" t="s">
        <v>898</v>
      </c>
      <c r="Q72" s="3" t="s">
        <v>899</v>
      </c>
      <c r="R72" s="3" t="s">
        <v>900</v>
      </c>
      <c r="S72" s="3" t="s">
        <v>861</v>
      </c>
      <c r="T72" s="4" t="s">
        <v>50</v>
      </c>
      <c r="U72" s="3"/>
      <c r="V72" s="3"/>
      <c r="W72" s="3"/>
      <c r="X72" s="3"/>
      <c r="Y72" s="3"/>
      <c r="Z72" s="3"/>
      <c r="AA72" s="3"/>
      <c r="AB72" s="3" t="s">
        <v>901</v>
      </c>
      <c r="AC72" s="3"/>
      <c r="AD72" s="3"/>
      <c r="AE72" s="4" t="s">
        <v>53</v>
      </c>
    </row>
    <row r="73" customFormat="false" ht="15" hidden="false" customHeight="true" outlineLevel="0" collapsed="false">
      <c r="A73" s="3" t="s">
        <v>902</v>
      </c>
      <c r="B73" s="3" t="s">
        <v>840</v>
      </c>
      <c r="C73" s="3" t="s">
        <v>903</v>
      </c>
      <c r="D73" s="3" t="s">
        <v>904</v>
      </c>
      <c r="E73" s="3" t="s">
        <v>189</v>
      </c>
      <c r="F73" s="4" t="s">
        <v>101</v>
      </c>
      <c r="G73" s="3" t="s">
        <v>905</v>
      </c>
      <c r="H73" s="3" t="s">
        <v>906</v>
      </c>
      <c r="I73" s="3" t="s">
        <v>907</v>
      </c>
      <c r="J73" s="3" t="s">
        <v>908</v>
      </c>
      <c r="K73" s="3" t="s">
        <v>909</v>
      </c>
      <c r="L73" s="3" t="s">
        <v>307</v>
      </c>
      <c r="M73" s="3"/>
      <c r="N73" s="3"/>
      <c r="O73" s="4" t="s">
        <v>910</v>
      </c>
      <c r="P73" s="3" t="s">
        <v>911</v>
      </c>
      <c r="Q73" s="3" t="s">
        <v>912</v>
      </c>
      <c r="R73" s="3" t="s">
        <v>913</v>
      </c>
      <c r="S73" s="3" t="s">
        <v>286</v>
      </c>
      <c r="T73" s="4" t="s">
        <v>412</v>
      </c>
      <c r="U73" s="3"/>
      <c r="V73" s="3"/>
      <c r="W73" s="3"/>
      <c r="X73" s="3"/>
      <c r="Y73" s="3"/>
      <c r="Z73" s="3"/>
      <c r="AA73" s="3"/>
      <c r="AB73" s="3" t="s">
        <v>914</v>
      </c>
      <c r="AC73" s="3"/>
      <c r="AD73" s="3"/>
      <c r="AE73" s="4" t="s">
        <v>53</v>
      </c>
    </row>
    <row r="74" customFormat="false" ht="15" hidden="false" customHeight="true" outlineLevel="0" collapsed="false">
      <c r="A74" s="3" t="s">
        <v>915</v>
      </c>
      <c r="B74" s="3" t="s">
        <v>840</v>
      </c>
      <c r="C74" s="3" t="s">
        <v>916</v>
      </c>
      <c r="D74" s="3" t="s">
        <v>273</v>
      </c>
      <c r="E74" s="3" t="s">
        <v>826</v>
      </c>
      <c r="F74" s="4" t="s">
        <v>101</v>
      </c>
      <c r="G74" s="3" t="s">
        <v>917</v>
      </c>
      <c r="H74" s="3" t="s">
        <v>918</v>
      </c>
      <c r="I74" s="3" t="s">
        <v>919</v>
      </c>
      <c r="J74" s="3" t="s">
        <v>920</v>
      </c>
      <c r="K74" s="3" t="s">
        <v>921</v>
      </c>
      <c r="L74" s="3" t="s">
        <v>280</v>
      </c>
      <c r="M74" s="3"/>
      <c r="N74" s="3"/>
      <c r="O74" s="4"/>
      <c r="P74" s="3" t="s">
        <v>870</v>
      </c>
      <c r="Q74" s="3" t="s">
        <v>791</v>
      </c>
      <c r="R74" s="3" t="s">
        <v>860</v>
      </c>
      <c r="S74" s="3" t="s">
        <v>861</v>
      </c>
      <c r="T74" s="4" t="s">
        <v>412</v>
      </c>
      <c r="U74" s="3"/>
      <c r="V74" s="3"/>
      <c r="W74" s="3"/>
      <c r="X74" s="3"/>
      <c r="Y74" s="3"/>
      <c r="Z74" s="3"/>
      <c r="AA74" s="3"/>
      <c r="AB74" s="3" t="s">
        <v>922</v>
      </c>
      <c r="AC74" s="3"/>
      <c r="AD74" s="3"/>
      <c r="AE74" s="4" t="s">
        <v>53</v>
      </c>
    </row>
    <row r="75" customFormat="false" ht="15" hidden="false" customHeight="true" outlineLevel="0" collapsed="false">
      <c r="A75" s="3" t="s">
        <v>923</v>
      </c>
      <c r="B75" s="3" t="s">
        <v>840</v>
      </c>
      <c r="C75" s="3" t="s">
        <v>924</v>
      </c>
      <c r="D75" s="3" t="s">
        <v>273</v>
      </c>
      <c r="E75" s="3" t="s">
        <v>125</v>
      </c>
      <c r="F75" s="4" t="s">
        <v>101</v>
      </c>
      <c r="G75" s="3" t="s">
        <v>925</v>
      </c>
      <c r="H75" s="3" t="s">
        <v>926</v>
      </c>
      <c r="I75" s="3" t="s">
        <v>927</v>
      </c>
      <c r="J75" s="3" t="s">
        <v>928</v>
      </c>
      <c r="K75" s="3" t="s">
        <v>929</v>
      </c>
      <c r="L75" s="3" t="s">
        <v>280</v>
      </c>
      <c r="M75" s="3"/>
      <c r="N75" s="3"/>
      <c r="O75" s="4"/>
      <c r="P75" s="3" t="s">
        <v>930</v>
      </c>
      <c r="Q75" s="3" t="s">
        <v>791</v>
      </c>
      <c r="R75" s="3" t="s">
        <v>285</v>
      </c>
      <c r="S75" s="3" t="s">
        <v>286</v>
      </c>
      <c r="T75" s="4" t="s">
        <v>412</v>
      </c>
      <c r="U75" s="3"/>
      <c r="V75" s="3"/>
      <c r="W75" s="3"/>
      <c r="X75" s="3"/>
      <c r="Y75" s="3"/>
      <c r="Z75" s="3"/>
      <c r="AA75" s="3"/>
      <c r="AB75" s="3" t="s">
        <v>931</v>
      </c>
      <c r="AC75" s="3"/>
      <c r="AD75" s="3"/>
      <c r="AE75" s="4" t="s">
        <v>53</v>
      </c>
    </row>
    <row r="76" customFormat="false" ht="15" hidden="false" customHeight="true" outlineLevel="0" collapsed="false">
      <c r="A76" s="3" t="s">
        <v>932</v>
      </c>
      <c r="B76" s="3" t="s">
        <v>840</v>
      </c>
      <c r="C76" s="3" t="s">
        <v>933</v>
      </c>
      <c r="D76" s="3" t="s">
        <v>853</v>
      </c>
      <c r="E76" s="3" t="s">
        <v>189</v>
      </c>
      <c r="F76" s="4" t="s">
        <v>36</v>
      </c>
      <c r="G76" s="3" t="s">
        <v>934</v>
      </c>
      <c r="H76" s="3" t="s">
        <v>935</v>
      </c>
      <c r="I76" s="3" t="s">
        <v>936</v>
      </c>
      <c r="J76" s="3" t="s">
        <v>937</v>
      </c>
      <c r="K76" s="3" t="s">
        <v>938</v>
      </c>
      <c r="L76" s="3"/>
      <c r="M76" s="3"/>
      <c r="N76" s="3"/>
      <c r="O76" s="4"/>
      <c r="P76" s="3" t="s">
        <v>939</v>
      </c>
      <c r="Q76" s="3" t="s">
        <v>940</v>
      </c>
      <c r="R76" s="3" t="s">
        <v>941</v>
      </c>
      <c r="S76" s="3" t="s">
        <v>861</v>
      </c>
      <c r="T76" s="4" t="s">
        <v>412</v>
      </c>
      <c r="U76" s="3"/>
      <c r="V76" s="3"/>
      <c r="W76" s="3"/>
      <c r="X76" s="3"/>
      <c r="Y76" s="3"/>
      <c r="Z76" s="3"/>
      <c r="AA76" s="3"/>
      <c r="AB76" s="3" t="s">
        <v>942</v>
      </c>
      <c r="AC76" s="3"/>
      <c r="AD76" s="3" t="s">
        <v>943</v>
      </c>
      <c r="AE76" s="4" t="s">
        <v>53</v>
      </c>
    </row>
    <row r="77" customFormat="false" ht="15" hidden="false" customHeight="true" outlineLevel="0" collapsed="false">
      <c r="A77" s="3" t="s">
        <v>944</v>
      </c>
      <c r="B77" s="3" t="s">
        <v>840</v>
      </c>
      <c r="C77" s="3" t="s">
        <v>945</v>
      </c>
      <c r="D77" s="3" t="s">
        <v>853</v>
      </c>
      <c r="E77" s="3" t="s">
        <v>189</v>
      </c>
      <c r="F77" s="4" t="s">
        <v>101</v>
      </c>
      <c r="G77" s="3" t="s">
        <v>946</v>
      </c>
      <c r="H77" s="3" t="s">
        <v>947</v>
      </c>
      <c r="I77" s="3" t="s">
        <v>948</v>
      </c>
      <c r="J77" s="3" t="s">
        <v>949</v>
      </c>
      <c r="K77" s="3" t="s">
        <v>950</v>
      </c>
      <c r="L77" s="3"/>
      <c r="M77" s="3"/>
      <c r="N77" s="3"/>
      <c r="O77" s="4"/>
      <c r="P77" s="3" t="s">
        <v>951</v>
      </c>
      <c r="Q77" s="3" t="s">
        <v>940</v>
      </c>
      <c r="R77" s="3" t="s">
        <v>913</v>
      </c>
      <c r="S77" s="3" t="s">
        <v>286</v>
      </c>
      <c r="T77" s="4" t="s">
        <v>412</v>
      </c>
      <c r="U77" s="3"/>
      <c r="V77" s="3"/>
      <c r="W77" s="3"/>
      <c r="X77" s="3"/>
      <c r="Y77" s="3"/>
      <c r="Z77" s="3"/>
      <c r="AA77" s="3"/>
      <c r="AB77" s="3" t="s">
        <v>952</v>
      </c>
      <c r="AC77" s="3"/>
      <c r="AD77" s="3" t="s">
        <v>953</v>
      </c>
      <c r="AE77" s="4" t="s">
        <v>53</v>
      </c>
    </row>
    <row r="78" customFormat="false" ht="15" hidden="false" customHeight="true" outlineLevel="0" collapsed="false">
      <c r="A78" s="3" t="s">
        <v>954</v>
      </c>
      <c r="B78" s="3" t="s">
        <v>840</v>
      </c>
      <c r="C78" s="3" t="s">
        <v>955</v>
      </c>
      <c r="D78" s="3" t="s">
        <v>273</v>
      </c>
      <c r="E78" s="3" t="s">
        <v>35</v>
      </c>
      <c r="F78" s="4" t="s">
        <v>36</v>
      </c>
      <c r="G78" s="3" t="s">
        <v>956</v>
      </c>
      <c r="H78" s="3" t="s">
        <v>957</v>
      </c>
      <c r="I78" s="3" t="s">
        <v>958</v>
      </c>
      <c r="J78" s="3" t="s">
        <v>959</v>
      </c>
      <c r="K78" s="3" t="s">
        <v>960</v>
      </c>
      <c r="L78" s="3"/>
      <c r="M78" s="3"/>
      <c r="N78" s="3"/>
      <c r="O78" s="4"/>
      <c r="P78" s="3" t="s">
        <v>961</v>
      </c>
      <c r="Q78" s="3" t="s">
        <v>962</v>
      </c>
      <c r="R78" s="3" t="s">
        <v>963</v>
      </c>
      <c r="S78" s="3" t="s">
        <v>286</v>
      </c>
      <c r="T78" s="4" t="s">
        <v>412</v>
      </c>
      <c r="U78" s="3"/>
      <c r="V78" s="3"/>
      <c r="W78" s="3"/>
      <c r="X78" s="3"/>
      <c r="Y78" s="3"/>
      <c r="Z78" s="3"/>
      <c r="AA78" s="3"/>
      <c r="AB78" s="3" t="s">
        <v>964</v>
      </c>
      <c r="AC78" s="3"/>
      <c r="AD78" s="3" t="s">
        <v>965</v>
      </c>
      <c r="AE78" s="4" t="s">
        <v>53</v>
      </c>
    </row>
    <row r="79" customFormat="false" ht="15" hidden="false" customHeight="true" outlineLevel="0" collapsed="false">
      <c r="A79" s="3" t="s">
        <v>966</v>
      </c>
      <c r="B79" s="3" t="s">
        <v>840</v>
      </c>
      <c r="C79" s="3" t="s">
        <v>967</v>
      </c>
      <c r="D79" s="3" t="s">
        <v>124</v>
      </c>
      <c r="E79" s="3" t="s">
        <v>316</v>
      </c>
      <c r="F79" s="4" t="s">
        <v>36</v>
      </c>
      <c r="G79" s="3" t="s">
        <v>968</v>
      </c>
      <c r="H79" s="3" t="s">
        <v>969</v>
      </c>
      <c r="I79" s="3" t="s">
        <v>970</v>
      </c>
      <c r="J79" s="3" t="s">
        <v>971</v>
      </c>
      <c r="K79" s="3" t="s">
        <v>972</v>
      </c>
      <c r="L79" s="3"/>
      <c r="M79" s="3"/>
      <c r="N79" s="3"/>
      <c r="O79" s="4"/>
      <c r="P79" s="3" t="s">
        <v>973</v>
      </c>
      <c r="Q79" s="3" t="s">
        <v>974</v>
      </c>
      <c r="R79" s="3" t="s">
        <v>975</v>
      </c>
      <c r="S79" s="3" t="s">
        <v>286</v>
      </c>
      <c r="T79" s="4" t="s">
        <v>326</v>
      </c>
      <c r="U79" s="3"/>
      <c r="V79" s="3"/>
      <c r="W79" s="3"/>
      <c r="X79" s="3"/>
      <c r="Y79" s="3"/>
      <c r="Z79" s="3"/>
      <c r="AA79" s="3"/>
      <c r="AB79" s="3" t="s">
        <v>976</v>
      </c>
      <c r="AC79" s="3"/>
      <c r="AD79" s="3" t="s">
        <v>977</v>
      </c>
      <c r="AE79" s="4" t="s">
        <v>53</v>
      </c>
    </row>
    <row r="80" customFormat="false" ht="15" hidden="false" customHeight="true" outlineLevel="0" collapsed="false">
      <c r="A80" s="3" t="s">
        <v>978</v>
      </c>
      <c r="B80" s="3" t="s">
        <v>840</v>
      </c>
      <c r="C80" s="3" t="s">
        <v>979</v>
      </c>
      <c r="D80" s="3" t="s">
        <v>273</v>
      </c>
      <c r="E80" s="3" t="s">
        <v>258</v>
      </c>
      <c r="F80" s="4" t="s">
        <v>36</v>
      </c>
      <c r="G80" s="3" t="s">
        <v>980</v>
      </c>
      <c r="H80" s="3" t="s">
        <v>981</v>
      </c>
      <c r="I80" s="3" t="s">
        <v>982</v>
      </c>
      <c r="J80" s="3" t="s">
        <v>983</v>
      </c>
      <c r="K80" s="3" t="s">
        <v>984</v>
      </c>
      <c r="L80" s="3" t="s">
        <v>280</v>
      </c>
      <c r="M80" s="3"/>
      <c r="N80" s="3"/>
      <c r="O80" s="4"/>
      <c r="P80" s="3" t="s">
        <v>985</v>
      </c>
      <c r="Q80" s="3" t="s">
        <v>986</v>
      </c>
      <c r="R80" s="3" t="s">
        <v>285</v>
      </c>
      <c r="S80" s="3" t="s">
        <v>286</v>
      </c>
      <c r="T80" s="4" t="s">
        <v>412</v>
      </c>
      <c r="U80" s="3"/>
      <c r="V80" s="3"/>
      <c r="W80" s="3"/>
      <c r="X80" s="3"/>
      <c r="Y80" s="3"/>
      <c r="Z80" s="3"/>
      <c r="AA80" s="3"/>
      <c r="AB80" s="3" t="s">
        <v>987</v>
      </c>
      <c r="AC80" s="3"/>
      <c r="AD80" s="3" t="s">
        <v>988</v>
      </c>
      <c r="AE80" s="4" t="s">
        <v>53</v>
      </c>
    </row>
    <row r="81" customFormat="false" ht="15" hidden="false" customHeight="true" outlineLevel="0" collapsed="false">
      <c r="A81" s="3" t="s">
        <v>989</v>
      </c>
      <c r="B81" s="3" t="s">
        <v>840</v>
      </c>
      <c r="C81" s="3" t="s">
        <v>990</v>
      </c>
      <c r="D81" s="3" t="s">
        <v>991</v>
      </c>
      <c r="E81" s="3" t="s">
        <v>826</v>
      </c>
      <c r="F81" s="4" t="s">
        <v>36</v>
      </c>
      <c r="G81" s="3" t="s">
        <v>992</v>
      </c>
      <c r="H81" s="3" t="s">
        <v>993</v>
      </c>
      <c r="I81" s="3" t="s">
        <v>994</v>
      </c>
      <c r="J81" s="3" t="s">
        <v>995</v>
      </c>
      <c r="K81" s="3" t="s">
        <v>996</v>
      </c>
      <c r="L81" s="3"/>
      <c r="M81" s="3"/>
      <c r="N81" s="3"/>
      <c r="O81" s="4"/>
      <c r="P81" s="3" t="s">
        <v>997</v>
      </c>
      <c r="Q81" s="3" t="s">
        <v>998</v>
      </c>
      <c r="R81" s="3" t="s">
        <v>999</v>
      </c>
      <c r="S81" s="3" t="s">
        <v>1000</v>
      </c>
      <c r="T81" s="4" t="s">
        <v>412</v>
      </c>
      <c r="U81" s="3"/>
      <c r="V81" s="3"/>
      <c r="W81" s="3"/>
      <c r="X81" s="3"/>
      <c r="Y81" s="3"/>
      <c r="Z81" s="3"/>
      <c r="AA81" s="3"/>
      <c r="AB81" s="3" t="s">
        <v>1001</v>
      </c>
      <c r="AC81" s="3" t="s">
        <v>1002</v>
      </c>
      <c r="AD81" s="3" t="s">
        <v>1003</v>
      </c>
      <c r="AE81" s="4" t="s">
        <v>53</v>
      </c>
    </row>
    <row r="82" customFormat="false" ht="15" hidden="false" customHeight="true" outlineLevel="0" collapsed="false">
      <c r="A82" s="3" t="s">
        <v>1004</v>
      </c>
      <c r="B82" s="3" t="s">
        <v>840</v>
      </c>
      <c r="C82" s="3" t="s">
        <v>1005</v>
      </c>
      <c r="D82" s="3" t="s">
        <v>991</v>
      </c>
      <c r="E82" s="3" t="s">
        <v>1006</v>
      </c>
      <c r="F82" s="4" t="s">
        <v>101</v>
      </c>
      <c r="G82" s="3" t="s">
        <v>1007</v>
      </c>
      <c r="H82" s="3" t="s">
        <v>1008</v>
      </c>
      <c r="I82" s="3" t="s">
        <v>1009</v>
      </c>
      <c r="J82" s="3" t="s">
        <v>1010</v>
      </c>
      <c r="K82" s="3" t="s">
        <v>1011</v>
      </c>
      <c r="L82" s="3"/>
      <c r="M82" s="3"/>
      <c r="N82" s="3"/>
      <c r="O82" s="4"/>
      <c r="P82" s="3" t="s">
        <v>1012</v>
      </c>
      <c r="Q82" s="3" t="s">
        <v>998</v>
      </c>
      <c r="R82" s="3" t="s">
        <v>999</v>
      </c>
      <c r="S82" s="3" t="s">
        <v>1000</v>
      </c>
      <c r="T82" s="4" t="s">
        <v>412</v>
      </c>
      <c r="U82" s="3"/>
      <c r="V82" s="3"/>
      <c r="W82" s="3"/>
      <c r="X82" s="3"/>
      <c r="Y82" s="3"/>
      <c r="Z82" s="3"/>
      <c r="AA82" s="3"/>
      <c r="AB82" s="3" t="s">
        <v>989</v>
      </c>
      <c r="AC82" s="3"/>
      <c r="AD82" s="3" t="s">
        <v>1013</v>
      </c>
      <c r="AE82" s="4" t="s">
        <v>53</v>
      </c>
    </row>
    <row r="83" customFormat="false" ht="15" hidden="false" customHeight="true" outlineLevel="0" collapsed="false">
      <c r="A83" s="3" t="s">
        <v>1014</v>
      </c>
      <c r="B83" s="3" t="s">
        <v>840</v>
      </c>
      <c r="C83" s="3" t="s">
        <v>1015</v>
      </c>
      <c r="D83" s="3" t="s">
        <v>273</v>
      </c>
      <c r="E83" s="3" t="s">
        <v>826</v>
      </c>
      <c r="F83" s="4" t="s">
        <v>101</v>
      </c>
      <c r="G83" s="3" t="s">
        <v>1016</v>
      </c>
      <c r="H83" s="3" t="s">
        <v>1017</v>
      </c>
      <c r="I83" s="3" t="s">
        <v>1018</v>
      </c>
      <c r="J83" s="3" t="s">
        <v>1019</v>
      </c>
      <c r="K83" s="3" t="s">
        <v>1020</v>
      </c>
      <c r="L83" s="3"/>
      <c r="M83" s="3"/>
      <c r="N83" s="3"/>
      <c r="O83" s="4"/>
      <c r="P83" s="3" t="s">
        <v>1021</v>
      </c>
      <c r="Q83" s="3" t="s">
        <v>1022</v>
      </c>
      <c r="R83" s="3" t="s">
        <v>285</v>
      </c>
      <c r="S83" s="3" t="s">
        <v>599</v>
      </c>
      <c r="T83" s="4" t="s">
        <v>412</v>
      </c>
      <c r="U83" s="3"/>
      <c r="V83" s="3"/>
      <c r="W83" s="3"/>
      <c r="X83" s="3"/>
      <c r="Y83" s="3"/>
      <c r="Z83" s="3"/>
      <c r="AA83" s="3"/>
      <c r="AB83" s="3" t="s">
        <v>1023</v>
      </c>
      <c r="AC83" s="3"/>
      <c r="AD83" s="3" t="s">
        <v>1024</v>
      </c>
      <c r="AE83" s="4" t="s">
        <v>53</v>
      </c>
    </row>
    <row r="84" customFormat="false" ht="15" hidden="false" customHeight="true" outlineLevel="0" collapsed="false">
      <c r="A84" s="3" t="s">
        <v>1025</v>
      </c>
      <c r="B84" s="3" t="s">
        <v>840</v>
      </c>
      <c r="C84" s="3" t="s">
        <v>1026</v>
      </c>
      <c r="D84" s="3" t="s">
        <v>273</v>
      </c>
      <c r="E84" s="3" t="s">
        <v>258</v>
      </c>
      <c r="F84" s="4" t="s">
        <v>101</v>
      </c>
      <c r="G84" s="3" t="s">
        <v>1027</v>
      </c>
      <c r="H84" s="3" t="s">
        <v>1028</v>
      </c>
      <c r="I84" s="3" t="s">
        <v>1029</v>
      </c>
      <c r="J84" s="3" t="s">
        <v>1030</v>
      </c>
      <c r="K84" s="3" t="s">
        <v>1031</v>
      </c>
      <c r="L84" s="3" t="s">
        <v>1032</v>
      </c>
      <c r="M84" s="3"/>
      <c r="N84" s="3"/>
      <c r="O84" s="4"/>
      <c r="P84" s="3" t="s">
        <v>1033</v>
      </c>
      <c r="Q84" s="3" t="s">
        <v>1034</v>
      </c>
      <c r="R84" s="3" t="s">
        <v>285</v>
      </c>
      <c r="S84" s="3" t="s">
        <v>286</v>
      </c>
      <c r="T84" s="4" t="s">
        <v>412</v>
      </c>
      <c r="U84" s="3"/>
      <c r="V84" s="3"/>
      <c r="W84" s="3"/>
      <c r="X84" s="3"/>
      <c r="Y84" s="3"/>
      <c r="Z84" s="3"/>
      <c r="AA84" s="3"/>
      <c r="AB84" s="3" t="s">
        <v>1035</v>
      </c>
      <c r="AC84" s="3"/>
      <c r="AD84" s="3" t="s">
        <v>1036</v>
      </c>
      <c r="AE84" s="4" t="s">
        <v>53</v>
      </c>
    </row>
    <row r="85" customFormat="false" ht="15" hidden="false" customHeight="true" outlineLevel="0" collapsed="false">
      <c r="A85" s="3" t="s">
        <v>1037</v>
      </c>
      <c r="B85" s="3" t="s">
        <v>840</v>
      </c>
      <c r="C85" s="3" t="s">
        <v>1038</v>
      </c>
      <c r="D85" s="3" t="s">
        <v>273</v>
      </c>
      <c r="E85" s="3" t="s">
        <v>189</v>
      </c>
      <c r="F85" s="4" t="s">
        <v>101</v>
      </c>
      <c r="G85" s="3" t="s">
        <v>1039</v>
      </c>
      <c r="H85" s="3" t="s">
        <v>1040</v>
      </c>
      <c r="I85" s="3" t="s">
        <v>1041</v>
      </c>
      <c r="J85" s="3" t="s">
        <v>1042</v>
      </c>
      <c r="K85" s="3" t="s">
        <v>1043</v>
      </c>
      <c r="L85" s="3"/>
      <c r="M85" s="3"/>
      <c r="N85" s="3"/>
      <c r="O85" s="4"/>
      <c r="P85" s="3" t="s">
        <v>1044</v>
      </c>
      <c r="Q85" s="3" t="s">
        <v>1045</v>
      </c>
      <c r="R85" s="3" t="s">
        <v>285</v>
      </c>
      <c r="S85" s="3" t="s">
        <v>286</v>
      </c>
      <c r="T85" s="4" t="s">
        <v>412</v>
      </c>
      <c r="U85" s="3"/>
      <c r="V85" s="3"/>
      <c r="W85" s="3"/>
      <c r="X85" s="3"/>
      <c r="Y85" s="3"/>
      <c r="Z85" s="3"/>
      <c r="AA85" s="3"/>
      <c r="AB85" s="3" t="s">
        <v>1046</v>
      </c>
      <c r="AC85" s="3"/>
      <c r="AD85" s="3" t="s">
        <v>1047</v>
      </c>
      <c r="AE85" s="4" t="s">
        <v>53</v>
      </c>
    </row>
    <row r="86" customFormat="false" ht="15" hidden="false" customHeight="true" outlineLevel="0" collapsed="false">
      <c r="A86" s="3" t="s">
        <v>1048</v>
      </c>
      <c r="B86" s="3" t="s">
        <v>840</v>
      </c>
      <c r="C86" s="3" t="s">
        <v>1049</v>
      </c>
      <c r="D86" s="3" t="s">
        <v>273</v>
      </c>
      <c r="E86" s="3" t="s">
        <v>258</v>
      </c>
      <c r="F86" s="4" t="s">
        <v>101</v>
      </c>
      <c r="G86" s="3" t="s">
        <v>1050</v>
      </c>
      <c r="H86" s="3" t="s">
        <v>1051</v>
      </c>
      <c r="I86" s="3" t="s">
        <v>1052</v>
      </c>
      <c r="J86" s="3" t="s">
        <v>1053</v>
      </c>
      <c r="K86" s="3" t="s">
        <v>1054</v>
      </c>
      <c r="L86" s="3"/>
      <c r="M86" s="3"/>
      <c r="N86" s="3"/>
      <c r="O86" s="4"/>
      <c r="P86" s="3" t="s">
        <v>1055</v>
      </c>
      <c r="Q86" s="3" t="s">
        <v>1056</v>
      </c>
      <c r="R86" s="3" t="s">
        <v>285</v>
      </c>
      <c r="S86" s="3"/>
      <c r="T86" s="4" t="s">
        <v>412</v>
      </c>
      <c r="U86" s="3"/>
      <c r="V86" s="3"/>
      <c r="W86" s="3"/>
      <c r="X86" s="3"/>
      <c r="Y86" s="3"/>
      <c r="Z86" s="3"/>
      <c r="AA86" s="3"/>
      <c r="AB86" s="3" t="s">
        <v>1057</v>
      </c>
      <c r="AC86" s="3"/>
      <c r="AD86" s="3" t="s">
        <v>1058</v>
      </c>
      <c r="AE86" s="4" t="s">
        <v>53</v>
      </c>
    </row>
    <row r="87" customFormat="false" ht="15" hidden="false" customHeight="true" outlineLevel="0" collapsed="false">
      <c r="A87" s="3" t="s">
        <v>1059</v>
      </c>
      <c r="B87" s="3" t="s">
        <v>840</v>
      </c>
      <c r="C87" s="3" t="s">
        <v>1060</v>
      </c>
      <c r="D87" s="3" t="s">
        <v>342</v>
      </c>
      <c r="E87" s="3" t="s">
        <v>258</v>
      </c>
      <c r="F87" s="4" t="s">
        <v>36</v>
      </c>
      <c r="G87" s="3" t="s">
        <v>1061</v>
      </c>
      <c r="H87" s="3" t="s">
        <v>1062</v>
      </c>
      <c r="I87" s="3" t="s">
        <v>1063</v>
      </c>
      <c r="J87" s="3" t="s">
        <v>1064</v>
      </c>
      <c r="K87" s="3" t="s">
        <v>1065</v>
      </c>
      <c r="L87" s="3" t="s">
        <v>348</v>
      </c>
      <c r="M87" s="3"/>
      <c r="N87" s="3"/>
      <c r="O87" s="4"/>
      <c r="P87" s="3" t="s">
        <v>1066</v>
      </c>
      <c r="Q87" s="3" t="s">
        <v>351</v>
      </c>
      <c r="R87" s="3" t="s">
        <v>285</v>
      </c>
      <c r="S87" s="3" t="s">
        <v>1067</v>
      </c>
      <c r="T87" s="4" t="s">
        <v>675</v>
      </c>
      <c r="U87" s="3"/>
      <c r="V87" s="3"/>
      <c r="W87" s="3"/>
      <c r="X87" s="3"/>
      <c r="Y87" s="3"/>
      <c r="Z87" s="3"/>
      <c r="AA87" s="3"/>
      <c r="AB87" s="3" t="s">
        <v>1068</v>
      </c>
      <c r="AC87" s="3"/>
      <c r="AD87" s="3" t="s">
        <v>1069</v>
      </c>
      <c r="AE87" s="4" t="s">
        <v>53</v>
      </c>
    </row>
    <row r="88" customFormat="false" ht="15" hidden="false" customHeight="true" outlineLevel="0" collapsed="false">
      <c r="A88" s="3" t="s">
        <v>1070</v>
      </c>
      <c r="B88" s="3" t="s">
        <v>840</v>
      </c>
      <c r="C88" s="3" t="s">
        <v>1071</v>
      </c>
      <c r="D88" s="3" t="s">
        <v>273</v>
      </c>
      <c r="E88" s="3" t="s">
        <v>35</v>
      </c>
      <c r="F88" s="4" t="s">
        <v>36</v>
      </c>
      <c r="G88" s="3" t="s">
        <v>1072</v>
      </c>
      <c r="H88" s="3" t="s">
        <v>1073</v>
      </c>
      <c r="I88" s="3" t="s">
        <v>1074</v>
      </c>
      <c r="J88" s="3" t="s">
        <v>1075</v>
      </c>
      <c r="K88" s="3" t="s">
        <v>1076</v>
      </c>
      <c r="L88" s="3"/>
      <c r="M88" s="3"/>
      <c r="N88" s="3"/>
      <c r="O88" s="4"/>
      <c r="P88" s="3" t="s">
        <v>1077</v>
      </c>
      <c r="Q88" s="3" t="s">
        <v>410</v>
      </c>
      <c r="R88" s="3" t="s">
        <v>285</v>
      </c>
      <c r="S88" s="3"/>
      <c r="T88" s="4" t="s">
        <v>287</v>
      </c>
      <c r="U88" s="3"/>
      <c r="V88" s="3"/>
      <c r="W88" s="3"/>
      <c r="X88" s="3"/>
      <c r="Y88" s="3"/>
      <c r="Z88" s="3"/>
      <c r="AA88" s="3"/>
      <c r="AB88" s="3" t="s">
        <v>1078</v>
      </c>
      <c r="AC88" s="3"/>
      <c r="AD88" s="3" t="s">
        <v>1079</v>
      </c>
      <c r="AE88" s="4" t="s">
        <v>53</v>
      </c>
    </row>
    <row r="89" customFormat="false" ht="15" hidden="false" customHeight="true" outlineLevel="0" collapsed="false">
      <c r="A89" s="3" t="s">
        <v>1080</v>
      </c>
      <c r="B89" s="3" t="s">
        <v>840</v>
      </c>
      <c r="C89" s="3" t="s">
        <v>1081</v>
      </c>
      <c r="D89" s="3" t="s">
        <v>273</v>
      </c>
      <c r="E89" s="3" t="s">
        <v>7</v>
      </c>
      <c r="F89" s="4" t="s">
        <v>36</v>
      </c>
      <c r="G89" s="3" t="s">
        <v>1082</v>
      </c>
      <c r="H89" s="3" t="s">
        <v>1083</v>
      </c>
      <c r="I89" s="3" t="s">
        <v>1084</v>
      </c>
      <c r="J89" s="3" t="s">
        <v>1085</v>
      </c>
      <c r="K89" s="3" t="s">
        <v>1086</v>
      </c>
      <c r="L89" s="3"/>
      <c r="M89" s="3"/>
      <c r="N89" s="3"/>
      <c r="O89" s="4"/>
      <c r="P89" s="3" t="s">
        <v>1087</v>
      </c>
      <c r="Q89" s="3" t="s">
        <v>410</v>
      </c>
      <c r="R89" s="3" t="s">
        <v>285</v>
      </c>
      <c r="S89" s="3"/>
      <c r="T89" s="4" t="s">
        <v>675</v>
      </c>
      <c r="U89" s="3"/>
      <c r="V89" s="3"/>
      <c r="W89" s="3"/>
      <c r="X89" s="3"/>
      <c r="Y89" s="3"/>
      <c r="Z89" s="3"/>
      <c r="AA89" s="3"/>
      <c r="AB89" s="3" t="s">
        <v>1088</v>
      </c>
      <c r="AC89" s="3"/>
      <c r="AD89" s="3" t="s">
        <v>1089</v>
      </c>
      <c r="AE89" s="4" t="s">
        <v>53</v>
      </c>
    </row>
    <row r="90" customFormat="false" ht="15" hidden="false" customHeight="true" outlineLevel="0" collapsed="false">
      <c r="A90" s="3" t="s">
        <v>1090</v>
      </c>
      <c r="B90" s="3" t="s">
        <v>1091</v>
      </c>
      <c r="C90" s="3" t="s">
        <v>1092</v>
      </c>
      <c r="D90" s="3" t="s">
        <v>274</v>
      </c>
      <c r="E90" s="3" t="s">
        <v>274</v>
      </c>
      <c r="F90" s="4" t="s">
        <v>842</v>
      </c>
      <c r="G90" s="3" t="s">
        <v>1093</v>
      </c>
      <c r="H90" s="3" t="s">
        <v>1094</v>
      </c>
      <c r="I90" s="3" t="s">
        <v>1095</v>
      </c>
      <c r="J90" s="3" t="s">
        <v>1096</v>
      </c>
      <c r="K90" s="3" t="s">
        <v>1097</v>
      </c>
      <c r="L90" s="3"/>
      <c r="M90" s="3"/>
      <c r="N90" s="3" t="s">
        <v>1098</v>
      </c>
      <c r="O90" s="4"/>
      <c r="P90" s="3" t="s">
        <v>1099</v>
      </c>
      <c r="Q90" s="3"/>
      <c r="R90" s="3" t="s">
        <v>411</v>
      </c>
      <c r="S90" s="3" t="s">
        <v>286</v>
      </c>
      <c r="T90" s="4" t="s">
        <v>412</v>
      </c>
      <c r="U90" s="3"/>
      <c r="V90" s="3"/>
      <c r="W90" s="3"/>
      <c r="X90" s="3"/>
      <c r="Y90" s="3"/>
      <c r="Z90" s="3"/>
      <c r="AA90" s="3"/>
      <c r="AB90" s="3" t="s">
        <v>1100</v>
      </c>
      <c r="AC90" s="3"/>
      <c r="AD90" s="3" t="s">
        <v>1101</v>
      </c>
      <c r="AE90" s="4" t="s">
        <v>53</v>
      </c>
    </row>
    <row r="91" customFormat="false" ht="15" hidden="false" customHeight="true" outlineLevel="0" collapsed="false">
      <c r="A91" s="3" t="s">
        <v>1102</v>
      </c>
      <c r="B91" s="3" t="s">
        <v>1091</v>
      </c>
      <c r="C91" s="3" t="s">
        <v>1103</v>
      </c>
      <c r="D91" s="3" t="s">
        <v>273</v>
      </c>
      <c r="E91" s="3" t="s">
        <v>258</v>
      </c>
      <c r="F91" s="4" t="s">
        <v>36</v>
      </c>
      <c r="G91" s="3" t="s">
        <v>1104</v>
      </c>
      <c r="H91" s="3" t="s">
        <v>1105</v>
      </c>
      <c r="I91" s="3" t="s">
        <v>1106</v>
      </c>
      <c r="J91" s="3" t="s">
        <v>1107</v>
      </c>
      <c r="K91" s="3" t="s">
        <v>1108</v>
      </c>
      <c r="L91" s="3" t="s">
        <v>280</v>
      </c>
      <c r="M91" s="3"/>
      <c r="N91" s="3"/>
      <c r="O91" s="4"/>
      <c r="P91" s="3" t="s">
        <v>1109</v>
      </c>
      <c r="Q91" s="3" t="s">
        <v>1110</v>
      </c>
      <c r="R91" s="3" t="s">
        <v>285</v>
      </c>
      <c r="S91" s="3" t="s">
        <v>286</v>
      </c>
      <c r="T91" s="4" t="s">
        <v>412</v>
      </c>
      <c r="U91" s="3"/>
      <c r="V91" s="3"/>
      <c r="W91" s="3"/>
      <c r="X91" s="3"/>
      <c r="Y91" s="3"/>
      <c r="Z91" s="3"/>
      <c r="AA91" s="3"/>
      <c r="AB91" s="3" t="s">
        <v>1111</v>
      </c>
      <c r="AC91" s="3"/>
      <c r="AD91" s="3" t="s">
        <v>1112</v>
      </c>
      <c r="AE91" s="4" t="s">
        <v>53</v>
      </c>
    </row>
    <row r="92" customFormat="false" ht="15" hidden="false" customHeight="true" outlineLevel="0" collapsed="false">
      <c r="A92" s="3" t="s">
        <v>1113</v>
      </c>
      <c r="B92" s="3" t="s">
        <v>1091</v>
      </c>
      <c r="C92" s="3" t="s">
        <v>1114</v>
      </c>
      <c r="D92" s="3" t="s">
        <v>273</v>
      </c>
      <c r="E92" s="3" t="s">
        <v>258</v>
      </c>
      <c r="F92" s="4" t="s">
        <v>101</v>
      </c>
      <c r="G92" s="3" t="s">
        <v>1115</v>
      </c>
      <c r="H92" s="3" t="s">
        <v>1116</v>
      </c>
      <c r="I92" s="3" t="s">
        <v>1117</v>
      </c>
      <c r="J92" s="3" t="s">
        <v>1118</v>
      </c>
      <c r="K92" s="3" t="s">
        <v>1119</v>
      </c>
      <c r="L92" s="3"/>
      <c r="M92" s="3"/>
      <c r="N92" s="3"/>
      <c r="O92" s="4"/>
      <c r="P92" s="3" t="s">
        <v>1120</v>
      </c>
      <c r="Q92" s="3" t="s">
        <v>1121</v>
      </c>
      <c r="R92" s="3" t="s">
        <v>1122</v>
      </c>
      <c r="S92" s="3"/>
      <c r="T92" s="4" t="s">
        <v>412</v>
      </c>
      <c r="U92" s="3"/>
      <c r="V92" s="3"/>
      <c r="W92" s="3"/>
      <c r="X92" s="3"/>
      <c r="Y92" s="3"/>
      <c r="Z92" s="3"/>
      <c r="AA92" s="3"/>
      <c r="AB92" s="3" t="s">
        <v>1123</v>
      </c>
      <c r="AC92" s="3" t="s">
        <v>1124</v>
      </c>
      <c r="AD92" s="3" t="s">
        <v>1125</v>
      </c>
      <c r="AE92" s="4" t="s">
        <v>53</v>
      </c>
    </row>
    <row r="93" customFormat="false" ht="15" hidden="false" customHeight="true" outlineLevel="0" collapsed="false">
      <c r="A93" s="3" t="s">
        <v>413</v>
      </c>
      <c r="B93" s="3" t="s">
        <v>1091</v>
      </c>
      <c r="C93" s="3" t="s">
        <v>1126</v>
      </c>
      <c r="D93" s="3" t="s">
        <v>273</v>
      </c>
      <c r="E93" s="3" t="s">
        <v>274</v>
      </c>
      <c r="F93" s="4" t="s">
        <v>259</v>
      </c>
      <c r="G93" s="3" t="s">
        <v>1127</v>
      </c>
      <c r="H93" s="3" t="s">
        <v>1128</v>
      </c>
      <c r="I93" s="3" t="s">
        <v>1129</v>
      </c>
      <c r="J93" s="3" t="s">
        <v>1130</v>
      </c>
      <c r="K93" s="3" t="s">
        <v>1131</v>
      </c>
      <c r="L93" s="3"/>
      <c r="M93" s="3"/>
      <c r="N93" s="3" t="s">
        <v>1132</v>
      </c>
      <c r="O93" s="4"/>
      <c r="P93" s="3" t="s">
        <v>1133</v>
      </c>
      <c r="Q93" s="3" t="s">
        <v>1134</v>
      </c>
      <c r="R93" s="3" t="s">
        <v>411</v>
      </c>
      <c r="S93" s="3" t="s">
        <v>286</v>
      </c>
      <c r="T93" s="4" t="s">
        <v>412</v>
      </c>
      <c r="U93" s="3"/>
      <c r="V93" s="3"/>
      <c r="W93" s="3"/>
      <c r="X93" s="3"/>
      <c r="Y93" s="3"/>
      <c r="Z93" s="3"/>
      <c r="AA93" s="3"/>
      <c r="AB93" s="3" t="s">
        <v>401</v>
      </c>
      <c r="AC93" s="3"/>
      <c r="AD93" s="3" t="s">
        <v>1125</v>
      </c>
      <c r="AE93" s="4" t="s">
        <v>53</v>
      </c>
    </row>
    <row r="94" customFormat="false" ht="15" hidden="false" customHeight="true" outlineLevel="0" collapsed="false">
      <c r="A94" s="3" t="s">
        <v>1135</v>
      </c>
      <c r="B94" s="3" t="s">
        <v>1091</v>
      </c>
      <c r="C94" s="3" t="s">
        <v>1136</v>
      </c>
      <c r="D94" s="3" t="s">
        <v>188</v>
      </c>
      <c r="E94" s="3" t="s">
        <v>258</v>
      </c>
      <c r="F94" s="4" t="s">
        <v>36</v>
      </c>
      <c r="G94" s="3" t="s">
        <v>1137</v>
      </c>
      <c r="H94" s="3" t="s">
        <v>1138</v>
      </c>
      <c r="I94" s="3" t="s">
        <v>1139</v>
      </c>
      <c r="J94" s="3" t="s">
        <v>1140</v>
      </c>
      <c r="K94" s="3" t="s">
        <v>1141</v>
      </c>
      <c r="L94" s="3"/>
      <c r="M94" s="3"/>
      <c r="N94" s="3"/>
      <c r="O94" s="4"/>
      <c r="P94" s="3" t="s">
        <v>1142</v>
      </c>
      <c r="Q94" s="3" t="s">
        <v>1143</v>
      </c>
      <c r="R94" s="3" t="s">
        <v>285</v>
      </c>
      <c r="S94" s="3" t="s">
        <v>1067</v>
      </c>
      <c r="T94" s="4" t="s">
        <v>412</v>
      </c>
      <c r="U94" s="3"/>
      <c r="V94" s="3"/>
      <c r="W94" s="3"/>
      <c r="X94" s="3"/>
      <c r="Y94" s="3"/>
      <c r="Z94" s="3"/>
      <c r="AA94" s="3"/>
      <c r="AB94" s="3" t="s">
        <v>1144</v>
      </c>
      <c r="AC94" s="3" t="s">
        <v>1145</v>
      </c>
      <c r="AD94" s="3" t="s">
        <v>1146</v>
      </c>
      <c r="AE94" s="4" t="s">
        <v>53</v>
      </c>
    </row>
    <row r="95" customFormat="false" ht="15" hidden="false" customHeight="true" outlineLevel="0" collapsed="false">
      <c r="A95" s="3" t="s">
        <v>1147</v>
      </c>
      <c r="B95" s="3" t="s">
        <v>1091</v>
      </c>
      <c r="C95" s="3" t="s">
        <v>1148</v>
      </c>
      <c r="D95" s="3" t="s">
        <v>189</v>
      </c>
      <c r="E95" s="3" t="s">
        <v>258</v>
      </c>
      <c r="F95" s="4" t="s">
        <v>36</v>
      </c>
      <c r="G95" s="3" t="s">
        <v>1149</v>
      </c>
      <c r="H95" s="3" t="s">
        <v>1150</v>
      </c>
      <c r="I95" s="3" t="s">
        <v>1151</v>
      </c>
      <c r="J95" s="3" t="s">
        <v>1152</v>
      </c>
      <c r="K95" s="3" t="s">
        <v>1153</v>
      </c>
      <c r="L95" s="3"/>
      <c r="M95" s="3"/>
      <c r="N95" s="3"/>
      <c r="O95" s="4"/>
      <c r="P95" s="3" t="s">
        <v>1154</v>
      </c>
      <c r="Q95" s="3" t="s">
        <v>1155</v>
      </c>
      <c r="R95" s="3" t="s">
        <v>201</v>
      </c>
      <c r="S95" s="3" t="s">
        <v>599</v>
      </c>
      <c r="T95" s="4" t="s">
        <v>50</v>
      </c>
      <c r="U95" s="3"/>
      <c r="V95" s="3"/>
      <c r="W95" s="3"/>
      <c r="X95" s="3"/>
      <c r="Y95" s="3"/>
      <c r="Z95" s="3"/>
      <c r="AA95" s="3"/>
      <c r="AB95" s="3" t="s">
        <v>1156</v>
      </c>
      <c r="AC95" s="3"/>
      <c r="AD95" s="3" t="s">
        <v>1157</v>
      </c>
      <c r="AE95" s="4" t="s">
        <v>53</v>
      </c>
    </row>
    <row r="96" customFormat="false" ht="15" hidden="false" customHeight="true" outlineLevel="0" collapsed="false">
      <c r="A96" s="3" t="s">
        <v>1158</v>
      </c>
      <c r="B96" s="3" t="s">
        <v>1091</v>
      </c>
      <c r="C96" s="3" t="s">
        <v>1159</v>
      </c>
      <c r="D96" s="3" t="s">
        <v>273</v>
      </c>
      <c r="E96" s="3" t="s">
        <v>258</v>
      </c>
      <c r="F96" s="4" t="s">
        <v>101</v>
      </c>
      <c r="G96" s="3" t="s">
        <v>1160</v>
      </c>
      <c r="H96" s="3" t="s">
        <v>1161</v>
      </c>
      <c r="I96" s="3" t="s">
        <v>1162</v>
      </c>
      <c r="J96" s="3" t="s">
        <v>1163</v>
      </c>
      <c r="K96" s="3" t="s">
        <v>1164</v>
      </c>
      <c r="L96" s="3" t="s">
        <v>280</v>
      </c>
      <c r="M96" s="3"/>
      <c r="N96" s="3" t="s">
        <v>1165</v>
      </c>
      <c r="O96" s="4" t="s">
        <v>282</v>
      </c>
      <c r="P96" s="3" t="s">
        <v>1166</v>
      </c>
      <c r="Q96" s="3" t="s">
        <v>1167</v>
      </c>
      <c r="R96" s="3" t="s">
        <v>285</v>
      </c>
      <c r="S96" s="3" t="s">
        <v>286</v>
      </c>
      <c r="T96" s="4" t="s">
        <v>82</v>
      </c>
      <c r="U96" s="3"/>
      <c r="V96" s="3"/>
      <c r="W96" s="3"/>
      <c r="X96" s="3"/>
      <c r="Y96" s="3"/>
      <c r="Z96" s="3"/>
      <c r="AA96" s="3"/>
      <c r="AB96" s="3" t="s">
        <v>1168</v>
      </c>
      <c r="AC96" s="3"/>
      <c r="AD96" s="3" t="s">
        <v>1169</v>
      </c>
      <c r="AE96" s="4" t="s">
        <v>53</v>
      </c>
    </row>
    <row r="97" customFormat="false" ht="15" hidden="false" customHeight="true" outlineLevel="0" collapsed="false">
      <c r="A97" s="3" t="s">
        <v>1170</v>
      </c>
      <c r="B97" s="3" t="s">
        <v>861</v>
      </c>
      <c r="C97" s="3" t="s">
        <v>1171</v>
      </c>
      <c r="D97" s="3" t="s">
        <v>189</v>
      </c>
      <c r="E97" s="3" t="s">
        <v>189</v>
      </c>
      <c r="F97" s="4" t="s">
        <v>36</v>
      </c>
      <c r="G97" s="3" t="s">
        <v>1172</v>
      </c>
      <c r="H97" s="3" t="s">
        <v>1173</v>
      </c>
      <c r="I97" s="3" t="s">
        <v>1174</v>
      </c>
      <c r="J97" s="3" t="s">
        <v>1175</v>
      </c>
      <c r="K97" s="3" t="s">
        <v>1176</v>
      </c>
      <c r="L97" s="3"/>
      <c r="M97" s="3"/>
      <c r="N97" s="3"/>
      <c r="O97" s="4"/>
      <c r="P97" s="3" t="s">
        <v>1177</v>
      </c>
      <c r="Q97" s="3"/>
      <c r="R97" s="3" t="s">
        <v>1178</v>
      </c>
      <c r="S97" s="3" t="s">
        <v>861</v>
      </c>
      <c r="T97" s="4" t="s">
        <v>50</v>
      </c>
      <c r="U97" s="3"/>
      <c r="V97" s="3"/>
      <c r="W97" s="3"/>
      <c r="X97" s="3"/>
      <c r="Y97" s="3"/>
      <c r="Z97" s="3"/>
      <c r="AA97" s="3"/>
      <c r="AB97" s="3" t="s">
        <v>1179</v>
      </c>
      <c r="AC97" s="3"/>
      <c r="AD97" s="3"/>
      <c r="AE97" s="4" t="s">
        <v>53</v>
      </c>
    </row>
    <row r="98" customFormat="false" ht="15" hidden="false" customHeight="true" outlineLevel="0" collapsed="false">
      <c r="A98" s="3" t="s">
        <v>1180</v>
      </c>
      <c r="B98" s="3" t="s">
        <v>861</v>
      </c>
      <c r="C98" s="3" t="s">
        <v>1181</v>
      </c>
      <c r="D98" s="3" t="s">
        <v>189</v>
      </c>
      <c r="E98" s="3" t="s">
        <v>189</v>
      </c>
      <c r="F98" s="4" t="s">
        <v>36</v>
      </c>
      <c r="G98" s="3" t="s">
        <v>1182</v>
      </c>
      <c r="H98" s="3" t="s">
        <v>1183</v>
      </c>
      <c r="I98" s="3" t="s">
        <v>1184</v>
      </c>
      <c r="J98" s="3" t="s">
        <v>1185</v>
      </c>
      <c r="K98" s="3" t="s">
        <v>1186</v>
      </c>
      <c r="L98" s="3"/>
      <c r="M98" s="3"/>
      <c r="N98" s="3"/>
      <c r="O98" s="4"/>
      <c r="P98" s="3" t="s">
        <v>1187</v>
      </c>
      <c r="Q98" s="3"/>
      <c r="R98" s="3" t="s">
        <v>1188</v>
      </c>
      <c r="S98" s="3" t="s">
        <v>861</v>
      </c>
      <c r="T98" s="4" t="s">
        <v>50</v>
      </c>
      <c r="U98" s="3"/>
      <c r="V98" s="3"/>
      <c r="W98" s="3"/>
      <c r="X98" s="3"/>
      <c r="Y98" s="3"/>
      <c r="Z98" s="3"/>
      <c r="AA98" s="3"/>
      <c r="AB98" s="3" t="s">
        <v>1189</v>
      </c>
      <c r="AC98" s="3"/>
      <c r="AD98" s="3"/>
      <c r="AE98" s="4" t="s">
        <v>53</v>
      </c>
    </row>
    <row r="99" customFormat="false" ht="15" hidden="false" customHeight="true" outlineLevel="0" collapsed="false">
      <c r="A99" s="3" t="s">
        <v>1190</v>
      </c>
      <c r="B99" s="3" t="s">
        <v>861</v>
      </c>
      <c r="C99" s="3" t="s">
        <v>1191</v>
      </c>
      <c r="D99" s="3" t="s">
        <v>189</v>
      </c>
      <c r="E99" s="3" t="s">
        <v>189</v>
      </c>
      <c r="F99" s="4" t="s">
        <v>36</v>
      </c>
      <c r="G99" s="3" t="s">
        <v>1192</v>
      </c>
      <c r="H99" s="3" t="s">
        <v>1193</v>
      </c>
      <c r="I99" s="3" t="s">
        <v>1194</v>
      </c>
      <c r="J99" s="3" t="s">
        <v>1195</v>
      </c>
      <c r="K99" s="3" t="s">
        <v>1196</v>
      </c>
      <c r="L99" s="3"/>
      <c r="M99" s="3"/>
      <c r="N99" s="3"/>
      <c r="O99" s="4"/>
      <c r="P99" s="3" t="s">
        <v>1197</v>
      </c>
      <c r="Q99" s="3"/>
      <c r="R99" s="3" t="s">
        <v>1198</v>
      </c>
      <c r="S99" s="3" t="s">
        <v>861</v>
      </c>
      <c r="T99" s="4" t="s">
        <v>50</v>
      </c>
      <c r="U99" s="3"/>
      <c r="V99" s="3"/>
      <c r="W99" s="3"/>
      <c r="X99" s="3"/>
      <c r="Y99" s="3"/>
      <c r="Z99" s="3"/>
      <c r="AA99" s="3"/>
      <c r="AB99" s="3" t="s">
        <v>1199</v>
      </c>
      <c r="AC99" s="3"/>
      <c r="AD99" s="3"/>
      <c r="AE99" s="4" t="s">
        <v>53</v>
      </c>
    </row>
    <row r="100" customFormat="false" ht="15" hidden="false" customHeight="true" outlineLevel="0" collapsed="false">
      <c r="A100" s="3" t="s">
        <v>1200</v>
      </c>
      <c r="B100" s="3" t="s">
        <v>861</v>
      </c>
      <c r="C100" s="3" t="s">
        <v>1201</v>
      </c>
      <c r="D100" s="3" t="s">
        <v>189</v>
      </c>
      <c r="E100" s="3" t="s">
        <v>189</v>
      </c>
      <c r="F100" s="4" t="s">
        <v>36</v>
      </c>
      <c r="G100" s="3" t="s">
        <v>1202</v>
      </c>
      <c r="H100" s="3" t="s">
        <v>1203</v>
      </c>
      <c r="I100" s="3" t="s">
        <v>1204</v>
      </c>
      <c r="J100" s="3" t="s">
        <v>1205</v>
      </c>
      <c r="K100" s="3" t="s">
        <v>1206</v>
      </c>
      <c r="L100" s="3"/>
      <c r="M100" s="3"/>
      <c r="N100" s="3"/>
      <c r="O100" s="4"/>
      <c r="P100" s="3" t="s">
        <v>1207</v>
      </c>
      <c r="Q100" s="3"/>
      <c r="R100" s="3" t="s">
        <v>1208</v>
      </c>
      <c r="S100" s="3" t="s">
        <v>861</v>
      </c>
      <c r="T100" s="4" t="s">
        <v>50</v>
      </c>
      <c r="U100" s="3"/>
      <c r="V100" s="3"/>
      <c r="W100" s="3"/>
      <c r="X100" s="3"/>
      <c r="Y100" s="3"/>
      <c r="Z100" s="3"/>
      <c r="AA100" s="3"/>
      <c r="AB100" s="3" t="s">
        <v>1209</v>
      </c>
      <c r="AC100" s="3"/>
      <c r="AD100" s="3"/>
      <c r="AE100" s="4" t="s">
        <v>53</v>
      </c>
    </row>
    <row r="101" customFormat="false" ht="15" hidden="false" customHeight="true" outlineLevel="0" collapsed="false">
      <c r="A101" s="3" t="s">
        <v>1210</v>
      </c>
      <c r="B101" s="3" t="s">
        <v>861</v>
      </c>
      <c r="C101" s="3" t="s">
        <v>1211</v>
      </c>
      <c r="D101" s="3" t="s">
        <v>826</v>
      </c>
      <c r="E101" s="3" t="s">
        <v>826</v>
      </c>
      <c r="F101" s="4" t="s">
        <v>36</v>
      </c>
      <c r="G101" s="3" t="s">
        <v>1212</v>
      </c>
      <c r="H101" s="3" t="s">
        <v>1213</v>
      </c>
      <c r="I101" s="3" t="s">
        <v>1214</v>
      </c>
      <c r="J101" s="3" t="s">
        <v>1215</v>
      </c>
      <c r="K101" s="3" t="s">
        <v>1216</v>
      </c>
      <c r="L101" s="3"/>
      <c r="M101" s="3"/>
      <c r="N101" s="3"/>
      <c r="O101" s="4"/>
      <c r="P101" s="3" t="s">
        <v>1217</v>
      </c>
      <c r="Q101" s="3"/>
      <c r="R101" s="3" t="s">
        <v>1218</v>
      </c>
      <c r="S101" s="3" t="s">
        <v>861</v>
      </c>
      <c r="T101" s="4" t="s">
        <v>50</v>
      </c>
      <c r="U101" s="3"/>
      <c r="V101" s="3"/>
      <c r="W101" s="3"/>
      <c r="X101" s="3"/>
      <c r="Y101" s="3"/>
      <c r="Z101" s="3"/>
      <c r="AA101" s="3"/>
      <c r="AB101" s="3" t="s">
        <v>1219</v>
      </c>
      <c r="AC101" s="3"/>
      <c r="AD101" s="3"/>
      <c r="AE101" s="4" t="s">
        <v>53</v>
      </c>
    </row>
    <row r="102" customFormat="false" ht="15" hidden="false" customHeight="true" outlineLevel="0" collapsed="false">
      <c r="A102" s="3" t="s">
        <v>1220</v>
      </c>
      <c r="B102" s="3" t="s">
        <v>861</v>
      </c>
      <c r="C102" s="3" t="s">
        <v>1221</v>
      </c>
      <c r="D102" s="3" t="s">
        <v>826</v>
      </c>
      <c r="E102" s="3" t="s">
        <v>826</v>
      </c>
      <c r="F102" s="4" t="s">
        <v>36</v>
      </c>
      <c r="G102" s="3" t="s">
        <v>1222</v>
      </c>
      <c r="H102" s="3" t="s">
        <v>1223</v>
      </c>
      <c r="I102" s="3" t="s">
        <v>1224</v>
      </c>
      <c r="J102" s="3" t="s">
        <v>1225</v>
      </c>
      <c r="K102" s="3" t="s">
        <v>1226</v>
      </c>
      <c r="L102" s="3"/>
      <c r="M102" s="3"/>
      <c r="N102" s="3"/>
      <c r="O102" s="4"/>
      <c r="P102" s="3" t="s">
        <v>1227</v>
      </c>
      <c r="Q102" s="3"/>
      <c r="R102" s="3" t="s">
        <v>1228</v>
      </c>
      <c r="S102" s="3" t="s">
        <v>861</v>
      </c>
      <c r="T102" s="4" t="s">
        <v>50</v>
      </c>
      <c r="U102" s="3"/>
      <c r="V102" s="3"/>
      <c r="W102" s="3"/>
      <c r="X102" s="3"/>
      <c r="Y102" s="3"/>
      <c r="Z102" s="3"/>
      <c r="AA102" s="3"/>
      <c r="AB102" s="3" t="s">
        <v>1229</v>
      </c>
      <c r="AC102" s="3"/>
      <c r="AD102" s="3"/>
      <c r="AE102" s="4" t="s">
        <v>53</v>
      </c>
    </row>
    <row r="103" customFormat="false" ht="15" hidden="false" customHeight="true" outlineLevel="0" collapsed="false">
      <c r="A103" s="3" t="s">
        <v>1230</v>
      </c>
      <c r="B103" s="3" t="s">
        <v>861</v>
      </c>
      <c r="C103" s="3" t="s">
        <v>1231</v>
      </c>
      <c r="D103" s="3" t="s">
        <v>35</v>
      </c>
      <c r="E103" s="3" t="s">
        <v>35</v>
      </c>
      <c r="F103" s="4" t="s">
        <v>36</v>
      </c>
      <c r="G103" s="3" t="s">
        <v>1232</v>
      </c>
      <c r="H103" s="3" t="s">
        <v>1233</v>
      </c>
      <c r="I103" s="3" t="s">
        <v>1234</v>
      </c>
      <c r="J103" s="3" t="s">
        <v>1235</v>
      </c>
      <c r="K103" s="3" t="s">
        <v>1236</v>
      </c>
      <c r="L103" s="3"/>
      <c r="M103" s="3"/>
      <c r="N103" s="3"/>
      <c r="O103" s="4"/>
      <c r="P103" s="3" t="s">
        <v>1237</v>
      </c>
      <c r="Q103" s="3"/>
      <c r="R103" s="3" t="s">
        <v>1238</v>
      </c>
      <c r="S103" s="3" t="s">
        <v>861</v>
      </c>
      <c r="T103" s="4" t="s">
        <v>50</v>
      </c>
      <c r="U103" s="3"/>
      <c r="V103" s="3"/>
      <c r="W103" s="3"/>
      <c r="X103" s="3"/>
      <c r="Y103" s="3"/>
      <c r="Z103" s="3"/>
      <c r="AA103" s="3"/>
      <c r="AB103" s="3" t="s">
        <v>1239</v>
      </c>
      <c r="AC103" s="3"/>
      <c r="AD103" s="3"/>
      <c r="AE103" s="4" t="s">
        <v>53</v>
      </c>
    </row>
    <row r="104" customFormat="false" ht="15" hidden="false" customHeight="true" outlineLevel="0" collapsed="false">
      <c r="A104" s="3" t="s">
        <v>1240</v>
      </c>
      <c r="B104" s="3" t="s">
        <v>861</v>
      </c>
      <c r="C104" s="3" t="s">
        <v>1241</v>
      </c>
      <c r="D104" s="3" t="s">
        <v>35</v>
      </c>
      <c r="E104" s="3" t="s">
        <v>35</v>
      </c>
      <c r="F104" s="4" t="s">
        <v>36</v>
      </c>
      <c r="G104" s="3" t="s">
        <v>1242</v>
      </c>
      <c r="H104" s="3" t="s">
        <v>1243</v>
      </c>
      <c r="I104" s="3" t="s">
        <v>1244</v>
      </c>
      <c r="J104" s="3" t="s">
        <v>1245</v>
      </c>
      <c r="K104" s="3" t="s">
        <v>1246</v>
      </c>
      <c r="L104" s="3"/>
      <c r="M104" s="3"/>
      <c r="N104" s="3"/>
      <c r="O104" s="4"/>
      <c r="P104" s="3" t="s">
        <v>1247</v>
      </c>
      <c r="Q104" s="3"/>
      <c r="R104" s="3" t="s">
        <v>1248</v>
      </c>
      <c r="S104" s="3" t="s">
        <v>861</v>
      </c>
      <c r="T104" s="4" t="s">
        <v>50</v>
      </c>
      <c r="U104" s="3"/>
      <c r="V104" s="3"/>
      <c r="W104" s="3"/>
      <c r="X104" s="3"/>
      <c r="Y104" s="3"/>
      <c r="Z104" s="3"/>
      <c r="AA104" s="3"/>
      <c r="AB104" s="3" t="s">
        <v>1249</v>
      </c>
      <c r="AC104" s="3"/>
      <c r="AD104" s="3"/>
      <c r="AE104" s="4" t="s">
        <v>53</v>
      </c>
    </row>
    <row r="105" customFormat="false" ht="15" hidden="false" customHeight="true" outlineLevel="0" collapsed="false">
      <c r="A105" s="3" t="s">
        <v>1250</v>
      </c>
      <c r="B105" s="3" t="s">
        <v>861</v>
      </c>
      <c r="C105" s="3" t="s">
        <v>1251</v>
      </c>
      <c r="D105" s="3" t="s">
        <v>35</v>
      </c>
      <c r="E105" s="3" t="s">
        <v>35</v>
      </c>
      <c r="F105" s="4" t="s">
        <v>36</v>
      </c>
      <c r="G105" s="3" t="s">
        <v>1252</v>
      </c>
      <c r="H105" s="3" t="s">
        <v>1253</v>
      </c>
      <c r="I105" s="3" t="s">
        <v>1254</v>
      </c>
      <c r="J105" s="3" t="s">
        <v>1255</v>
      </c>
      <c r="K105" s="3" t="s">
        <v>1256</v>
      </c>
      <c r="L105" s="3"/>
      <c r="M105" s="3"/>
      <c r="N105" s="3"/>
      <c r="O105" s="4"/>
      <c r="P105" s="3" t="s">
        <v>1257</v>
      </c>
      <c r="Q105" s="3"/>
      <c r="R105" s="3" t="s">
        <v>1258</v>
      </c>
      <c r="S105" s="3" t="s">
        <v>861</v>
      </c>
      <c r="T105" s="4" t="s">
        <v>50</v>
      </c>
      <c r="U105" s="3"/>
      <c r="V105" s="3"/>
      <c r="W105" s="3"/>
      <c r="X105" s="3"/>
      <c r="Y105" s="3"/>
      <c r="Z105" s="3"/>
      <c r="AA105" s="3"/>
      <c r="AB105" s="3" t="s">
        <v>1259</v>
      </c>
      <c r="AC105" s="3" t="s">
        <v>1260</v>
      </c>
      <c r="AD105" s="3"/>
      <c r="AE105" s="4" t="s">
        <v>53</v>
      </c>
    </row>
    <row r="106" customFormat="false" ht="15" hidden="false" customHeight="true" outlineLevel="0" collapsed="false">
      <c r="A106" s="3" t="s">
        <v>1261</v>
      </c>
      <c r="B106" s="3" t="s">
        <v>861</v>
      </c>
      <c r="C106" s="3" t="s">
        <v>1262</v>
      </c>
      <c r="D106" s="3" t="s">
        <v>189</v>
      </c>
      <c r="E106" s="3" t="s">
        <v>189</v>
      </c>
      <c r="F106" s="4" t="s">
        <v>101</v>
      </c>
      <c r="G106" s="3" t="s">
        <v>1263</v>
      </c>
      <c r="H106" s="3" t="s">
        <v>1264</v>
      </c>
      <c r="I106" s="3" t="s">
        <v>1265</v>
      </c>
      <c r="J106" s="3" t="s">
        <v>1266</v>
      </c>
      <c r="K106" s="3" t="s">
        <v>1267</v>
      </c>
      <c r="L106" s="3"/>
      <c r="M106" s="3"/>
      <c r="N106" s="3"/>
      <c r="O106" s="4"/>
      <c r="P106" s="3" t="s">
        <v>1268</v>
      </c>
      <c r="Q106" s="3"/>
      <c r="R106" s="3" t="s">
        <v>1269</v>
      </c>
      <c r="S106" s="3" t="s">
        <v>861</v>
      </c>
      <c r="T106" s="4" t="s">
        <v>50</v>
      </c>
      <c r="U106" s="3"/>
      <c r="V106" s="3"/>
      <c r="W106" s="3"/>
      <c r="X106" s="3"/>
      <c r="Y106" s="3"/>
      <c r="Z106" s="3"/>
      <c r="AA106" s="3"/>
      <c r="AB106" s="3" t="s">
        <v>1270</v>
      </c>
      <c r="AC106" s="3"/>
      <c r="AD106" s="3"/>
      <c r="AE106" s="4" t="s">
        <v>53</v>
      </c>
    </row>
    <row r="107" customFormat="false" ht="15" hidden="false" customHeight="true" outlineLevel="0" collapsed="false">
      <c r="A107" s="3" t="s">
        <v>1271</v>
      </c>
      <c r="B107" s="3" t="s">
        <v>861</v>
      </c>
      <c r="C107" s="3" t="s">
        <v>1272</v>
      </c>
      <c r="D107" s="3" t="s">
        <v>1273</v>
      </c>
      <c r="E107" s="3" t="s">
        <v>1273</v>
      </c>
      <c r="F107" s="4" t="s">
        <v>36</v>
      </c>
      <c r="G107" s="3" t="s">
        <v>1274</v>
      </c>
      <c r="H107" s="3" t="s">
        <v>1275</v>
      </c>
      <c r="I107" s="3" t="s">
        <v>1276</v>
      </c>
      <c r="J107" s="3" t="s">
        <v>1277</v>
      </c>
      <c r="K107" s="3" t="s">
        <v>1278</v>
      </c>
      <c r="L107" s="3"/>
      <c r="M107" s="3"/>
      <c r="N107" s="3"/>
      <c r="O107" s="4"/>
      <c r="P107" s="3" t="s">
        <v>1279</v>
      </c>
      <c r="Q107" s="3"/>
      <c r="R107" s="3" t="s">
        <v>1280</v>
      </c>
      <c r="S107" s="3" t="s">
        <v>861</v>
      </c>
      <c r="T107" s="4" t="s">
        <v>50</v>
      </c>
      <c r="U107" s="3"/>
      <c r="V107" s="3"/>
      <c r="W107" s="3"/>
      <c r="X107" s="3"/>
      <c r="Y107" s="3"/>
      <c r="Z107" s="3"/>
      <c r="AA107" s="3"/>
      <c r="AB107" s="3" t="s">
        <v>1281</v>
      </c>
      <c r="AC107" s="3"/>
      <c r="AD107" s="3"/>
      <c r="AE107" s="4" t="s">
        <v>53</v>
      </c>
    </row>
    <row r="108" customFormat="false" ht="15" hidden="false" customHeight="true" outlineLevel="0" collapsed="false">
      <c r="A108" s="3" t="s">
        <v>1282</v>
      </c>
      <c r="B108" s="3" t="s">
        <v>861</v>
      </c>
      <c r="C108" s="3" t="s">
        <v>1283</v>
      </c>
      <c r="D108" s="3" t="s">
        <v>1273</v>
      </c>
      <c r="E108" s="3" t="s">
        <v>1273</v>
      </c>
      <c r="F108" s="4" t="s">
        <v>36</v>
      </c>
      <c r="G108" s="3" t="s">
        <v>1284</v>
      </c>
      <c r="H108" s="3" t="s">
        <v>1285</v>
      </c>
      <c r="I108" s="3" t="s">
        <v>1286</v>
      </c>
      <c r="J108" s="3" t="s">
        <v>1287</v>
      </c>
      <c r="K108" s="3" t="s">
        <v>1288</v>
      </c>
      <c r="L108" s="3"/>
      <c r="M108" s="3"/>
      <c r="N108" s="3"/>
      <c r="O108" s="4"/>
      <c r="P108" s="3" t="s">
        <v>1289</v>
      </c>
      <c r="Q108" s="3"/>
      <c r="R108" s="3" t="s">
        <v>1290</v>
      </c>
      <c r="S108" s="3" t="s">
        <v>861</v>
      </c>
      <c r="T108" s="4" t="s">
        <v>50</v>
      </c>
      <c r="U108" s="3"/>
      <c r="V108" s="3"/>
      <c r="W108" s="3"/>
      <c r="X108" s="3"/>
      <c r="Y108" s="3"/>
      <c r="Z108" s="3"/>
      <c r="AA108" s="3"/>
      <c r="AB108" s="3" t="s">
        <v>1170</v>
      </c>
      <c r="AC108" s="3"/>
      <c r="AD108" s="3"/>
      <c r="AE108" s="4" t="s">
        <v>53</v>
      </c>
    </row>
    <row r="109" customFormat="false" ht="15" hidden="false" customHeight="true" outlineLevel="0" collapsed="false">
      <c r="A109" s="3" t="s">
        <v>1291</v>
      </c>
      <c r="B109" s="3" t="s">
        <v>861</v>
      </c>
      <c r="C109" s="3" t="s">
        <v>1292</v>
      </c>
      <c r="D109" s="3" t="s">
        <v>125</v>
      </c>
      <c r="E109" s="3" t="s">
        <v>125</v>
      </c>
      <c r="F109" s="4" t="s">
        <v>842</v>
      </c>
      <c r="G109" s="3" t="s">
        <v>1293</v>
      </c>
      <c r="H109" s="3" t="s">
        <v>1294</v>
      </c>
      <c r="I109" s="3" t="s">
        <v>1295</v>
      </c>
      <c r="J109" s="3" t="s">
        <v>1296</v>
      </c>
      <c r="K109" s="3" t="s">
        <v>1297</v>
      </c>
      <c r="L109" s="3"/>
      <c r="M109" s="3"/>
      <c r="N109" s="3"/>
      <c r="O109" s="4"/>
      <c r="P109" s="3" t="s">
        <v>1298</v>
      </c>
      <c r="Q109" s="3"/>
      <c r="R109" s="3" t="s">
        <v>1299</v>
      </c>
      <c r="S109" s="3" t="s">
        <v>861</v>
      </c>
      <c r="T109" s="4" t="s">
        <v>50</v>
      </c>
      <c r="U109" s="3"/>
      <c r="V109" s="3"/>
      <c r="W109" s="3"/>
      <c r="X109" s="3"/>
      <c r="Y109" s="3"/>
      <c r="Z109" s="3"/>
      <c r="AA109" s="3"/>
      <c r="AB109" s="3" t="s">
        <v>1300</v>
      </c>
      <c r="AC109" s="3"/>
      <c r="AD109" s="3"/>
      <c r="AE109" s="4" t="s">
        <v>53</v>
      </c>
    </row>
    <row r="110" customFormat="false" ht="15" hidden="false" customHeight="true" outlineLevel="0" collapsed="false">
      <c r="A110" s="3" t="s">
        <v>1301</v>
      </c>
      <c r="B110" s="3" t="s">
        <v>861</v>
      </c>
      <c r="C110" s="3" t="s">
        <v>1302</v>
      </c>
      <c r="D110" s="3" t="s">
        <v>853</v>
      </c>
      <c r="E110" s="3" t="s">
        <v>189</v>
      </c>
      <c r="F110" s="4" t="s">
        <v>36</v>
      </c>
      <c r="G110" s="3" t="s">
        <v>1303</v>
      </c>
      <c r="H110" s="3" t="s">
        <v>1304</v>
      </c>
      <c r="I110" s="3" t="s">
        <v>1305</v>
      </c>
      <c r="J110" s="3" t="s">
        <v>1306</v>
      </c>
      <c r="K110" s="3" t="s">
        <v>1307</v>
      </c>
      <c r="L110" s="3"/>
      <c r="M110" s="3"/>
      <c r="N110" s="3"/>
      <c r="O110" s="4"/>
      <c r="P110" s="3" t="s">
        <v>1308</v>
      </c>
      <c r="Q110" s="3" t="s">
        <v>732</v>
      </c>
      <c r="R110" s="3" t="s">
        <v>1309</v>
      </c>
      <c r="S110" s="3" t="s">
        <v>861</v>
      </c>
      <c r="T110" s="4" t="s">
        <v>50</v>
      </c>
      <c r="U110" s="3"/>
      <c r="V110" s="3"/>
      <c r="W110" s="3"/>
      <c r="X110" s="3"/>
      <c r="Y110" s="3"/>
      <c r="Z110" s="3"/>
      <c r="AA110" s="3"/>
      <c r="AB110" s="3" t="s">
        <v>1310</v>
      </c>
      <c r="AC110" s="3"/>
      <c r="AD110" s="3" t="s">
        <v>1311</v>
      </c>
      <c r="AE110" s="4" t="s">
        <v>53</v>
      </c>
    </row>
    <row r="111" customFormat="false" ht="15" hidden="false" customHeight="true" outlineLevel="0" collapsed="false">
      <c r="A111" s="3" t="s">
        <v>1312</v>
      </c>
      <c r="B111" s="3" t="s">
        <v>861</v>
      </c>
      <c r="C111" s="3" t="s">
        <v>1313</v>
      </c>
      <c r="D111" s="3" t="s">
        <v>35</v>
      </c>
      <c r="E111" s="3" t="s">
        <v>35</v>
      </c>
      <c r="F111" s="4" t="s">
        <v>36</v>
      </c>
      <c r="G111" s="3" t="s">
        <v>1314</v>
      </c>
      <c r="H111" s="3" t="s">
        <v>1315</v>
      </c>
      <c r="I111" s="3" t="s">
        <v>1316</v>
      </c>
      <c r="J111" s="3" t="s">
        <v>1317</v>
      </c>
      <c r="K111" s="3" t="s">
        <v>1318</v>
      </c>
      <c r="L111" s="3"/>
      <c r="M111" s="3"/>
      <c r="N111" s="3"/>
      <c r="O111" s="4"/>
      <c r="P111" s="3" t="s">
        <v>1319</v>
      </c>
      <c r="Q111" s="3" t="s">
        <v>410</v>
      </c>
      <c r="R111" s="3" t="s">
        <v>1320</v>
      </c>
      <c r="S111" s="3" t="s">
        <v>861</v>
      </c>
      <c r="T111" s="4" t="s">
        <v>50</v>
      </c>
      <c r="U111" s="3"/>
      <c r="V111" s="3"/>
      <c r="W111" s="3"/>
      <c r="X111" s="3"/>
      <c r="Y111" s="3"/>
      <c r="Z111" s="3"/>
      <c r="AA111" s="3"/>
      <c r="AB111" s="3" t="s">
        <v>1321</v>
      </c>
      <c r="AC111" s="3"/>
      <c r="AD111" s="3" t="s">
        <v>1322</v>
      </c>
      <c r="AE111" s="4" t="s">
        <v>53</v>
      </c>
    </row>
    <row r="112" customFormat="false" ht="15" hidden="false" customHeight="true" outlineLevel="0" collapsed="false">
      <c r="A112" s="3" t="s">
        <v>1323</v>
      </c>
      <c r="B112" s="3" t="s">
        <v>861</v>
      </c>
      <c r="C112" s="3" t="s">
        <v>1324</v>
      </c>
      <c r="D112" s="3" t="s">
        <v>273</v>
      </c>
      <c r="E112" s="3" t="s">
        <v>35</v>
      </c>
      <c r="F112" s="4" t="s">
        <v>101</v>
      </c>
      <c r="G112" s="3" t="s">
        <v>1325</v>
      </c>
      <c r="H112" s="3" t="s">
        <v>1326</v>
      </c>
      <c r="I112" s="3" t="s">
        <v>1327</v>
      </c>
      <c r="J112" s="3" t="s">
        <v>1328</v>
      </c>
      <c r="K112" s="3" t="s">
        <v>1329</v>
      </c>
      <c r="L112" s="3"/>
      <c r="M112" s="3"/>
      <c r="N112" s="3"/>
      <c r="O112" s="4"/>
      <c r="P112" s="3" t="s">
        <v>1330</v>
      </c>
      <c r="Q112" s="3" t="s">
        <v>410</v>
      </c>
      <c r="R112" s="3" t="s">
        <v>1331</v>
      </c>
      <c r="S112" s="3" t="s">
        <v>861</v>
      </c>
      <c r="T112" s="4" t="s">
        <v>50</v>
      </c>
      <c r="U112" s="3"/>
      <c r="V112" s="3"/>
      <c r="W112" s="3"/>
      <c r="X112" s="3"/>
      <c r="Y112" s="3"/>
      <c r="Z112" s="3"/>
      <c r="AA112" s="3"/>
      <c r="AB112" s="3" t="s">
        <v>1332</v>
      </c>
      <c r="AC112" s="3"/>
      <c r="AD112" s="3" t="s">
        <v>1333</v>
      </c>
      <c r="AE112" s="4" t="s">
        <v>53</v>
      </c>
    </row>
    <row r="113" customFormat="false" ht="15" hidden="false" customHeight="true" outlineLevel="0" collapsed="false">
      <c r="A113" s="3" t="s">
        <v>1334</v>
      </c>
      <c r="B113" s="3" t="s">
        <v>861</v>
      </c>
      <c r="C113" s="3" t="s">
        <v>1335</v>
      </c>
      <c r="D113" s="3" t="s">
        <v>273</v>
      </c>
      <c r="E113" s="3" t="s">
        <v>826</v>
      </c>
      <c r="F113" s="4" t="s">
        <v>36</v>
      </c>
      <c r="G113" s="3" t="s">
        <v>1336</v>
      </c>
      <c r="H113" s="3" t="s">
        <v>1337</v>
      </c>
      <c r="I113" s="3" t="s">
        <v>1338</v>
      </c>
      <c r="J113" s="3" t="s">
        <v>1339</v>
      </c>
      <c r="K113" s="3" t="s">
        <v>1340</v>
      </c>
      <c r="L113" s="3"/>
      <c r="M113" s="3"/>
      <c r="N113" s="3"/>
      <c r="O113" s="4"/>
      <c r="P113" s="3" t="s">
        <v>1341</v>
      </c>
      <c r="Q113" s="3" t="s">
        <v>1056</v>
      </c>
      <c r="R113" s="3" t="s">
        <v>1342</v>
      </c>
      <c r="S113" s="3" t="s">
        <v>861</v>
      </c>
      <c r="T113" s="4" t="s">
        <v>50</v>
      </c>
      <c r="U113" s="3"/>
      <c r="V113" s="3"/>
      <c r="W113" s="3"/>
      <c r="X113" s="3"/>
      <c r="Y113" s="3"/>
      <c r="Z113" s="3"/>
      <c r="AA113" s="3"/>
      <c r="AB113" s="3" t="s">
        <v>1343</v>
      </c>
      <c r="AC113" s="3"/>
      <c r="AD113" s="3" t="s">
        <v>1344</v>
      </c>
      <c r="AE113" s="4" t="s">
        <v>53</v>
      </c>
    </row>
    <row r="114" customFormat="false" ht="15" hidden="false" customHeight="true" outlineLevel="0" collapsed="false">
      <c r="A114" s="3" t="s">
        <v>1345</v>
      </c>
      <c r="B114" s="3" t="s">
        <v>861</v>
      </c>
      <c r="C114" s="3" t="s">
        <v>1346</v>
      </c>
      <c r="D114" s="3" t="s">
        <v>273</v>
      </c>
      <c r="E114" s="3" t="s">
        <v>189</v>
      </c>
      <c r="F114" s="4" t="s">
        <v>36</v>
      </c>
      <c r="G114" s="3" t="s">
        <v>1347</v>
      </c>
      <c r="H114" s="3" t="s">
        <v>1348</v>
      </c>
      <c r="I114" s="3" t="s">
        <v>1349</v>
      </c>
      <c r="J114" s="3" t="s">
        <v>1350</v>
      </c>
      <c r="K114" s="3" t="s">
        <v>1351</v>
      </c>
      <c r="L114" s="3"/>
      <c r="M114" s="3"/>
      <c r="N114" s="3"/>
      <c r="O114" s="4"/>
      <c r="P114" s="3" t="s">
        <v>1352</v>
      </c>
      <c r="Q114" s="3" t="s">
        <v>311</v>
      </c>
      <c r="R114" s="3" t="s">
        <v>1353</v>
      </c>
      <c r="S114" s="3" t="s">
        <v>861</v>
      </c>
      <c r="T114" s="4" t="s">
        <v>50</v>
      </c>
      <c r="U114" s="3"/>
      <c r="V114" s="3"/>
      <c r="W114" s="3"/>
      <c r="X114" s="3"/>
      <c r="Y114" s="3"/>
      <c r="Z114" s="3"/>
      <c r="AA114" s="3"/>
      <c r="AB114" s="3" t="s">
        <v>1354</v>
      </c>
      <c r="AC114" s="3"/>
      <c r="AD114" s="3" t="s">
        <v>1355</v>
      </c>
      <c r="AE114" s="4" t="s">
        <v>53</v>
      </c>
    </row>
    <row r="115" customFormat="false" ht="15" hidden="false" customHeight="true" outlineLevel="0" collapsed="false">
      <c r="A115" s="3" t="s">
        <v>1189</v>
      </c>
      <c r="B115" s="3" t="s">
        <v>861</v>
      </c>
      <c r="C115" s="3" t="s">
        <v>1356</v>
      </c>
      <c r="D115" s="3" t="s">
        <v>189</v>
      </c>
      <c r="E115" s="3" t="s">
        <v>189</v>
      </c>
      <c r="F115" s="4" t="s">
        <v>36</v>
      </c>
      <c r="G115" s="3" t="s">
        <v>1357</v>
      </c>
      <c r="H115" s="3" t="s">
        <v>1358</v>
      </c>
      <c r="I115" s="3" t="s">
        <v>1359</v>
      </c>
      <c r="J115" s="3" t="s">
        <v>1360</v>
      </c>
      <c r="K115" s="3" t="s">
        <v>1361</v>
      </c>
      <c r="L115" s="3"/>
      <c r="M115" s="3"/>
      <c r="N115" s="3"/>
      <c r="O115" s="4"/>
      <c r="P115" s="3" t="s">
        <v>1362</v>
      </c>
      <c r="Q115" s="3" t="s">
        <v>598</v>
      </c>
      <c r="R115" s="3" t="s">
        <v>1363</v>
      </c>
      <c r="S115" s="3" t="s">
        <v>599</v>
      </c>
      <c r="T115" s="4" t="s">
        <v>50</v>
      </c>
      <c r="U115" s="3"/>
      <c r="V115" s="3"/>
      <c r="W115" s="3"/>
      <c r="X115" s="3"/>
      <c r="Y115" s="3"/>
      <c r="Z115" s="3"/>
      <c r="AA115" s="3"/>
      <c r="AB115" s="3" t="s">
        <v>1364</v>
      </c>
      <c r="AC115" s="3" t="s">
        <v>601</v>
      </c>
      <c r="AD115" s="3" t="s">
        <v>1365</v>
      </c>
      <c r="AE115" s="4" t="s">
        <v>53</v>
      </c>
    </row>
    <row r="116" customFormat="false" ht="15" hidden="false" customHeight="true" outlineLevel="0" collapsed="false">
      <c r="A116" s="3" t="s">
        <v>1366</v>
      </c>
      <c r="B116" s="3" t="s">
        <v>861</v>
      </c>
      <c r="C116" s="3" t="s">
        <v>1367</v>
      </c>
      <c r="D116" s="3" t="s">
        <v>35</v>
      </c>
      <c r="E116" s="3" t="s">
        <v>35</v>
      </c>
      <c r="F116" s="4" t="s">
        <v>36</v>
      </c>
      <c r="G116" s="3" t="s">
        <v>1368</v>
      </c>
      <c r="H116" s="3" t="s">
        <v>1369</v>
      </c>
      <c r="I116" s="3" t="s">
        <v>1370</v>
      </c>
      <c r="J116" s="3" t="s">
        <v>1371</v>
      </c>
      <c r="K116" s="3" t="s">
        <v>1372</v>
      </c>
      <c r="L116" s="3"/>
      <c r="M116" s="3"/>
      <c r="N116" s="3"/>
      <c r="O116" s="4"/>
      <c r="P116" s="3" t="s">
        <v>1373</v>
      </c>
      <c r="Q116" s="3" t="s">
        <v>1374</v>
      </c>
      <c r="R116" s="3" t="s">
        <v>1299</v>
      </c>
      <c r="S116" s="3" t="s">
        <v>861</v>
      </c>
      <c r="T116" s="4" t="s">
        <v>50</v>
      </c>
      <c r="U116" s="3"/>
      <c r="V116" s="3"/>
      <c r="W116" s="3"/>
      <c r="X116" s="3"/>
      <c r="Y116" s="3"/>
      <c r="Z116" s="3"/>
      <c r="AA116" s="3"/>
      <c r="AB116" s="3" t="s">
        <v>1375</v>
      </c>
      <c r="AC116" s="3" t="s">
        <v>1376</v>
      </c>
      <c r="AD116" s="3" t="s">
        <v>1377</v>
      </c>
      <c r="AE116" s="4" t="s">
        <v>53</v>
      </c>
    </row>
    <row r="117" customFormat="false" ht="15" hidden="false" customHeight="true" outlineLevel="0" collapsed="false">
      <c r="A117" s="3" t="s">
        <v>1378</v>
      </c>
      <c r="B117" s="3" t="s">
        <v>861</v>
      </c>
      <c r="C117" s="3" t="s">
        <v>1379</v>
      </c>
      <c r="D117" s="3" t="s">
        <v>189</v>
      </c>
      <c r="E117" s="3" t="s">
        <v>826</v>
      </c>
      <c r="F117" s="4" t="s">
        <v>36</v>
      </c>
      <c r="G117" s="3" t="s">
        <v>1380</v>
      </c>
      <c r="H117" s="3" t="s">
        <v>1381</v>
      </c>
      <c r="I117" s="3" t="s">
        <v>1382</v>
      </c>
      <c r="J117" s="3" t="s">
        <v>1383</v>
      </c>
      <c r="K117" s="3" t="s">
        <v>1384</v>
      </c>
      <c r="L117" s="3"/>
      <c r="M117" s="3"/>
      <c r="N117" s="3"/>
      <c r="O117" s="4"/>
      <c r="P117" s="3" t="s">
        <v>1385</v>
      </c>
      <c r="Q117" s="3" t="s">
        <v>1386</v>
      </c>
      <c r="R117" s="3" t="s">
        <v>1218</v>
      </c>
      <c r="S117" s="3" t="s">
        <v>861</v>
      </c>
      <c r="T117" s="4" t="s">
        <v>50</v>
      </c>
      <c r="U117" s="3"/>
      <c r="V117" s="3"/>
      <c r="W117" s="3"/>
      <c r="X117" s="3"/>
      <c r="Y117" s="3"/>
      <c r="Z117" s="3"/>
      <c r="AA117" s="3"/>
      <c r="AB117" s="3" t="s">
        <v>1387</v>
      </c>
      <c r="AC117" s="3"/>
      <c r="AD117" s="3" t="s">
        <v>1388</v>
      </c>
      <c r="AE117" s="4" t="s">
        <v>53</v>
      </c>
    </row>
    <row r="118" customFormat="false" ht="15" hidden="false" customHeight="true" outlineLevel="0" collapsed="false">
      <c r="A118" s="3" t="s">
        <v>1389</v>
      </c>
      <c r="B118" s="3" t="s">
        <v>861</v>
      </c>
      <c r="C118" s="3" t="s">
        <v>1390</v>
      </c>
      <c r="D118" s="3" t="s">
        <v>125</v>
      </c>
      <c r="E118" s="3" t="s">
        <v>125</v>
      </c>
      <c r="F118" s="4" t="s">
        <v>101</v>
      </c>
      <c r="G118" s="3" t="s">
        <v>1391</v>
      </c>
      <c r="H118" s="3" t="s">
        <v>1392</v>
      </c>
      <c r="I118" s="3" t="s">
        <v>1393</v>
      </c>
      <c r="J118" s="3" t="s">
        <v>1394</v>
      </c>
      <c r="K118" s="3" t="s">
        <v>1395</v>
      </c>
      <c r="L118" s="3"/>
      <c r="M118" s="3"/>
      <c r="N118" s="3"/>
      <c r="O118" s="4"/>
      <c r="P118" s="3" t="s">
        <v>1396</v>
      </c>
      <c r="Q118" s="3" t="s">
        <v>1397</v>
      </c>
      <c r="R118" s="3" t="s">
        <v>1398</v>
      </c>
      <c r="S118" s="3" t="s">
        <v>861</v>
      </c>
      <c r="T118" s="4" t="s">
        <v>50</v>
      </c>
      <c r="U118" s="3"/>
      <c r="V118" s="3"/>
      <c r="W118" s="3"/>
      <c r="X118" s="3"/>
      <c r="Y118" s="3"/>
      <c r="Z118" s="3"/>
      <c r="AA118" s="3"/>
      <c r="AB118" s="3" t="s">
        <v>1399</v>
      </c>
      <c r="AC118" s="3"/>
      <c r="AD118" s="3" t="s">
        <v>1400</v>
      </c>
      <c r="AE118" s="4" t="s">
        <v>53</v>
      </c>
    </row>
    <row r="119" customFormat="false" ht="15" hidden="false" customHeight="true" outlineLevel="0" collapsed="false">
      <c r="A119" s="3" t="s">
        <v>1401</v>
      </c>
      <c r="B119" s="3" t="s">
        <v>861</v>
      </c>
      <c r="C119" s="3" t="s">
        <v>1402</v>
      </c>
      <c r="D119" s="3" t="s">
        <v>35</v>
      </c>
      <c r="E119" s="3" t="s">
        <v>35</v>
      </c>
      <c r="F119" s="4" t="s">
        <v>36</v>
      </c>
      <c r="G119" s="3" t="s">
        <v>1403</v>
      </c>
      <c r="H119" s="3" t="s">
        <v>1404</v>
      </c>
      <c r="I119" s="3" t="s">
        <v>1405</v>
      </c>
      <c r="J119" s="3" t="s">
        <v>1406</v>
      </c>
      <c r="K119" s="3" t="s">
        <v>1407</v>
      </c>
      <c r="L119" s="3"/>
      <c r="M119" s="3"/>
      <c r="N119" s="3"/>
      <c r="O119" s="4"/>
      <c r="P119" s="3" t="s">
        <v>1408</v>
      </c>
      <c r="Q119" s="3" t="s">
        <v>410</v>
      </c>
      <c r="R119" s="3" t="s">
        <v>1409</v>
      </c>
      <c r="S119" s="3" t="s">
        <v>861</v>
      </c>
      <c r="T119" s="4" t="s">
        <v>50</v>
      </c>
      <c r="U119" s="3"/>
      <c r="V119" s="3"/>
      <c r="W119" s="3"/>
      <c r="X119" s="3"/>
      <c r="Y119" s="3"/>
      <c r="Z119" s="3"/>
      <c r="AA119" s="3"/>
      <c r="AB119" s="3" t="s">
        <v>1410</v>
      </c>
      <c r="AC119" s="3"/>
      <c r="AD119" s="3" t="s">
        <v>1411</v>
      </c>
      <c r="AE119" s="4" t="s">
        <v>53</v>
      </c>
    </row>
    <row r="120" customFormat="false" ht="15" hidden="false" customHeight="true" outlineLevel="0" collapsed="false">
      <c r="A120" s="3" t="s">
        <v>1412</v>
      </c>
      <c r="B120" s="3" t="s">
        <v>861</v>
      </c>
      <c r="C120" s="3" t="s">
        <v>1413</v>
      </c>
      <c r="D120" s="3" t="s">
        <v>35</v>
      </c>
      <c r="E120" s="3" t="s">
        <v>35</v>
      </c>
      <c r="F120" s="4" t="s">
        <v>36</v>
      </c>
      <c r="G120" s="3" t="s">
        <v>1414</v>
      </c>
      <c r="H120" s="3" t="s">
        <v>1415</v>
      </c>
      <c r="I120" s="3" t="s">
        <v>1416</v>
      </c>
      <c r="J120" s="3" t="s">
        <v>1417</v>
      </c>
      <c r="K120" s="3" t="s">
        <v>1418</v>
      </c>
      <c r="L120" s="3"/>
      <c r="M120" s="3"/>
      <c r="N120" s="3"/>
      <c r="O120" s="4"/>
      <c r="P120" s="3" t="s">
        <v>1419</v>
      </c>
      <c r="Q120" s="3" t="s">
        <v>1420</v>
      </c>
      <c r="R120" s="3" t="s">
        <v>1421</v>
      </c>
      <c r="S120" s="3" t="s">
        <v>861</v>
      </c>
      <c r="T120" s="4" t="s">
        <v>50</v>
      </c>
      <c r="U120" s="3"/>
      <c r="V120" s="3"/>
      <c r="W120" s="3"/>
      <c r="X120" s="3"/>
      <c r="Y120" s="3"/>
      <c r="Z120" s="3"/>
      <c r="AA120" s="3"/>
      <c r="AB120" s="3" t="s">
        <v>1422</v>
      </c>
      <c r="AC120" s="3" t="s">
        <v>1423</v>
      </c>
      <c r="AD120" s="3" t="s">
        <v>1424</v>
      </c>
      <c r="AE120" s="4" t="s">
        <v>53</v>
      </c>
    </row>
    <row r="121" customFormat="false" ht="15" hidden="false" customHeight="true" outlineLevel="0" collapsed="false">
      <c r="A121" s="3" t="s">
        <v>1425</v>
      </c>
      <c r="B121" s="3" t="s">
        <v>861</v>
      </c>
      <c r="C121" s="3" t="s">
        <v>1426</v>
      </c>
      <c r="D121" s="3" t="s">
        <v>35</v>
      </c>
      <c r="E121" s="3" t="s">
        <v>35</v>
      </c>
      <c r="F121" s="4" t="s">
        <v>36</v>
      </c>
      <c r="G121" s="3" t="s">
        <v>1427</v>
      </c>
      <c r="H121" s="3" t="s">
        <v>1428</v>
      </c>
      <c r="I121" s="3" t="s">
        <v>1429</v>
      </c>
      <c r="J121" s="3" t="s">
        <v>1430</v>
      </c>
      <c r="K121" s="3" t="s">
        <v>1431</v>
      </c>
      <c r="L121" s="3"/>
      <c r="M121" s="3"/>
      <c r="N121" s="3"/>
      <c r="O121" s="4"/>
      <c r="P121" s="3" t="s">
        <v>1319</v>
      </c>
      <c r="Q121" s="3" t="s">
        <v>410</v>
      </c>
      <c r="R121" s="3" t="s">
        <v>1432</v>
      </c>
      <c r="S121" s="3" t="s">
        <v>861</v>
      </c>
      <c r="T121" s="4" t="s">
        <v>50</v>
      </c>
      <c r="U121" s="3"/>
      <c r="V121" s="3"/>
      <c r="W121" s="3"/>
      <c r="X121" s="3"/>
      <c r="Y121" s="3"/>
      <c r="Z121" s="3"/>
      <c r="AA121" s="3"/>
      <c r="AB121" s="3" t="s">
        <v>1433</v>
      </c>
      <c r="AC121" s="3"/>
      <c r="AD121" s="3" t="s">
        <v>1434</v>
      </c>
      <c r="AE121" s="4" t="s">
        <v>53</v>
      </c>
    </row>
    <row r="122" customFormat="false" ht="15" hidden="false" customHeight="true" outlineLevel="0" collapsed="false">
      <c r="A122" s="3" t="s">
        <v>1435</v>
      </c>
      <c r="B122" s="3" t="s">
        <v>861</v>
      </c>
      <c r="C122" s="3" t="s">
        <v>1436</v>
      </c>
      <c r="D122" s="3" t="s">
        <v>189</v>
      </c>
      <c r="E122" s="3" t="s">
        <v>189</v>
      </c>
      <c r="F122" s="4" t="s">
        <v>36</v>
      </c>
      <c r="G122" s="3" t="s">
        <v>1437</v>
      </c>
      <c r="H122" s="3" t="s">
        <v>1438</v>
      </c>
      <c r="I122" s="3" t="s">
        <v>1439</v>
      </c>
      <c r="J122" s="3" t="s">
        <v>1440</v>
      </c>
      <c r="K122" s="3" t="s">
        <v>1441</v>
      </c>
      <c r="L122" s="3"/>
      <c r="M122" s="3"/>
      <c r="N122" s="3"/>
      <c r="O122" s="4"/>
      <c r="P122" s="3" t="s">
        <v>1442</v>
      </c>
      <c r="Q122" s="3" t="s">
        <v>1443</v>
      </c>
      <c r="R122" s="3" t="s">
        <v>1444</v>
      </c>
      <c r="S122" s="3" t="s">
        <v>861</v>
      </c>
      <c r="T122" s="4" t="s">
        <v>50</v>
      </c>
      <c r="U122" s="3"/>
      <c r="V122" s="3"/>
      <c r="W122" s="3"/>
      <c r="X122" s="3"/>
      <c r="Y122" s="3"/>
      <c r="Z122" s="3"/>
      <c r="AA122" s="3"/>
      <c r="AB122" s="3" t="s">
        <v>1445</v>
      </c>
      <c r="AC122" s="3"/>
      <c r="AD122" s="3" t="s">
        <v>1446</v>
      </c>
      <c r="AE122" s="4" t="s">
        <v>53</v>
      </c>
    </row>
    <row r="123" customFormat="false" ht="15" hidden="false" customHeight="true" outlineLevel="0" collapsed="false">
      <c r="A123" s="3" t="s">
        <v>1447</v>
      </c>
      <c r="B123" s="3" t="s">
        <v>861</v>
      </c>
      <c r="C123" s="3" t="s">
        <v>1448</v>
      </c>
      <c r="D123" s="3" t="s">
        <v>35</v>
      </c>
      <c r="E123" s="3" t="s">
        <v>826</v>
      </c>
      <c r="F123" s="4" t="s">
        <v>101</v>
      </c>
      <c r="G123" s="3" t="s">
        <v>1449</v>
      </c>
      <c r="H123" s="3" t="s">
        <v>1450</v>
      </c>
      <c r="I123" s="3" t="s">
        <v>1451</v>
      </c>
      <c r="J123" s="3" t="s">
        <v>1452</v>
      </c>
      <c r="K123" s="3" t="s">
        <v>1453</v>
      </c>
      <c r="L123" s="3"/>
      <c r="M123" s="3"/>
      <c r="N123" s="3"/>
      <c r="O123" s="4"/>
      <c r="P123" s="3" t="s">
        <v>1454</v>
      </c>
      <c r="Q123" s="3" t="s">
        <v>410</v>
      </c>
      <c r="R123" s="3" t="s">
        <v>1455</v>
      </c>
      <c r="S123" s="3" t="s">
        <v>861</v>
      </c>
      <c r="T123" s="4" t="s">
        <v>50</v>
      </c>
      <c r="U123" s="3"/>
      <c r="V123" s="3"/>
      <c r="W123" s="3"/>
      <c r="X123" s="3"/>
      <c r="Y123" s="3"/>
      <c r="Z123" s="3"/>
      <c r="AA123" s="3"/>
      <c r="AB123" s="3" t="s">
        <v>1456</v>
      </c>
      <c r="AC123" s="3"/>
      <c r="AD123" s="3" t="s">
        <v>1457</v>
      </c>
      <c r="AE123" s="4" t="s">
        <v>53</v>
      </c>
    </row>
    <row r="124" customFormat="false" ht="15" hidden="false" customHeight="true" outlineLevel="0" collapsed="false">
      <c r="A124" s="3" t="s">
        <v>1458</v>
      </c>
      <c r="B124" s="3" t="s">
        <v>1459</v>
      </c>
      <c r="C124" s="3" t="s">
        <v>1460</v>
      </c>
      <c r="D124" s="3" t="s">
        <v>1461</v>
      </c>
      <c r="E124" s="3" t="s">
        <v>35</v>
      </c>
      <c r="F124" s="4" t="s">
        <v>36</v>
      </c>
      <c r="G124" s="3" t="s">
        <v>1462</v>
      </c>
      <c r="H124" s="3" t="s">
        <v>1463</v>
      </c>
      <c r="I124" s="3" t="s">
        <v>1464</v>
      </c>
      <c r="J124" s="3" t="s">
        <v>1465</v>
      </c>
      <c r="K124" s="3" t="s">
        <v>1466</v>
      </c>
      <c r="L124" s="3" t="s">
        <v>42</v>
      </c>
      <c r="M124" s="3"/>
      <c r="N124" s="3"/>
      <c r="O124" s="4"/>
      <c r="P124" s="3" t="s">
        <v>1467</v>
      </c>
      <c r="Q124" s="3" t="s">
        <v>64</v>
      </c>
      <c r="R124" s="3" t="s">
        <v>1468</v>
      </c>
      <c r="S124" s="3"/>
      <c r="T124" s="4" t="s">
        <v>50</v>
      </c>
      <c r="U124" s="3"/>
      <c r="V124" s="3"/>
      <c r="W124" s="3"/>
      <c r="X124" s="3"/>
      <c r="Y124" s="3"/>
      <c r="Z124" s="3"/>
      <c r="AA124" s="3"/>
      <c r="AB124" s="3" t="s">
        <v>1469</v>
      </c>
      <c r="AC124" s="3"/>
      <c r="AD124" s="3"/>
      <c r="AE124" s="4" t="s">
        <v>53</v>
      </c>
    </row>
    <row r="125" customFormat="false" ht="15" hidden="false" customHeight="true" outlineLevel="0" collapsed="false">
      <c r="A125" s="3" t="s">
        <v>1470</v>
      </c>
      <c r="B125" s="3" t="s">
        <v>1459</v>
      </c>
      <c r="C125" s="3" t="s">
        <v>1471</v>
      </c>
      <c r="D125" s="3" t="s">
        <v>189</v>
      </c>
      <c r="E125" s="3" t="s">
        <v>189</v>
      </c>
      <c r="F125" s="4" t="s">
        <v>36</v>
      </c>
      <c r="G125" s="3" t="s">
        <v>1472</v>
      </c>
      <c r="H125" s="3" t="s">
        <v>1473</v>
      </c>
      <c r="I125" s="3" t="s">
        <v>1474</v>
      </c>
      <c r="J125" s="3" t="s">
        <v>1475</v>
      </c>
      <c r="K125" s="3" t="s">
        <v>1476</v>
      </c>
      <c r="L125" s="3"/>
      <c r="M125" s="3"/>
      <c r="N125" s="3"/>
      <c r="O125" s="4" t="s">
        <v>282</v>
      </c>
      <c r="P125" s="3" t="s">
        <v>1477</v>
      </c>
      <c r="Q125" s="3" t="s">
        <v>1478</v>
      </c>
      <c r="R125" s="3" t="s">
        <v>1479</v>
      </c>
      <c r="S125" s="3"/>
      <c r="T125" s="4" t="s">
        <v>50</v>
      </c>
      <c r="U125" s="3"/>
      <c r="V125" s="3"/>
      <c r="W125" s="3"/>
      <c r="X125" s="3"/>
      <c r="Y125" s="3"/>
      <c r="Z125" s="3"/>
      <c r="AA125" s="3"/>
      <c r="AB125" s="3" t="s">
        <v>1480</v>
      </c>
      <c r="AC125" s="3"/>
      <c r="AD125" s="3"/>
      <c r="AE125" s="4" t="s">
        <v>53</v>
      </c>
    </row>
    <row r="126" customFormat="false" ht="15" hidden="false" customHeight="true" outlineLevel="0" collapsed="false">
      <c r="A126" s="3" t="s">
        <v>1481</v>
      </c>
      <c r="B126" s="3" t="s">
        <v>1459</v>
      </c>
      <c r="C126" s="3" t="s">
        <v>1482</v>
      </c>
      <c r="D126" s="3" t="s">
        <v>315</v>
      </c>
      <c r="E126" s="3" t="s">
        <v>316</v>
      </c>
      <c r="F126" s="4" t="s">
        <v>36</v>
      </c>
      <c r="G126" s="3" t="s">
        <v>1483</v>
      </c>
      <c r="H126" s="3" t="s">
        <v>1484</v>
      </c>
      <c r="I126" s="3" t="s">
        <v>1485</v>
      </c>
      <c r="J126" s="3" t="s">
        <v>1486</v>
      </c>
      <c r="K126" s="3" t="s">
        <v>1487</v>
      </c>
      <c r="L126" s="3" t="s">
        <v>280</v>
      </c>
      <c r="M126" s="3"/>
      <c r="N126" s="3"/>
      <c r="O126" s="4" t="s">
        <v>323</v>
      </c>
      <c r="P126" s="3" t="s">
        <v>1488</v>
      </c>
      <c r="Q126" s="3" t="s">
        <v>1489</v>
      </c>
      <c r="R126" s="3" t="s">
        <v>1490</v>
      </c>
      <c r="S126" s="3"/>
      <c r="T126" s="4" t="s">
        <v>326</v>
      </c>
      <c r="U126" s="3"/>
      <c r="V126" s="3"/>
      <c r="W126" s="3"/>
      <c r="X126" s="3"/>
      <c r="Y126" s="3"/>
      <c r="Z126" s="3"/>
      <c r="AA126" s="3"/>
      <c r="AB126" s="3" t="s">
        <v>1491</v>
      </c>
      <c r="AC126" s="3"/>
      <c r="AD126" s="3"/>
      <c r="AE126" s="4" t="s">
        <v>53</v>
      </c>
    </row>
    <row r="127" customFormat="false" ht="15" hidden="false" customHeight="true" outlineLevel="0" collapsed="false">
      <c r="A127" s="3" t="s">
        <v>1492</v>
      </c>
      <c r="B127" s="3" t="s">
        <v>1459</v>
      </c>
      <c r="C127" s="3" t="s">
        <v>1493</v>
      </c>
      <c r="D127" s="3" t="s">
        <v>125</v>
      </c>
      <c r="E127" s="3" t="s">
        <v>125</v>
      </c>
      <c r="F127" s="4" t="s">
        <v>842</v>
      </c>
      <c r="G127" s="3" t="s">
        <v>1494</v>
      </c>
      <c r="H127" s="3" t="s">
        <v>1495</v>
      </c>
      <c r="I127" s="3" t="s">
        <v>1496</v>
      </c>
      <c r="J127" s="3" t="s">
        <v>1497</v>
      </c>
      <c r="K127" s="3" t="s">
        <v>1498</v>
      </c>
      <c r="L127" s="3"/>
      <c r="M127" s="3"/>
      <c r="N127" s="3"/>
      <c r="O127" s="4"/>
      <c r="P127" s="3" t="s">
        <v>1499</v>
      </c>
      <c r="Q127" s="3"/>
      <c r="R127" s="3" t="s">
        <v>1500</v>
      </c>
      <c r="S127" s="3"/>
      <c r="T127" s="4" t="s">
        <v>412</v>
      </c>
      <c r="U127" s="3"/>
      <c r="V127" s="3"/>
      <c r="W127" s="3"/>
      <c r="X127" s="3"/>
      <c r="Y127" s="3"/>
      <c r="Z127" s="3"/>
      <c r="AA127" s="3"/>
      <c r="AB127" s="3" t="s">
        <v>1090</v>
      </c>
      <c r="AC127" s="3"/>
      <c r="AD127" s="3"/>
      <c r="AE127" s="4" t="s">
        <v>53</v>
      </c>
    </row>
    <row r="128" customFormat="false" ht="15" hidden="false" customHeight="true" outlineLevel="0" collapsed="false">
      <c r="A128" s="3" t="s">
        <v>1501</v>
      </c>
      <c r="B128" s="3" t="s">
        <v>1459</v>
      </c>
      <c r="C128" s="3" t="s">
        <v>1502</v>
      </c>
      <c r="D128" s="3" t="s">
        <v>189</v>
      </c>
      <c r="E128" s="3" t="s">
        <v>189</v>
      </c>
      <c r="F128" s="4" t="s">
        <v>36</v>
      </c>
      <c r="G128" s="3" t="s">
        <v>1503</v>
      </c>
      <c r="H128" s="3" t="s">
        <v>1504</v>
      </c>
      <c r="I128" s="3" t="s">
        <v>1505</v>
      </c>
      <c r="J128" s="3" t="s">
        <v>1506</v>
      </c>
      <c r="K128" s="3" t="s">
        <v>1507</v>
      </c>
      <c r="L128" s="3" t="s">
        <v>42</v>
      </c>
      <c r="M128" s="3"/>
      <c r="N128" s="3"/>
      <c r="O128" s="4" t="s">
        <v>132</v>
      </c>
      <c r="P128" s="3" t="s">
        <v>1508</v>
      </c>
      <c r="Q128" s="3" t="s">
        <v>133</v>
      </c>
      <c r="R128" s="3" t="s">
        <v>1509</v>
      </c>
      <c r="S128" s="3"/>
      <c r="T128" s="4" t="s">
        <v>50</v>
      </c>
      <c r="U128" s="3"/>
      <c r="V128" s="3"/>
      <c r="W128" s="3"/>
      <c r="X128" s="3"/>
      <c r="Y128" s="3"/>
      <c r="Z128" s="3"/>
      <c r="AA128" s="3"/>
      <c r="AB128" s="3" t="s">
        <v>1510</v>
      </c>
      <c r="AC128" s="3"/>
      <c r="AD128" s="3"/>
      <c r="AE128" s="4" t="s">
        <v>53</v>
      </c>
    </row>
    <row r="129" customFormat="false" ht="15" hidden="false" customHeight="true" outlineLevel="0" collapsed="false">
      <c r="A129" s="3" t="s">
        <v>1511</v>
      </c>
      <c r="B129" s="3" t="s">
        <v>1459</v>
      </c>
      <c r="C129" s="3" t="s">
        <v>1512</v>
      </c>
      <c r="D129" s="3" t="s">
        <v>35</v>
      </c>
      <c r="E129" s="3" t="s">
        <v>35</v>
      </c>
      <c r="F129" s="4" t="s">
        <v>36</v>
      </c>
      <c r="G129" s="3" t="s">
        <v>1513</v>
      </c>
      <c r="H129" s="3" t="s">
        <v>1514</v>
      </c>
      <c r="I129" s="3" t="s">
        <v>1515</v>
      </c>
      <c r="J129" s="3" t="s">
        <v>1516</v>
      </c>
      <c r="K129" s="3" t="s">
        <v>1517</v>
      </c>
      <c r="L129" s="3" t="s">
        <v>42</v>
      </c>
      <c r="M129" s="3"/>
      <c r="N129" s="3"/>
      <c r="O129" s="4"/>
      <c r="P129" s="3" t="s">
        <v>1518</v>
      </c>
      <c r="Q129" s="3" t="s">
        <v>64</v>
      </c>
      <c r="R129" s="3" t="s">
        <v>1519</v>
      </c>
      <c r="S129" s="3"/>
      <c r="T129" s="4" t="s">
        <v>50</v>
      </c>
      <c r="U129" s="3"/>
      <c r="V129" s="3"/>
      <c r="W129" s="3"/>
      <c r="X129" s="3"/>
      <c r="Y129" s="3"/>
      <c r="Z129" s="3"/>
      <c r="AA129" s="3"/>
      <c r="AB129" s="3" t="s">
        <v>1520</v>
      </c>
      <c r="AC129" s="3"/>
      <c r="AD129" s="3"/>
      <c r="AE129" s="4" t="s">
        <v>53</v>
      </c>
    </row>
    <row r="130" customFormat="false" ht="15" hidden="false" customHeight="true" outlineLevel="0" collapsed="false">
      <c r="A130" s="3" t="s">
        <v>1521</v>
      </c>
      <c r="B130" s="3" t="s">
        <v>1459</v>
      </c>
      <c r="C130" s="3" t="s">
        <v>1522</v>
      </c>
      <c r="D130" s="3" t="s">
        <v>273</v>
      </c>
      <c r="E130" s="3" t="s">
        <v>35</v>
      </c>
      <c r="F130" s="4" t="s">
        <v>36</v>
      </c>
      <c r="G130" s="3" t="s">
        <v>1523</v>
      </c>
      <c r="H130" s="3" t="s">
        <v>1524</v>
      </c>
      <c r="I130" s="3" t="s">
        <v>1525</v>
      </c>
      <c r="J130" s="3" t="s">
        <v>1526</v>
      </c>
      <c r="K130" s="3" t="s">
        <v>1527</v>
      </c>
      <c r="L130" s="3" t="s">
        <v>280</v>
      </c>
      <c r="M130" s="3"/>
      <c r="N130" s="3"/>
      <c r="O130" s="4" t="s">
        <v>282</v>
      </c>
      <c r="P130" s="3" t="s">
        <v>1528</v>
      </c>
      <c r="Q130" s="3" t="s">
        <v>791</v>
      </c>
      <c r="R130" s="3" t="s">
        <v>1529</v>
      </c>
      <c r="S130" s="3"/>
      <c r="T130" s="4" t="s">
        <v>287</v>
      </c>
      <c r="U130" s="3"/>
      <c r="V130" s="3"/>
      <c r="W130" s="3"/>
      <c r="X130" s="3"/>
      <c r="Y130" s="3"/>
      <c r="Z130" s="3"/>
      <c r="AA130" s="3"/>
      <c r="AB130" s="3" t="s">
        <v>1530</v>
      </c>
      <c r="AC130" s="3" t="s">
        <v>1531</v>
      </c>
      <c r="AD130" s="3"/>
      <c r="AE130" s="4" t="s">
        <v>53</v>
      </c>
    </row>
    <row r="131" customFormat="false" ht="15" hidden="false" customHeight="true" outlineLevel="0" collapsed="false">
      <c r="A131" s="3" t="s">
        <v>676</v>
      </c>
      <c r="B131" s="3" t="s">
        <v>1459</v>
      </c>
      <c r="C131" s="3" t="s">
        <v>1532</v>
      </c>
      <c r="D131" s="3" t="s">
        <v>664</v>
      </c>
      <c r="E131" s="3" t="s">
        <v>665</v>
      </c>
      <c r="F131" s="4" t="s">
        <v>101</v>
      </c>
      <c r="G131" s="3" t="s">
        <v>1533</v>
      </c>
      <c r="H131" s="3" t="s">
        <v>1534</v>
      </c>
      <c r="I131" s="3" t="s">
        <v>1535</v>
      </c>
      <c r="J131" s="3" t="s">
        <v>1536</v>
      </c>
      <c r="K131" s="3" t="s">
        <v>1537</v>
      </c>
      <c r="L131" s="3" t="s">
        <v>671</v>
      </c>
      <c r="M131" s="3"/>
      <c r="N131" s="3"/>
      <c r="O131" s="4" t="s">
        <v>363</v>
      </c>
      <c r="P131" s="3"/>
      <c r="Q131" s="3" t="s">
        <v>1538</v>
      </c>
      <c r="R131" s="3" t="s">
        <v>1539</v>
      </c>
      <c r="S131" s="3"/>
      <c r="T131" s="4" t="s">
        <v>675</v>
      </c>
      <c r="U131" s="3"/>
      <c r="V131" s="3"/>
      <c r="W131" s="3"/>
      <c r="X131" s="3"/>
      <c r="Y131" s="3"/>
      <c r="Z131" s="3"/>
      <c r="AA131" s="3"/>
      <c r="AB131" s="3" t="s">
        <v>662</v>
      </c>
      <c r="AC131" s="3" t="s">
        <v>1540</v>
      </c>
      <c r="AD131" s="3"/>
      <c r="AE131" s="4" t="s">
        <v>53</v>
      </c>
    </row>
    <row r="132" customFormat="false" ht="15" hidden="false" customHeight="true" outlineLevel="0" collapsed="false">
      <c r="A132" s="3" t="s">
        <v>1541</v>
      </c>
      <c r="B132" s="3" t="s">
        <v>1459</v>
      </c>
      <c r="C132" s="3" t="s">
        <v>1542</v>
      </c>
      <c r="D132" s="3" t="s">
        <v>1461</v>
      </c>
      <c r="E132" s="3" t="s">
        <v>258</v>
      </c>
      <c r="F132" s="4" t="s">
        <v>36</v>
      </c>
      <c r="G132" s="3" t="s">
        <v>1543</v>
      </c>
      <c r="H132" s="3" t="s">
        <v>1544</v>
      </c>
      <c r="I132" s="3" t="s">
        <v>1545</v>
      </c>
      <c r="J132" s="3" t="s">
        <v>1546</v>
      </c>
      <c r="K132" s="3" t="s">
        <v>1547</v>
      </c>
      <c r="L132" s="3" t="s">
        <v>195</v>
      </c>
      <c r="M132" s="3"/>
      <c r="N132" s="3"/>
      <c r="O132" s="4"/>
      <c r="P132" s="3" t="s">
        <v>1548</v>
      </c>
      <c r="Q132" s="3" t="s">
        <v>1549</v>
      </c>
      <c r="R132" s="3" t="s">
        <v>1550</v>
      </c>
      <c r="S132" s="3"/>
      <c r="T132" s="4" t="s">
        <v>50</v>
      </c>
      <c r="U132" s="3"/>
      <c r="V132" s="3"/>
      <c r="W132" s="3"/>
      <c r="X132" s="3"/>
      <c r="Y132" s="3"/>
      <c r="Z132" s="3"/>
      <c r="AA132" s="3"/>
      <c r="AB132" s="3" t="s">
        <v>1551</v>
      </c>
      <c r="AC132" s="3" t="s">
        <v>1552</v>
      </c>
      <c r="AD132" s="3" t="s">
        <v>1553</v>
      </c>
      <c r="AE132" s="4" t="s">
        <v>53</v>
      </c>
    </row>
    <row r="133" customFormat="false" ht="15" hidden="false" customHeight="true" outlineLevel="0" collapsed="false">
      <c r="A133" s="3" t="s">
        <v>1554</v>
      </c>
      <c r="B133" s="3" t="s">
        <v>1459</v>
      </c>
      <c r="C133" s="3" t="s">
        <v>1555</v>
      </c>
      <c r="D133" s="3" t="s">
        <v>1556</v>
      </c>
      <c r="E133" s="3" t="s">
        <v>258</v>
      </c>
      <c r="F133" s="4" t="s">
        <v>36</v>
      </c>
      <c r="G133" s="3" t="s">
        <v>1557</v>
      </c>
      <c r="H133" s="3" t="s">
        <v>1558</v>
      </c>
      <c r="I133" s="3" t="s">
        <v>1559</v>
      </c>
      <c r="J133" s="3" t="s">
        <v>1560</v>
      </c>
      <c r="K133" s="3" t="s">
        <v>1561</v>
      </c>
      <c r="L133" s="3"/>
      <c r="M133" s="3"/>
      <c r="N133" s="3"/>
      <c r="O133" s="4"/>
      <c r="P133" s="3" t="s">
        <v>1562</v>
      </c>
      <c r="Q133" s="3" t="s">
        <v>732</v>
      </c>
      <c r="R133" s="3" t="s">
        <v>1550</v>
      </c>
      <c r="S133" s="3"/>
      <c r="T133" s="4" t="s">
        <v>50</v>
      </c>
      <c r="U133" s="3"/>
      <c r="V133" s="3"/>
      <c r="W133" s="3"/>
      <c r="X133" s="3"/>
      <c r="Y133" s="3"/>
      <c r="Z133" s="3"/>
      <c r="AA133" s="3"/>
      <c r="AB133" s="3" t="s">
        <v>1563</v>
      </c>
      <c r="AC133" s="3"/>
      <c r="AD133" s="3" t="s">
        <v>1564</v>
      </c>
      <c r="AE133" s="4" t="s">
        <v>53</v>
      </c>
    </row>
    <row r="134" customFormat="false" ht="15" hidden="false" customHeight="true" outlineLevel="0" collapsed="false">
      <c r="A134" s="3" t="s">
        <v>1565</v>
      </c>
      <c r="B134" s="3" t="s">
        <v>1459</v>
      </c>
      <c r="C134" s="3" t="s">
        <v>1566</v>
      </c>
      <c r="D134" s="3" t="s">
        <v>1461</v>
      </c>
      <c r="E134" s="3" t="s">
        <v>35</v>
      </c>
      <c r="F134" s="4" t="s">
        <v>36</v>
      </c>
      <c r="G134" s="3" t="s">
        <v>1567</v>
      </c>
      <c r="H134" s="3" t="s">
        <v>1568</v>
      </c>
      <c r="I134" s="3" t="s">
        <v>1569</v>
      </c>
      <c r="J134" s="3" t="s">
        <v>1570</v>
      </c>
      <c r="K134" s="3" t="s">
        <v>1571</v>
      </c>
      <c r="L134" s="3" t="s">
        <v>42</v>
      </c>
      <c r="M134" s="3"/>
      <c r="N134" s="3"/>
      <c r="O134" s="4"/>
      <c r="P134" s="3" t="s">
        <v>1572</v>
      </c>
      <c r="Q134" s="3" t="s">
        <v>1573</v>
      </c>
      <c r="R134" s="3" t="s">
        <v>1550</v>
      </c>
      <c r="S134" s="3"/>
      <c r="T134" s="4" t="s">
        <v>50</v>
      </c>
      <c r="U134" s="3"/>
      <c r="V134" s="3"/>
      <c r="W134" s="3"/>
      <c r="X134" s="3"/>
      <c r="Y134" s="3"/>
      <c r="Z134" s="3"/>
      <c r="AA134" s="3"/>
      <c r="AB134" s="3" t="s">
        <v>1574</v>
      </c>
      <c r="AC134" s="3"/>
      <c r="AD134" s="3" t="s">
        <v>1575</v>
      </c>
      <c r="AE134" s="4" t="s">
        <v>53</v>
      </c>
    </row>
    <row r="135" customFormat="false" ht="15" hidden="false" customHeight="true" outlineLevel="0" collapsed="false">
      <c r="A135" s="3" t="s">
        <v>1576</v>
      </c>
      <c r="B135" s="3" t="s">
        <v>1459</v>
      </c>
      <c r="C135" s="3" t="s">
        <v>1577</v>
      </c>
      <c r="D135" s="3" t="s">
        <v>1461</v>
      </c>
      <c r="E135" s="3" t="s">
        <v>35</v>
      </c>
      <c r="F135" s="4" t="s">
        <v>101</v>
      </c>
      <c r="G135" s="3" t="s">
        <v>1578</v>
      </c>
      <c r="H135" s="3" t="s">
        <v>1579</v>
      </c>
      <c r="I135" s="3" t="s">
        <v>1580</v>
      </c>
      <c r="J135" s="3" t="s">
        <v>1581</v>
      </c>
      <c r="K135" s="3" t="s">
        <v>1582</v>
      </c>
      <c r="L135" s="3" t="s">
        <v>42</v>
      </c>
      <c r="M135" s="3"/>
      <c r="N135" s="3"/>
      <c r="O135" s="4"/>
      <c r="P135" s="3" t="s">
        <v>1467</v>
      </c>
      <c r="Q135" s="3" t="s">
        <v>64</v>
      </c>
      <c r="R135" s="3" t="s">
        <v>1550</v>
      </c>
      <c r="S135" s="3"/>
      <c r="T135" s="4" t="s">
        <v>50</v>
      </c>
      <c r="U135" s="3"/>
      <c r="V135" s="3"/>
      <c r="W135" s="3"/>
      <c r="X135" s="3"/>
      <c r="Y135" s="3"/>
      <c r="Z135" s="3"/>
      <c r="AA135" s="3"/>
      <c r="AB135" s="3" t="s">
        <v>1583</v>
      </c>
      <c r="AC135" s="3" t="s">
        <v>1552</v>
      </c>
      <c r="AD135" s="3" t="s">
        <v>1584</v>
      </c>
      <c r="AE135" s="4" t="s">
        <v>53</v>
      </c>
    </row>
    <row r="136" customFormat="false" ht="15" hidden="false" customHeight="true" outlineLevel="0" collapsed="false">
      <c r="A136" s="3" t="s">
        <v>1585</v>
      </c>
      <c r="B136" s="3" t="s">
        <v>1459</v>
      </c>
      <c r="C136" s="3" t="s">
        <v>1586</v>
      </c>
      <c r="D136" s="3" t="s">
        <v>1461</v>
      </c>
      <c r="E136" s="3" t="s">
        <v>35</v>
      </c>
      <c r="F136" s="4" t="s">
        <v>36</v>
      </c>
      <c r="G136" s="3" t="s">
        <v>1587</v>
      </c>
      <c r="H136" s="3" t="s">
        <v>1588</v>
      </c>
      <c r="I136" s="3" t="s">
        <v>1589</v>
      </c>
      <c r="J136" s="3" t="s">
        <v>1590</v>
      </c>
      <c r="K136" s="3" t="s">
        <v>1591</v>
      </c>
      <c r="L136" s="3"/>
      <c r="M136" s="3"/>
      <c r="N136" s="3"/>
      <c r="O136" s="4"/>
      <c r="P136" s="3" t="s">
        <v>1592</v>
      </c>
      <c r="Q136" s="3" t="s">
        <v>64</v>
      </c>
      <c r="R136" s="3" t="s">
        <v>1550</v>
      </c>
      <c r="S136" s="3" t="s">
        <v>861</v>
      </c>
      <c r="T136" s="4" t="s">
        <v>50</v>
      </c>
      <c r="U136" s="3"/>
      <c r="V136" s="3"/>
      <c r="W136" s="3"/>
      <c r="X136" s="3"/>
      <c r="Y136" s="3"/>
      <c r="Z136" s="3"/>
      <c r="AA136" s="3"/>
      <c r="AB136" s="3" t="s">
        <v>1593</v>
      </c>
      <c r="AC136" s="3"/>
      <c r="AD136" s="3" t="s">
        <v>1594</v>
      </c>
      <c r="AE136" s="4" t="s">
        <v>53</v>
      </c>
    </row>
    <row r="137" customFormat="false" ht="15" hidden="false" customHeight="true" outlineLevel="0" collapsed="false">
      <c r="A137" s="3" t="s">
        <v>1595</v>
      </c>
      <c r="B137" s="3" t="s">
        <v>1459</v>
      </c>
      <c r="C137" s="3" t="s">
        <v>1596</v>
      </c>
      <c r="D137" s="3" t="s">
        <v>342</v>
      </c>
      <c r="E137" s="3" t="s">
        <v>258</v>
      </c>
      <c r="F137" s="4" t="s">
        <v>36</v>
      </c>
      <c r="G137" s="3" t="s">
        <v>1597</v>
      </c>
      <c r="H137" s="3" t="s">
        <v>1598</v>
      </c>
      <c r="I137" s="3" t="s">
        <v>1599</v>
      </c>
      <c r="J137" s="3" t="s">
        <v>1600</v>
      </c>
      <c r="K137" s="3" t="s">
        <v>1601</v>
      </c>
      <c r="L137" s="3" t="s">
        <v>1602</v>
      </c>
      <c r="M137" s="3"/>
      <c r="N137" s="3"/>
      <c r="O137" s="4" t="s">
        <v>350</v>
      </c>
      <c r="P137" s="3" t="s">
        <v>1603</v>
      </c>
      <c r="Q137" s="3" t="s">
        <v>1604</v>
      </c>
      <c r="R137" s="3" t="s">
        <v>1605</v>
      </c>
      <c r="S137" s="3"/>
      <c r="T137" s="4" t="s">
        <v>82</v>
      </c>
      <c r="U137" s="3"/>
      <c r="V137" s="3"/>
      <c r="W137" s="3"/>
      <c r="X137" s="3"/>
      <c r="Y137" s="3"/>
      <c r="Z137" s="3"/>
      <c r="AA137" s="3"/>
      <c r="AB137" s="3" t="s">
        <v>1606</v>
      </c>
      <c r="AC137" s="3" t="s">
        <v>1607</v>
      </c>
      <c r="AD137" s="3" t="s">
        <v>1608</v>
      </c>
      <c r="AE137" s="4" t="s">
        <v>53</v>
      </c>
    </row>
    <row r="138" customFormat="false" ht="15" hidden="false" customHeight="true" outlineLevel="0" collapsed="false">
      <c r="A138" s="3" t="s">
        <v>1609</v>
      </c>
      <c r="B138" s="3" t="s">
        <v>1459</v>
      </c>
      <c r="C138" s="3" t="s">
        <v>1610</v>
      </c>
      <c r="D138" s="3" t="s">
        <v>273</v>
      </c>
      <c r="E138" s="3" t="s">
        <v>258</v>
      </c>
      <c r="F138" s="4" t="s">
        <v>36</v>
      </c>
      <c r="G138" s="3" t="s">
        <v>1611</v>
      </c>
      <c r="H138" s="3" t="s">
        <v>1612</v>
      </c>
      <c r="I138" s="3" t="s">
        <v>1613</v>
      </c>
      <c r="J138" s="3" t="s">
        <v>1614</v>
      </c>
      <c r="K138" s="3" t="s">
        <v>1615</v>
      </c>
      <c r="L138" s="3" t="s">
        <v>280</v>
      </c>
      <c r="M138" s="3"/>
      <c r="N138" s="3"/>
      <c r="O138" s="4" t="s">
        <v>282</v>
      </c>
      <c r="P138" s="3" t="s">
        <v>1616</v>
      </c>
      <c r="Q138" s="3" t="s">
        <v>1617</v>
      </c>
      <c r="R138" s="3" t="s">
        <v>1618</v>
      </c>
      <c r="S138" s="3"/>
      <c r="T138" s="4" t="s">
        <v>287</v>
      </c>
      <c r="U138" s="3"/>
      <c r="V138" s="3"/>
      <c r="W138" s="3"/>
      <c r="X138" s="3"/>
      <c r="Y138" s="3"/>
      <c r="Z138" s="3"/>
      <c r="AA138" s="3"/>
      <c r="AB138" s="3" t="s">
        <v>1619</v>
      </c>
      <c r="AC138" s="3" t="s">
        <v>1531</v>
      </c>
      <c r="AD138" s="3" t="s">
        <v>1620</v>
      </c>
      <c r="AE138" s="4" t="s">
        <v>53</v>
      </c>
    </row>
    <row r="139" customFormat="false" ht="15" hidden="false" customHeight="true" outlineLevel="0" collapsed="false">
      <c r="A139" s="3" t="s">
        <v>1621</v>
      </c>
      <c r="B139" s="3" t="s">
        <v>1459</v>
      </c>
      <c r="C139" s="3" t="s">
        <v>1622</v>
      </c>
      <c r="D139" s="3" t="s">
        <v>1461</v>
      </c>
      <c r="E139" s="3" t="s">
        <v>258</v>
      </c>
      <c r="F139" s="4" t="s">
        <v>36</v>
      </c>
      <c r="G139" s="3" t="s">
        <v>1623</v>
      </c>
      <c r="H139" s="3" t="s">
        <v>1624</v>
      </c>
      <c r="I139" s="3" t="s">
        <v>1625</v>
      </c>
      <c r="J139" s="3" t="s">
        <v>1626</v>
      </c>
      <c r="K139" s="3" t="s">
        <v>1627</v>
      </c>
      <c r="L139" s="3" t="s">
        <v>42</v>
      </c>
      <c r="M139" s="3"/>
      <c r="N139" s="3"/>
      <c r="O139" s="4"/>
      <c r="P139" s="3" t="s">
        <v>1628</v>
      </c>
      <c r="Q139" s="3" t="s">
        <v>1629</v>
      </c>
      <c r="R139" s="3" t="s">
        <v>1630</v>
      </c>
      <c r="S139" s="3"/>
      <c r="T139" s="4" t="s">
        <v>50</v>
      </c>
      <c r="U139" s="3"/>
      <c r="V139" s="3"/>
      <c r="W139" s="3"/>
      <c r="X139" s="3"/>
      <c r="Y139" s="3"/>
      <c r="Z139" s="3"/>
      <c r="AA139" s="3"/>
      <c r="AB139" s="3" t="s">
        <v>1631</v>
      </c>
      <c r="AC139" s="3"/>
      <c r="AD139" s="3" t="s">
        <v>1632</v>
      </c>
      <c r="AE139" s="4" t="s">
        <v>53</v>
      </c>
    </row>
    <row r="140" customFormat="false" ht="15" hidden="false" customHeight="true" outlineLevel="0" collapsed="false">
      <c r="A140" s="3" t="s">
        <v>1633</v>
      </c>
      <c r="B140" s="3" t="s">
        <v>1459</v>
      </c>
      <c r="C140" s="3" t="s">
        <v>1634</v>
      </c>
      <c r="D140" s="3" t="s">
        <v>273</v>
      </c>
      <c r="E140" s="3" t="s">
        <v>258</v>
      </c>
      <c r="F140" s="4" t="s">
        <v>36</v>
      </c>
      <c r="G140" s="3" t="s">
        <v>1635</v>
      </c>
      <c r="H140" s="3" t="s">
        <v>1636</v>
      </c>
      <c r="I140" s="3" t="s">
        <v>1637</v>
      </c>
      <c r="J140" s="3" t="s">
        <v>1638</v>
      </c>
      <c r="K140" s="3" t="s">
        <v>1639</v>
      </c>
      <c r="L140" s="3" t="s">
        <v>280</v>
      </c>
      <c r="M140" s="3"/>
      <c r="N140" s="3"/>
      <c r="O140" s="4"/>
      <c r="P140" s="3" t="s">
        <v>1640</v>
      </c>
      <c r="Q140" s="3" t="s">
        <v>1110</v>
      </c>
      <c r="R140" s="3" t="s">
        <v>1630</v>
      </c>
      <c r="S140" s="3"/>
      <c r="T140" s="4" t="s">
        <v>412</v>
      </c>
      <c r="U140" s="3"/>
      <c r="V140" s="3"/>
      <c r="W140" s="3"/>
      <c r="X140" s="3"/>
      <c r="Y140" s="3"/>
      <c r="Z140" s="3"/>
      <c r="AA140" s="3"/>
      <c r="AB140" s="3" t="s">
        <v>1641</v>
      </c>
      <c r="AC140" s="3" t="s">
        <v>1642</v>
      </c>
      <c r="AD140" s="3" t="s">
        <v>1643</v>
      </c>
      <c r="AE140" s="4" t="s">
        <v>53</v>
      </c>
    </row>
    <row r="141" customFormat="false" ht="15" hidden="false" customHeight="true" outlineLevel="0" collapsed="false">
      <c r="A141" s="3" t="s">
        <v>1644</v>
      </c>
      <c r="B141" s="3" t="s">
        <v>1459</v>
      </c>
      <c r="C141" s="3" t="s">
        <v>1645</v>
      </c>
      <c r="D141" s="3" t="s">
        <v>315</v>
      </c>
      <c r="E141" s="3" t="s">
        <v>316</v>
      </c>
      <c r="F141" s="4" t="s">
        <v>101</v>
      </c>
      <c r="G141" s="3" t="s">
        <v>1646</v>
      </c>
      <c r="H141" s="3" t="s">
        <v>1647</v>
      </c>
      <c r="I141" s="3" t="s">
        <v>1648</v>
      </c>
      <c r="J141" s="3" t="s">
        <v>1649</v>
      </c>
      <c r="K141" s="3" t="s">
        <v>1650</v>
      </c>
      <c r="L141" s="3" t="s">
        <v>307</v>
      </c>
      <c r="M141" s="3"/>
      <c r="N141" s="3"/>
      <c r="O141" s="4"/>
      <c r="P141" s="3" t="s">
        <v>1651</v>
      </c>
      <c r="Q141" s="3" t="s">
        <v>1652</v>
      </c>
      <c r="R141" s="3" t="s">
        <v>1550</v>
      </c>
      <c r="S141" s="3"/>
      <c r="T141" s="4" t="s">
        <v>326</v>
      </c>
      <c r="U141" s="3"/>
      <c r="V141" s="3"/>
      <c r="W141" s="3"/>
      <c r="X141" s="3"/>
      <c r="Y141" s="3"/>
      <c r="Z141" s="3"/>
      <c r="AA141" s="3"/>
      <c r="AB141" s="3" t="s">
        <v>1653</v>
      </c>
      <c r="AC141" s="3" t="s">
        <v>1552</v>
      </c>
      <c r="AD141" s="3" t="s">
        <v>1654</v>
      </c>
      <c r="AE141" s="4" t="s">
        <v>53</v>
      </c>
    </row>
    <row r="142" customFormat="false" ht="15" hidden="false" customHeight="true" outlineLevel="0" collapsed="false">
      <c r="A142" s="3" t="s">
        <v>812</v>
      </c>
      <c r="B142" s="3" t="s">
        <v>1459</v>
      </c>
      <c r="C142" s="3" t="s">
        <v>1655</v>
      </c>
      <c r="D142" s="3" t="s">
        <v>342</v>
      </c>
      <c r="E142" s="3" t="s">
        <v>258</v>
      </c>
      <c r="F142" s="4" t="s">
        <v>36</v>
      </c>
      <c r="G142" s="3" t="s">
        <v>1656</v>
      </c>
      <c r="H142" s="3" t="s">
        <v>1657</v>
      </c>
      <c r="I142" s="3" t="s">
        <v>1658</v>
      </c>
      <c r="J142" s="3" t="s">
        <v>1659</v>
      </c>
      <c r="K142" s="3" t="s">
        <v>1660</v>
      </c>
      <c r="L142" s="3" t="s">
        <v>348</v>
      </c>
      <c r="M142" s="3"/>
      <c r="N142" s="3"/>
      <c r="O142" s="4" t="s">
        <v>350</v>
      </c>
      <c r="P142" s="3" t="s">
        <v>688</v>
      </c>
      <c r="Q142" s="3" t="s">
        <v>1661</v>
      </c>
      <c r="R142" s="3" t="s">
        <v>1662</v>
      </c>
      <c r="S142" s="3"/>
      <c r="T142" s="4" t="s">
        <v>82</v>
      </c>
      <c r="U142" s="3"/>
      <c r="V142" s="3"/>
      <c r="W142" s="3"/>
      <c r="X142" s="3"/>
      <c r="Y142" s="3"/>
      <c r="Z142" s="3"/>
      <c r="AA142" s="3"/>
      <c r="AB142" s="3" t="s">
        <v>1663</v>
      </c>
      <c r="AC142" s="3" t="s">
        <v>1664</v>
      </c>
      <c r="AD142" s="3" t="s">
        <v>1665</v>
      </c>
      <c r="AE142" s="4" t="s">
        <v>53</v>
      </c>
    </row>
    <row r="143" customFormat="false" ht="15" hidden="false" customHeight="true" outlineLevel="0" collapsed="false">
      <c r="A143" s="3" t="s">
        <v>1666</v>
      </c>
      <c r="B143" s="3" t="s">
        <v>1667</v>
      </c>
      <c r="C143" s="3" t="s">
        <v>1668</v>
      </c>
      <c r="D143" s="3" t="s">
        <v>1669</v>
      </c>
      <c r="E143" s="3" t="s">
        <v>316</v>
      </c>
      <c r="F143" s="4" t="s">
        <v>101</v>
      </c>
      <c r="G143" s="3" t="s">
        <v>1670</v>
      </c>
      <c r="H143" s="3" t="s">
        <v>1671</v>
      </c>
      <c r="I143" s="3" t="s">
        <v>1672</v>
      </c>
      <c r="J143" s="3" t="s">
        <v>1673</v>
      </c>
      <c r="K143" s="3" t="s">
        <v>1674</v>
      </c>
      <c r="L143" s="3"/>
      <c r="M143" s="3"/>
      <c r="N143" s="3"/>
      <c r="O143" s="4"/>
      <c r="P143" s="3"/>
      <c r="Q143" s="3" t="s">
        <v>1675</v>
      </c>
      <c r="R143" s="3" t="s">
        <v>285</v>
      </c>
      <c r="S143" s="3"/>
      <c r="T143" s="4" t="s">
        <v>82</v>
      </c>
      <c r="U143" s="3"/>
      <c r="V143" s="3"/>
      <c r="W143" s="3"/>
      <c r="X143" s="3"/>
      <c r="Y143" s="3"/>
      <c r="Z143" s="3"/>
      <c r="AA143" s="3"/>
      <c r="AB143" s="3" t="s">
        <v>1676</v>
      </c>
      <c r="AC143" s="3" t="s">
        <v>1677</v>
      </c>
      <c r="AD143" s="3"/>
      <c r="AE143" s="4" t="s">
        <v>53</v>
      </c>
    </row>
    <row r="144" customFormat="false" ht="15" hidden="false" customHeight="true" outlineLevel="0" collapsed="false">
      <c r="A144" s="3" t="s">
        <v>1678</v>
      </c>
      <c r="B144" s="3" t="s">
        <v>1667</v>
      </c>
      <c r="C144" s="3" t="s">
        <v>1679</v>
      </c>
      <c r="D144" s="3" t="s">
        <v>1680</v>
      </c>
      <c r="E144" s="3" t="s">
        <v>189</v>
      </c>
      <c r="F144" s="4" t="s">
        <v>101</v>
      </c>
      <c r="G144" s="3" t="s">
        <v>1681</v>
      </c>
      <c r="H144" s="3" t="s">
        <v>1682</v>
      </c>
      <c r="I144" s="3" t="s">
        <v>1683</v>
      </c>
      <c r="J144" s="3" t="s">
        <v>1684</v>
      </c>
      <c r="K144" s="3" t="s">
        <v>1685</v>
      </c>
      <c r="L144" s="3" t="s">
        <v>307</v>
      </c>
      <c r="M144" s="3"/>
      <c r="N144" s="3"/>
      <c r="O144" s="4" t="s">
        <v>910</v>
      </c>
      <c r="P144" s="3"/>
      <c r="Q144" s="3" t="s">
        <v>912</v>
      </c>
      <c r="R144" s="3" t="s">
        <v>285</v>
      </c>
      <c r="S144" s="3"/>
      <c r="T144" s="4" t="s">
        <v>412</v>
      </c>
      <c r="U144" s="3"/>
      <c r="V144" s="3"/>
      <c r="W144" s="3"/>
      <c r="X144" s="3"/>
      <c r="Y144" s="3"/>
      <c r="Z144" s="3"/>
      <c r="AA144" s="3"/>
      <c r="AB144" s="3" t="s">
        <v>1686</v>
      </c>
      <c r="AC144" s="3" t="s">
        <v>1687</v>
      </c>
      <c r="AD144" s="3"/>
      <c r="AE144" s="4" t="s">
        <v>53</v>
      </c>
    </row>
    <row r="145" customFormat="false" ht="15" hidden="false" customHeight="true" outlineLevel="0" collapsed="false">
      <c r="A145" s="3" t="s">
        <v>1688</v>
      </c>
      <c r="B145" s="3" t="s">
        <v>1667</v>
      </c>
      <c r="C145" s="3" t="s">
        <v>1689</v>
      </c>
      <c r="D145" s="3" t="s">
        <v>1690</v>
      </c>
      <c r="E145" s="3" t="s">
        <v>189</v>
      </c>
      <c r="F145" s="4" t="s">
        <v>36</v>
      </c>
      <c r="G145" s="3" t="s">
        <v>1691</v>
      </c>
      <c r="H145" s="3" t="s">
        <v>191</v>
      </c>
      <c r="I145" s="3" t="s">
        <v>1692</v>
      </c>
      <c r="J145" s="3" t="s">
        <v>1693</v>
      </c>
      <c r="K145" s="3" t="s">
        <v>1694</v>
      </c>
      <c r="L145" s="3" t="s">
        <v>195</v>
      </c>
      <c r="M145" s="3"/>
      <c r="N145" s="3"/>
      <c r="O145" s="4" t="s">
        <v>198</v>
      </c>
      <c r="P145" s="3"/>
      <c r="Q145" s="3" t="s">
        <v>732</v>
      </c>
      <c r="R145" s="3" t="s">
        <v>201</v>
      </c>
      <c r="S145" s="3"/>
      <c r="T145" s="4" t="s">
        <v>50</v>
      </c>
      <c r="U145" s="3"/>
      <c r="V145" s="3"/>
      <c r="W145" s="3"/>
      <c r="X145" s="3"/>
      <c r="Y145" s="3"/>
      <c r="Z145" s="3"/>
      <c r="AA145" s="3"/>
      <c r="AB145" s="3" t="s">
        <v>1695</v>
      </c>
      <c r="AC145" s="3" t="s">
        <v>1696</v>
      </c>
      <c r="AD145" s="3"/>
      <c r="AE145" s="4" t="s">
        <v>53</v>
      </c>
    </row>
    <row r="146" customFormat="false" ht="15" hidden="false" customHeight="true" outlineLevel="0" collapsed="false">
      <c r="A146" s="3" t="s">
        <v>1697</v>
      </c>
      <c r="B146" s="3" t="s">
        <v>1667</v>
      </c>
      <c r="C146" s="3" t="s">
        <v>1698</v>
      </c>
      <c r="D146" s="3" t="s">
        <v>301</v>
      </c>
      <c r="E146" s="3" t="s">
        <v>189</v>
      </c>
      <c r="F146" s="4" t="s">
        <v>101</v>
      </c>
      <c r="G146" s="3" t="s">
        <v>1699</v>
      </c>
      <c r="H146" s="3" t="s">
        <v>1700</v>
      </c>
      <c r="I146" s="3" t="s">
        <v>1701</v>
      </c>
      <c r="J146" s="3" t="s">
        <v>1702</v>
      </c>
      <c r="K146" s="3" t="s">
        <v>1703</v>
      </c>
      <c r="L146" s="3" t="s">
        <v>307</v>
      </c>
      <c r="M146" s="3"/>
      <c r="N146" s="3"/>
      <c r="O146" s="4" t="s">
        <v>1704</v>
      </c>
      <c r="P146" s="3"/>
      <c r="Q146" s="3" t="s">
        <v>311</v>
      </c>
      <c r="R146" s="3" t="s">
        <v>285</v>
      </c>
      <c r="S146" s="3"/>
      <c r="T146" s="4" t="s">
        <v>287</v>
      </c>
      <c r="U146" s="3"/>
      <c r="V146" s="3"/>
      <c r="W146" s="3"/>
      <c r="X146" s="3"/>
      <c r="Y146" s="3"/>
      <c r="Z146" s="3"/>
      <c r="AA146" s="3"/>
      <c r="AB146" s="3" t="s">
        <v>299</v>
      </c>
      <c r="AC146" s="3" t="s">
        <v>1705</v>
      </c>
      <c r="AD146" s="3"/>
      <c r="AE146" s="4" t="s">
        <v>53</v>
      </c>
    </row>
    <row r="147" customFormat="false" ht="15" hidden="false" customHeight="true" outlineLevel="0" collapsed="false">
      <c r="A147" s="3" t="s">
        <v>1706</v>
      </c>
      <c r="B147" s="3" t="s">
        <v>1667</v>
      </c>
      <c r="C147" s="3" t="s">
        <v>1707</v>
      </c>
      <c r="D147" s="3" t="s">
        <v>1708</v>
      </c>
      <c r="E147" s="3" t="s">
        <v>189</v>
      </c>
      <c r="F147" s="4" t="s">
        <v>36</v>
      </c>
      <c r="G147" s="3" t="s">
        <v>1709</v>
      </c>
      <c r="H147" s="3" t="s">
        <v>1710</v>
      </c>
      <c r="I147" s="3" t="s">
        <v>1711</v>
      </c>
      <c r="J147" s="3" t="s">
        <v>1712</v>
      </c>
      <c r="K147" s="3" t="s">
        <v>1713</v>
      </c>
      <c r="L147" s="3"/>
      <c r="M147" s="3"/>
      <c r="N147" s="3"/>
      <c r="O147" s="4" t="s">
        <v>282</v>
      </c>
      <c r="P147" s="3"/>
      <c r="Q147" s="3" t="s">
        <v>1478</v>
      </c>
      <c r="R147" s="3" t="s">
        <v>285</v>
      </c>
      <c r="S147" s="3"/>
      <c r="T147" s="4" t="s">
        <v>50</v>
      </c>
      <c r="U147" s="3"/>
      <c r="V147" s="3"/>
      <c r="W147" s="3"/>
      <c r="X147" s="3"/>
      <c r="Y147" s="3"/>
      <c r="Z147" s="3"/>
      <c r="AA147" s="3"/>
      <c r="AB147" s="3" t="s">
        <v>1714</v>
      </c>
      <c r="AC147" s="3" t="s">
        <v>1715</v>
      </c>
      <c r="AD147" s="3"/>
      <c r="AE147" s="4" t="s">
        <v>53</v>
      </c>
    </row>
    <row r="148" customFormat="false" ht="15" hidden="false" customHeight="true" outlineLevel="0" collapsed="false">
      <c r="A148" s="3" t="s">
        <v>1716</v>
      </c>
      <c r="B148" s="3" t="s">
        <v>1667</v>
      </c>
      <c r="C148" s="3" t="s">
        <v>1717</v>
      </c>
      <c r="D148" s="3" t="s">
        <v>1718</v>
      </c>
      <c r="E148" s="3" t="s">
        <v>665</v>
      </c>
      <c r="F148" s="4" t="s">
        <v>259</v>
      </c>
      <c r="G148" s="3" t="s">
        <v>1719</v>
      </c>
      <c r="H148" s="3" t="s">
        <v>1720</v>
      </c>
      <c r="I148" s="3" t="s">
        <v>1721</v>
      </c>
      <c r="J148" s="3" t="s">
        <v>1722</v>
      </c>
      <c r="K148" s="3" t="s">
        <v>1723</v>
      </c>
      <c r="L148" s="3"/>
      <c r="M148" s="3"/>
      <c r="N148" s="3"/>
      <c r="O148" s="4"/>
      <c r="P148" s="3"/>
      <c r="Q148" s="3" t="s">
        <v>1724</v>
      </c>
      <c r="R148" s="3" t="s">
        <v>285</v>
      </c>
      <c r="S148" s="3"/>
      <c r="T148" s="4" t="s">
        <v>82</v>
      </c>
      <c r="U148" s="3"/>
      <c r="V148" s="3"/>
      <c r="W148" s="3"/>
      <c r="X148" s="3"/>
      <c r="Y148" s="3"/>
      <c r="Z148" s="3"/>
      <c r="AA148" s="3"/>
      <c r="AB148" s="3"/>
      <c r="AC148" s="3" t="s">
        <v>1725</v>
      </c>
      <c r="AD148" s="3"/>
      <c r="AE148" s="4" t="s">
        <v>53</v>
      </c>
    </row>
    <row r="149" customFormat="false" ht="15" hidden="false" customHeight="true" outlineLevel="0" collapsed="false">
      <c r="A149" s="3" t="s">
        <v>1726</v>
      </c>
      <c r="B149" s="3" t="s">
        <v>1667</v>
      </c>
      <c r="C149" s="3" t="s">
        <v>1727</v>
      </c>
      <c r="D149" s="3" t="s">
        <v>1728</v>
      </c>
      <c r="E149" s="3" t="s">
        <v>70</v>
      </c>
      <c r="F149" s="4" t="s">
        <v>101</v>
      </c>
      <c r="G149" s="3" t="s">
        <v>1729</v>
      </c>
      <c r="H149" s="3" t="s">
        <v>1730</v>
      </c>
      <c r="I149" s="3" t="s">
        <v>1731</v>
      </c>
      <c r="J149" s="3" t="s">
        <v>1732</v>
      </c>
      <c r="K149" s="3" t="s">
        <v>1733</v>
      </c>
      <c r="L149" s="3"/>
      <c r="M149" s="3"/>
      <c r="N149" s="3"/>
      <c r="O149" s="4"/>
      <c r="P149" s="3"/>
      <c r="Q149" s="3" t="s">
        <v>1734</v>
      </c>
      <c r="R149" s="3" t="s">
        <v>285</v>
      </c>
      <c r="S149" s="3"/>
      <c r="T149" s="4" t="s">
        <v>82</v>
      </c>
      <c r="U149" s="3"/>
      <c r="V149" s="3"/>
      <c r="W149" s="3"/>
      <c r="X149" s="3"/>
      <c r="Y149" s="3"/>
      <c r="Z149" s="3"/>
      <c r="AA149" s="3"/>
      <c r="AB149" s="3" t="s">
        <v>1735</v>
      </c>
      <c r="AC149" s="3" t="s">
        <v>1736</v>
      </c>
      <c r="AD149" s="3"/>
      <c r="AE149" s="4" t="s">
        <v>53</v>
      </c>
    </row>
    <row r="150" customFormat="false" ht="15" hidden="false" customHeight="true" outlineLevel="0" collapsed="false">
      <c r="A150" s="3" t="s">
        <v>1737</v>
      </c>
      <c r="B150" s="3" t="s">
        <v>1667</v>
      </c>
      <c r="C150" s="3" t="s">
        <v>1738</v>
      </c>
      <c r="D150" s="3" t="s">
        <v>342</v>
      </c>
      <c r="E150" s="3" t="s">
        <v>258</v>
      </c>
      <c r="F150" s="4" t="s">
        <v>101</v>
      </c>
      <c r="G150" s="3" t="s">
        <v>1739</v>
      </c>
      <c r="H150" s="3" t="s">
        <v>1740</v>
      </c>
      <c r="I150" s="3" t="s">
        <v>1741</v>
      </c>
      <c r="J150" s="3" t="s">
        <v>1742</v>
      </c>
      <c r="K150" s="3" t="s">
        <v>1743</v>
      </c>
      <c r="L150" s="3"/>
      <c r="M150" s="3"/>
      <c r="N150" s="3"/>
      <c r="O150" s="4"/>
      <c r="P150" s="3" t="s">
        <v>1744</v>
      </c>
      <c r="Q150" s="3" t="s">
        <v>1745</v>
      </c>
      <c r="R150" s="3" t="s">
        <v>285</v>
      </c>
      <c r="S150" s="3"/>
      <c r="T150" s="4" t="s">
        <v>82</v>
      </c>
      <c r="U150" s="3"/>
      <c r="V150" s="3"/>
      <c r="W150" s="3"/>
      <c r="X150" s="3"/>
      <c r="Y150" s="3"/>
      <c r="Z150" s="3"/>
      <c r="AA150" s="3"/>
      <c r="AB150" s="3" t="s">
        <v>690</v>
      </c>
      <c r="AC150" s="3" t="s">
        <v>1746</v>
      </c>
      <c r="AD150" s="3" t="s">
        <v>1747</v>
      </c>
      <c r="AE150" s="4" t="s">
        <v>53</v>
      </c>
    </row>
    <row r="151" customFormat="false" ht="15" hidden="false" customHeight="true" outlineLevel="0" collapsed="false">
      <c r="A151" s="3" t="s">
        <v>1748</v>
      </c>
      <c r="B151" s="3" t="s">
        <v>1667</v>
      </c>
      <c r="C151" s="3" t="s">
        <v>1749</v>
      </c>
      <c r="D151" s="3" t="s">
        <v>257</v>
      </c>
      <c r="E151" s="3" t="s">
        <v>70</v>
      </c>
      <c r="F151" s="4" t="s">
        <v>101</v>
      </c>
      <c r="G151" s="3" t="s">
        <v>1750</v>
      </c>
      <c r="H151" s="3" t="s">
        <v>1751</v>
      </c>
      <c r="I151" s="3" t="s">
        <v>1752</v>
      </c>
      <c r="J151" s="3" t="s">
        <v>1753</v>
      </c>
      <c r="K151" s="3" t="s">
        <v>709</v>
      </c>
      <c r="L151" s="3"/>
      <c r="M151" s="3"/>
      <c r="N151" s="3"/>
      <c r="O151" s="4"/>
      <c r="P151" s="3" t="s">
        <v>1754</v>
      </c>
      <c r="Q151" s="3" t="s">
        <v>1755</v>
      </c>
      <c r="R151" s="3" t="s">
        <v>285</v>
      </c>
      <c r="S151" s="3"/>
      <c r="T151" s="4" t="s">
        <v>82</v>
      </c>
      <c r="U151" s="3"/>
      <c r="V151" s="3"/>
      <c r="W151" s="3"/>
      <c r="X151" s="3"/>
      <c r="Y151" s="3"/>
      <c r="Z151" s="3"/>
      <c r="AA151" s="3"/>
      <c r="AB151" s="3" t="s">
        <v>1726</v>
      </c>
      <c r="AC151" s="3" t="s">
        <v>1756</v>
      </c>
      <c r="AD151" s="3" t="s">
        <v>1757</v>
      </c>
      <c r="AE151" s="4" t="s">
        <v>53</v>
      </c>
    </row>
    <row r="152" customFormat="false" ht="15" hidden="false" customHeight="true" outlineLevel="0" collapsed="false">
      <c r="A152" s="3" t="s">
        <v>1758</v>
      </c>
      <c r="B152" s="3" t="s">
        <v>1667</v>
      </c>
      <c r="C152" s="3" t="s">
        <v>1759</v>
      </c>
      <c r="D152" s="3" t="s">
        <v>315</v>
      </c>
      <c r="E152" s="3" t="s">
        <v>316</v>
      </c>
      <c r="F152" s="4" t="s">
        <v>101</v>
      </c>
      <c r="G152" s="3" t="s">
        <v>1760</v>
      </c>
      <c r="H152" s="3" t="s">
        <v>1761</v>
      </c>
      <c r="I152" s="3" t="s">
        <v>1762</v>
      </c>
      <c r="J152" s="3" t="s">
        <v>1763</v>
      </c>
      <c r="K152" s="3" t="s">
        <v>1764</v>
      </c>
      <c r="L152" s="3"/>
      <c r="M152" s="3"/>
      <c r="N152" s="3"/>
      <c r="O152" s="4"/>
      <c r="P152" s="3"/>
      <c r="Q152" s="3" t="s">
        <v>1765</v>
      </c>
      <c r="R152" s="3" t="s">
        <v>285</v>
      </c>
      <c r="S152" s="3"/>
      <c r="T152" s="4" t="s">
        <v>326</v>
      </c>
      <c r="U152" s="3"/>
      <c r="V152" s="3"/>
      <c r="W152" s="3"/>
      <c r="X152" s="3"/>
      <c r="Y152" s="3"/>
      <c r="Z152" s="3"/>
      <c r="AA152" s="3"/>
      <c r="AB152" s="3" t="s">
        <v>1666</v>
      </c>
      <c r="AC152" s="3" t="s">
        <v>1766</v>
      </c>
      <c r="AD152" s="3" t="s">
        <v>1767</v>
      </c>
      <c r="AE152" s="4" t="s">
        <v>53</v>
      </c>
    </row>
    <row r="153" customFormat="false" ht="15" hidden="false" customHeight="true" outlineLevel="0" collapsed="false">
      <c r="A153" s="3" t="s">
        <v>1768</v>
      </c>
      <c r="B153" s="3" t="s">
        <v>1667</v>
      </c>
      <c r="C153" s="3" t="s">
        <v>1769</v>
      </c>
      <c r="D153" s="3" t="s">
        <v>273</v>
      </c>
      <c r="E153" s="3" t="s">
        <v>316</v>
      </c>
      <c r="F153" s="4" t="s">
        <v>101</v>
      </c>
      <c r="G153" s="3" t="s">
        <v>1770</v>
      </c>
      <c r="H153" s="3" t="s">
        <v>1771</v>
      </c>
      <c r="I153" s="3" t="s">
        <v>1772</v>
      </c>
      <c r="J153" s="3" t="s">
        <v>1773</v>
      </c>
      <c r="K153" s="3" t="s">
        <v>1774</v>
      </c>
      <c r="L153" s="3"/>
      <c r="M153" s="3"/>
      <c r="N153" s="3"/>
      <c r="O153" s="4"/>
      <c r="P153" s="3"/>
      <c r="Q153" s="3" t="s">
        <v>1775</v>
      </c>
      <c r="R153" s="3" t="s">
        <v>285</v>
      </c>
      <c r="S153" s="3"/>
      <c r="T153" s="4" t="s">
        <v>82</v>
      </c>
      <c r="U153" s="3"/>
      <c r="V153" s="3"/>
      <c r="W153" s="3"/>
      <c r="X153" s="3"/>
      <c r="Y153" s="3"/>
      <c r="Z153" s="3"/>
      <c r="AA153" s="3"/>
      <c r="AB153" s="3" t="s">
        <v>1776</v>
      </c>
      <c r="AC153" s="3" t="s">
        <v>1777</v>
      </c>
      <c r="AD153" s="3" t="s">
        <v>1757</v>
      </c>
      <c r="AE153" s="4" t="s">
        <v>53</v>
      </c>
    </row>
    <row r="154" customFormat="false" ht="15" hidden="false" customHeight="true" outlineLevel="0" collapsed="false">
      <c r="A154" s="3" t="s">
        <v>1778</v>
      </c>
      <c r="B154" s="3" t="s">
        <v>1779</v>
      </c>
      <c r="C154" s="3" t="s">
        <v>1780</v>
      </c>
      <c r="D154" s="3" t="s">
        <v>853</v>
      </c>
      <c r="E154" s="3" t="s">
        <v>189</v>
      </c>
      <c r="F154" s="4" t="s">
        <v>36</v>
      </c>
      <c r="G154" s="3" t="s">
        <v>1781</v>
      </c>
      <c r="H154" s="3" t="s">
        <v>1782</v>
      </c>
      <c r="I154" s="3" t="s">
        <v>1783</v>
      </c>
      <c r="J154" s="3" t="s">
        <v>1784</v>
      </c>
      <c r="K154" s="3" t="s">
        <v>1785</v>
      </c>
      <c r="L154" s="3"/>
      <c r="M154" s="3"/>
      <c r="N154" s="3"/>
      <c r="O154" s="4"/>
      <c r="P154" s="3" t="s">
        <v>870</v>
      </c>
      <c r="Q154" s="3"/>
      <c r="R154" s="3" t="s">
        <v>285</v>
      </c>
      <c r="S154" s="3"/>
      <c r="T154" s="4" t="s">
        <v>412</v>
      </c>
      <c r="U154" s="3"/>
      <c r="V154" s="3"/>
      <c r="W154" s="3"/>
      <c r="X154" s="3"/>
      <c r="Y154" s="3"/>
      <c r="Z154" s="3"/>
      <c r="AA154" s="3"/>
      <c r="AB154" s="3" t="s">
        <v>1786</v>
      </c>
      <c r="AC154" s="3"/>
      <c r="AD154" s="3"/>
      <c r="AE154" s="4" t="s">
        <v>53</v>
      </c>
    </row>
    <row r="155" customFormat="false" ht="15" hidden="false" customHeight="true" outlineLevel="0" collapsed="false">
      <c r="A155" s="3" t="s">
        <v>1787</v>
      </c>
      <c r="B155" s="3" t="s">
        <v>1779</v>
      </c>
      <c r="C155" s="3" t="s">
        <v>1788</v>
      </c>
      <c r="D155" s="3" t="s">
        <v>189</v>
      </c>
      <c r="E155" s="3" t="s">
        <v>189</v>
      </c>
      <c r="F155" s="4" t="s">
        <v>36</v>
      </c>
      <c r="G155" s="3" t="s">
        <v>1789</v>
      </c>
      <c r="H155" s="3" t="s">
        <v>1790</v>
      </c>
      <c r="I155" s="3" t="s">
        <v>1791</v>
      </c>
      <c r="J155" s="3" t="s">
        <v>1792</v>
      </c>
      <c r="K155" s="3" t="s">
        <v>1793</v>
      </c>
      <c r="L155" s="3"/>
      <c r="M155" s="3"/>
      <c r="N155" s="3"/>
      <c r="O155" s="4"/>
      <c r="P155" s="3"/>
      <c r="Q155" s="3" t="s">
        <v>598</v>
      </c>
      <c r="R155" s="3" t="s">
        <v>285</v>
      </c>
      <c r="S155" s="3"/>
      <c r="T155" s="4" t="s">
        <v>412</v>
      </c>
      <c r="U155" s="3"/>
      <c r="V155" s="3"/>
      <c r="W155" s="3"/>
      <c r="X155" s="3"/>
      <c r="Y155" s="3"/>
      <c r="Z155" s="3"/>
      <c r="AA155" s="3"/>
      <c r="AB155" s="3" t="s">
        <v>1794</v>
      </c>
      <c r="AC155" s="3"/>
      <c r="AD155" s="3"/>
      <c r="AE155" s="4" t="s">
        <v>53</v>
      </c>
    </row>
    <row r="156" customFormat="false" ht="15" hidden="false" customHeight="true" outlineLevel="0" collapsed="false">
      <c r="A156" s="3" t="s">
        <v>1795</v>
      </c>
      <c r="B156" s="3" t="s">
        <v>1779</v>
      </c>
      <c r="C156" s="3" t="s">
        <v>1796</v>
      </c>
      <c r="D156" s="3" t="s">
        <v>301</v>
      </c>
      <c r="E156" s="3" t="s">
        <v>258</v>
      </c>
      <c r="F156" s="4" t="s">
        <v>36</v>
      </c>
      <c r="G156" s="3" t="s">
        <v>1797</v>
      </c>
      <c r="H156" s="3" t="s">
        <v>1798</v>
      </c>
      <c r="I156" s="3" t="s">
        <v>1799</v>
      </c>
      <c r="J156" s="3" t="s">
        <v>1800</v>
      </c>
      <c r="K156" s="3" t="s">
        <v>1801</v>
      </c>
      <c r="L156" s="3" t="s">
        <v>307</v>
      </c>
      <c r="M156" s="3"/>
      <c r="N156" s="3"/>
      <c r="O156" s="4"/>
      <c r="P156" s="3"/>
      <c r="Q156" s="3" t="s">
        <v>311</v>
      </c>
      <c r="R156" s="3" t="s">
        <v>285</v>
      </c>
      <c r="S156" s="3"/>
      <c r="T156" s="4" t="s">
        <v>412</v>
      </c>
      <c r="U156" s="3"/>
      <c r="V156" s="3"/>
      <c r="W156" s="3"/>
      <c r="X156" s="3"/>
      <c r="Y156" s="3"/>
      <c r="Z156" s="3"/>
      <c r="AA156" s="3"/>
      <c r="AB156" s="3" t="s">
        <v>1802</v>
      </c>
      <c r="AC156" s="3"/>
      <c r="AD156" s="3"/>
      <c r="AE156" s="4" t="s">
        <v>53</v>
      </c>
    </row>
    <row r="157" customFormat="false" ht="15" hidden="false" customHeight="true" outlineLevel="0" collapsed="false">
      <c r="A157" s="3" t="s">
        <v>1803</v>
      </c>
      <c r="B157" s="3" t="s">
        <v>1779</v>
      </c>
      <c r="C157" s="3" t="s">
        <v>1804</v>
      </c>
      <c r="D157" s="3" t="s">
        <v>189</v>
      </c>
      <c r="E157" s="3" t="s">
        <v>189</v>
      </c>
      <c r="F157" s="4" t="s">
        <v>36</v>
      </c>
      <c r="G157" s="3" t="s">
        <v>1805</v>
      </c>
      <c r="H157" s="3" t="s">
        <v>1806</v>
      </c>
      <c r="I157" s="3" t="s">
        <v>1807</v>
      </c>
      <c r="J157" s="3" t="s">
        <v>1808</v>
      </c>
      <c r="K157" s="3" t="s">
        <v>1809</v>
      </c>
      <c r="L157" s="3"/>
      <c r="M157" s="3"/>
      <c r="N157" s="3"/>
      <c r="O157" s="4"/>
      <c r="P157" s="3"/>
      <c r="Q157" s="3" t="s">
        <v>598</v>
      </c>
      <c r="R157" s="3" t="s">
        <v>285</v>
      </c>
      <c r="S157" s="3"/>
      <c r="T157" s="4" t="s">
        <v>412</v>
      </c>
      <c r="U157" s="3"/>
      <c r="V157" s="3"/>
      <c r="W157" s="3"/>
      <c r="X157" s="3"/>
      <c r="Y157" s="3"/>
      <c r="Z157" s="3"/>
      <c r="AA157" s="3"/>
      <c r="AB157" s="3" t="s">
        <v>1787</v>
      </c>
      <c r="AC157" s="3"/>
      <c r="AD157" s="3"/>
      <c r="AE157" s="4" t="s">
        <v>53</v>
      </c>
    </row>
    <row r="158" customFormat="false" ht="15" hidden="false" customHeight="true" outlineLevel="0" collapsed="false">
      <c r="A158" s="3" t="s">
        <v>1810</v>
      </c>
      <c r="B158" s="3" t="s">
        <v>1779</v>
      </c>
      <c r="C158" s="3" t="s">
        <v>1811</v>
      </c>
      <c r="D158" s="3" t="s">
        <v>188</v>
      </c>
      <c r="E158" s="3" t="s">
        <v>189</v>
      </c>
      <c r="F158" s="4" t="s">
        <v>36</v>
      </c>
      <c r="G158" s="3" t="s">
        <v>1812</v>
      </c>
      <c r="H158" s="3" t="s">
        <v>1813</v>
      </c>
      <c r="I158" s="3" t="s">
        <v>1814</v>
      </c>
      <c r="J158" s="3" t="s">
        <v>1815</v>
      </c>
      <c r="K158" s="3" t="s">
        <v>1816</v>
      </c>
      <c r="L158" s="3"/>
      <c r="M158" s="3"/>
      <c r="N158" s="3"/>
      <c r="O158" s="4"/>
      <c r="P158" s="3" t="s">
        <v>870</v>
      </c>
      <c r="Q158" s="3" t="s">
        <v>1817</v>
      </c>
      <c r="R158" s="3" t="s">
        <v>285</v>
      </c>
      <c r="S158" s="3"/>
      <c r="T158" s="4" t="s">
        <v>412</v>
      </c>
      <c r="U158" s="3"/>
      <c r="V158" s="3"/>
      <c r="W158" s="3"/>
      <c r="X158" s="3"/>
      <c r="Y158" s="3"/>
      <c r="Z158" s="3"/>
      <c r="AA158" s="3"/>
      <c r="AB158" s="3" t="s">
        <v>1818</v>
      </c>
      <c r="AC158" s="3"/>
      <c r="AD158" s="3"/>
      <c r="AE158" s="4" t="s">
        <v>53</v>
      </c>
    </row>
    <row r="159" customFormat="false" ht="15" hidden="false" customHeight="true" outlineLevel="0" collapsed="false">
      <c r="A159" s="3" t="s">
        <v>1819</v>
      </c>
      <c r="B159" s="3" t="s">
        <v>1779</v>
      </c>
      <c r="C159" s="3" t="s">
        <v>1820</v>
      </c>
      <c r="D159" s="3" t="s">
        <v>188</v>
      </c>
      <c r="E159" s="3" t="s">
        <v>258</v>
      </c>
      <c r="F159" s="4" t="s">
        <v>101</v>
      </c>
      <c r="G159" s="3" t="s">
        <v>1821</v>
      </c>
      <c r="H159" s="3" t="s">
        <v>1822</v>
      </c>
      <c r="I159" s="3" t="s">
        <v>1823</v>
      </c>
      <c r="J159" s="3" t="s">
        <v>1824</v>
      </c>
      <c r="K159" s="3" t="s">
        <v>1825</v>
      </c>
      <c r="L159" s="3"/>
      <c r="M159" s="3"/>
      <c r="N159" s="3"/>
      <c r="O159" s="4"/>
      <c r="P159" s="3" t="s">
        <v>597</v>
      </c>
      <c r="Q159" s="3" t="s">
        <v>1826</v>
      </c>
      <c r="R159" s="3" t="s">
        <v>285</v>
      </c>
      <c r="S159" s="3"/>
      <c r="T159" s="4" t="s">
        <v>412</v>
      </c>
      <c r="U159" s="3"/>
      <c r="V159" s="3"/>
      <c r="W159" s="3"/>
      <c r="X159" s="3"/>
      <c r="Y159" s="3"/>
      <c r="Z159" s="3"/>
      <c r="AA159" s="3"/>
      <c r="AB159" s="3" t="s">
        <v>1787</v>
      </c>
      <c r="AC159" s="3"/>
      <c r="AD159" s="3" t="s">
        <v>1827</v>
      </c>
      <c r="AE159" s="4" t="s">
        <v>53</v>
      </c>
    </row>
    <row r="160" customFormat="false" ht="15" hidden="false" customHeight="true" outlineLevel="0" collapsed="false">
      <c r="A160" s="3" t="s">
        <v>1828</v>
      </c>
      <c r="B160" s="3" t="s">
        <v>1779</v>
      </c>
      <c r="C160" s="3" t="s">
        <v>1829</v>
      </c>
      <c r="D160" s="3" t="s">
        <v>991</v>
      </c>
      <c r="E160" s="3" t="s">
        <v>826</v>
      </c>
      <c r="F160" s="4" t="s">
        <v>36</v>
      </c>
      <c r="G160" s="3" t="s">
        <v>1830</v>
      </c>
      <c r="H160" s="3" t="s">
        <v>1831</v>
      </c>
      <c r="I160" s="3" t="s">
        <v>1832</v>
      </c>
      <c r="J160" s="3" t="s">
        <v>1833</v>
      </c>
      <c r="K160" s="3" t="s">
        <v>1834</v>
      </c>
      <c r="L160" s="3"/>
      <c r="M160" s="3"/>
      <c r="N160" s="3"/>
      <c r="O160" s="4"/>
      <c r="P160" s="3" t="s">
        <v>1835</v>
      </c>
      <c r="Q160" s="3" t="s">
        <v>998</v>
      </c>
      <c r="R160" s="3" t="s">
        <v>285</v>
      </c>
      <c r="S160" s="3"/>
      <c r="T160" s="4" t="s">
        <v>412</v>
      </c>
      <c r="U160" s="3"/>
      <c r="V160" s="3"/>
      <c r="W160" s="3"/>
      <c r="X160" s="3"/>
      <c r="Y160" s="3"/>
      <c r="Z160" s="3"/>
      <c r="AA160" s="3"/>
      <c r="AB160" s="3" t="s">
        <v>1836</v>
      </c>
      <c r="AC160" s="3"/>
      <c r="AD160" s="3" t="s">
        <v>1837</v>
      </c>
      <c r="AE160" s="4" t="s">
        <v>53</v>
      </c>
    </row>
    <row r="161" customFormat="false" ht="15" hidden="false" customHeight="true" outlineLevel="0" collapsed="false">
      <c r="A161" s="3" t="s">
        <v>1838</v>
      </c>
      <c r="B161" s="3" t="s">
        <v>1779</v>
      </c>
      <c r="C161" s="3" t="s">
        <v>1839</v>
      </c>
      <c r="D161" s="3" t="s">
        <v>747</v>
      </c>
      <c r="E161" s="3" t="s">
        <v>7</v>
      </c>
      <c r="F161" s="4" t="s">
        <v>259</v>
      </c>
      <c r="G161" s="3" t="s">
        <v>1840</v>
      </c>
      <c r="H161" s="3" t="s">
        <v>1841</v>
      </c>
      <c r="I161" s="3" t="s">
        <v>1842</v>
      </c>
      <c r="J161" s="3" t="s">
        <v>1843</v>
      </c>
      <c r="K161" s="3" t="s">
        <v>1844</v>
      </c>
      <c r="L161" s="3"/>
      <c r="M161" s="3"/>
      <c r="N161" s="3"/>
      <c r="O161" s="4"/>
      <c r="P161" s="3" t="s">
        <v>1845</v>
      </c>
      <c r="Q161" s="3" t="s">
        <v>1056</v>
      </c>
      <c r="R161" s="3" t="s">
        <v>285</v>
      </c>
      <c r="S161" s="3"/>
      <c r="T161" s="4" t="s">
        <v>412</v>
      </c>
      <c r="U161" s="3"/>
      <c r="V161" s="3"/>
      <c r="W161" s="3"/>
      <c r="X161" s="3"/>
      <c r="Y161" s="3"/>
      <c r="Z161" s="3"/>
      <c r="AA161" s="3"/>
      <c r="AB161" s="3" t="s">
        <v>1846</v>
      </c>
      <c r="AC161" s="3"/>
      <c r="AD161" s="3" t="s">
        <v>1847</v>
      </c>
      <c r="AE161" s="4" t="s">
        <v>53</v>
      </c>
    </row>
    <row r="162" customFormat="false" ht="15" hidden="false" customHeight="true" outlineLevel="0" collapsed="false">
      <c r="A162" s="3" t="s">
        <v>1802</v>
      </c>
      <c r="B162" s="3" t="s">
        <v>1779</v>
      </c>
      <c r="C162" s="3" t="s">
        <v>1848</v>
      </c>
      <c r="D162" s="3" t="s">
        <v>301</v>
      </c>
      <c r="E162" s="3" t="s">
        <v>189</v>
      </c>
      <c r="F162" s="4" t="s">
        <v>101</v>
      </c>
      <c r="G162" s="3" t="s">
        <v>1849</v>
      </c>
      <c r="H162" s="3" t="s">
        <v>1850</v>
      </c>
      <c r="I162" s="3" t="s">
        <v>1851</v>
      </c>
      <c r="J162" s="3" t="s">
        <v>1852</v>
      </c>
      <c r="K162" s="3" t="s">
        <v>1853</v>
      </c>
      <c r="L162" s="3"/>
      <c r="M162" s="3"/>
      <c r="N162" s="3"/>
      <c r="O162" s="4"/>
      <c r="P162" s="3" t="s">
        <v>1854</v>
      </c>
      <c r="Q162" s="3" t="s">
        <v>1855</v>
      </c>
      <c r="R162" s="3" t="s">
        <v>285</v>
      </c>
      <c r="S162" s="3"/>
      <c r="T162" s="4" t="s">
        <v>412</v>
      </c>
      <c r="U162" s="3"/>
      <c r="V162" s="3"/>
      <c r="W162" s="3"/>
      <c r="X162" s="3"/>
      <c r="Y162" s="3"/>
      <c r="Z162" s="3"/>
      <c r="AA162" s="3"/>
      <c r="AB162" s="3" t="s">
        <v>1856</v>
      </c>
      <c r="AC162" s="3"/>
      <c r="AD162" s="3" t="s">
        <v>1857</v>
      </c>
      <c r="AE162" s="4" t="s">
        <v>53</v>
      </c>
    </row>
    <row r="163" customFormat="false" ht="15" hidden="false" customHeight="true" outlineLevel="0" collapsed="false">
      <c r="A163" s="3" t="s">
        <v>1858</v>
      </c>
      <c r="B163" s="3" t="s">
        <v>1859</v>
      </c>
      <c r="C163" s="3" t="s">
        <v>1860</v>
      </c>
      <c r="D163" s="3" t="s">
        <v>1556</v>
      </c>
      <c r="E163" s="3" t="s">
        <v>258</v>
      </c>
      <c r="F163" s="4" t="s">
        <v>36</v>
      </c>
      <c r="G163" s="3" t="s">
        <v>1861</v>
      </c>
      <c r="H163" s="3" t="s">
        <v>1862</v>
      </c>
      <c r="I163" s="3" t="s">
        <v>1863</v>
      </c>
      <c r="J163" s="3" t="s">
        <v>1864</v>
      </c>
      <c r="K163" s="3" t="s">
        <v>1865</v>
      </c>
      <c r="L163" s="3"/>
      <c r="M163" s="3"/>
      <c r="N163" s="3"/>
      <c r="O163" s="4"/>
      <c r="P163" s="3" t="s">
        <v>267</v>
      </c>
      <c r="Q163" s="3"/>
      <c r="R163" s="3" t="s">
        <v>1122</v>
      </c>
      <c r="S163" s="3"/>
      <c r="T163" s="4" t="s">
        <v>675</v>
      </c>
      <c r="U163" s="3"/>
      <c r="V163" s="3"/>
      <c r="W163" s="3"/>
      <c r="X163" s="3"/>
      <c r="Y163" s="3"/>
      <c r="Z163" s="3"/>
      <c r="AA163" s="3"/>
      <c r="AB163" s="3" t="s">
        <v>1866</v>
      </c>
      <c r="AC163" s="3"/>
      <c r="AD163" s="3"/>
      <c r="AE163" s="4" t="s">
        <v>53</v>
      </c>
    </row>
    <row r="164" customFormat="false" ht="15" hidden="false" customHeight="true" outlineLevel="0" collapsed="false">
      <c r="A164" s="3" t="s">
        <v>1867</v>
      </c>
      <c r="B164" s="3" t="s">
        <v>1859</v>
      </c>
      <c r="C164" s="3" t="s">
        <v>1868</v>
      </c>
      <c r="D164" s="3" t="s">
        <v>1556</v>
      </c>
      <c r="E164" s="3" t="s">
        <v>258</v>
      </c>
      <c r="F164" s="4" t="s">
        <v>36</v>
      </c>
      <c r="G164" s="3" t="s">
        <v>1869</v>
      </c>
      <c r="H164" s="3" t="s">
        <v>1870</v>
      </c>
      <c r="I164" s="3" t="s">
        <v>1871</v>
      </c>
      <c r="J164" s="3" t="s">
        <v>1872</v>
      </c>
      <c r="K164" s="3" t="s">
        <v>1873</v>
      </c>
      <c r="L164" s="3"/>
      <c r="M164" s="3"/>
      <c r="N164" s="3"/>
      <c r="O164" s="4"/>
      <c r="P164" s="3" t="s">
        <v>1874</v>
      </c>
      <c r="Q164" s="3"/>
      <c r="R164" s="3" t="s">
        <v>1122</v>
      </c>
      <c r="S164" s="3"/>
      <c r="T164" s="4" t="s">
        <v>675</v>
      </c>
      <c r="U164" s="3"/>
      <c r="V164" s="3"/>
      <c r="W164" s="3"/>
      <c r="X164" s="3"/>
      <c r="Y164" s="3"/>
      <c r="Z164" s="3"/>
      <c r="AA164" s="3"/>
      <c r="AB164" s="3" t="s">
        <v>1875</v>
      </c>
      <c r="AC164" s="3"/>
      <c r="AD164" s="3"/>
      <c r="AE164" s="4" t="s">
        <v>53</v>
      </c>
    </row>
    <row r="165" customFormat="false" ht="15" hidden="false" customHeight="true" outlineLevel="0" collapsed="false">
      <c r="A165" s="3" t="s">
        <v>1876</v>
      </c>
      <c r="B165" s="3" t="s">
        <v>1859</v>
      </c>
      <c r="C165" s="3" t="s">
        <v>1877</v>
      </c>
      <c r="D165" s="3" t="s">
        <v>1556</v>
      </c>
      <c r="E165" s="3" t="s">
        <v>189</v>
      </c>
      <c r="F165" s="4" t="s">
        <v>36</v>
      </c>
      <c r="G165" s="3" t="s">
        <v>1878</v>
      </c>
      <c r="H165" s="3" t="s">
        <v>1879</v>
      </c>
      <c r="I165" s="3" t="s">
        <v>1880</v>
      </c>
      <c r="J165" s="3" t="s">
        <v>1881</v>
      </c>
      <c r="K165" s="3" t="s">
        <v>1882</v>
      </c>
      <c r="L165" s="3"/>
      <c r="M165" s="3"/>
      <c r="N165" s="3"/>
      <c r="O165" s="4"/>
      <c r="P165" s="3" t="s">
        <v>1883</v>
      </c>
      <c r="Q165" s="3"/>
      <c r="R165" s="3" t="s">
        <v>1122</v>
      </c>
      <c r="S165" s="3"/>
      <c r="T165" s="4" t="s">
        <v>675</v>
      </c>
      <c r="U165" s="3"/>
      <c r="V165" s="3"/>
      <c r="W165" s="3"/>
      <c r="X165" s="3"/>
      <c r="Y165" s="3"/>
      <c r="Z165" s="3"/>
      <c r="AA165" s="3"/>
      <c r="AB165" s="3" t="s">
        <v>1884</v>
      </c>
      <c r="AC165" s="3"/>
      <c r="AD165" s="3"/>
      <c r="AE165" s="4" t="s">
        <v>53</v>
      </c>
    </row>
    <row r="166" customFormat="false" ht="15" hidden="false" customHeight="true" outlineLevel="0" collapsed="false">
      <c r="A166" s="3" t="s">
        <v>1885</v>
      </c>
      <c r="B166" s="3" t="s">
        <v>1859</v>
      </c>
      <c r="C166" s="3" t="s">
        <v>1886</v>
      </c>
      <c r="D166" s="3" t="s">
        <v>1859</v>
      </c>
      <c r="E166" s="3" t="s">
        <v>274</v>
      </c>
      <c r="F166" s="4" t="s">
        <v>101</v>
      </c>
      <c r="G166" s="3" t="s">
        <v>1887</v>
      </c>
      <c r="H166" s="3" t="s">
        <v>1888</v>
      </c>
      <c r="I166" s="3" t="s">
        <v>1889</v>
      </c>
      <c r="J166" s="3" t="s">
        <v>1890</v>
      </c>
      <c r="K166" s="3" t="s">
        <v>1891</v>
      </c>
      <c r="L166" s="3"/>
      <c r="M166" s="3"/>
      <c r="N166" s="3"/>
      <c r="O166" s="4"/>
      <c r="P166" s="3" t="s">
        <v>1892</v>
      </c>
      <c r="Q166" s="3"/>
      <c r="R166" s="3" t="s">
        <v>1122</v>
      </c>
      <c r="S166" s="3"/>
      <c r="T166" s="4" t="s">
        <v>1893</v>
      </c>
      <c r="U166" s="3"/>
      <c r="V166" s="3"/>
      <c r="W166" s="3"/>
      <c r="X166" s="3"/>
      <c r="Y166" s="3"/>
      <c r="Z166" s="3"/>
      <c r="AA166" s="3"/>
      <c r="AB166" s="3" t="s">
        <v>1894</v>
      </c>
      <c r="AC166" s="3"/>
      <c r="AD166" s="3"/>
      <c r="AE166" s="4" t="s">
        <v>53</v>
      </c>
    </row>
    <row r="167" customFormat="false" ht="15" hidden="false" customHeight="true" outlineLevel="0" collapsed="false">
      <c r="A167" s="3" t="s">
        <v>1895</v>
      </c>
      <c r="B167" s="3" t="s">
        <v>1859</v>
      </c>
      <c r="C167" s="3" t="s">
        <v>1896</v>
      </c>
      <c r="D167" s="3" t="s">
        <v>70</v>
      </c>
      <c r="E167" s="3" t="s">
        <v>70</v>
      </c>
      <c r="F167" s="4" t="s">
        <v>36</v>
      </c>
      <c r="G167" s="3" t="s">
        <v>1897</v>
      </c>
      <c r="H167" s="3" t="s">
        <v>1898</v>
      </c>
      <c r="I167" s="3" t="s">
        <v>1899</v>
      </c>
      <c r="J167" s="3" t="s">
        <v>1900</v>
      </c>
      <c r="K167" s="3" t="s">
        <v>1901</v>
      </c>
      <c r="L167" s="3"/>
      <c r="M167" s="3"/>
      <c r="N167" s="3"/>
      <c r="O167" s="4"/>
      <c r="P167" s="3" t="s">
        <v>1902</v>
      </c>
      <c r="Q167" s="3"/>
      <c r="R167" s="3" t="s">
        <v>1122</v>
      </c>
      <c r="S167" s="3"/>
      <c r="T167" s="4" t="s">
        <v>675</v>
      </c>
      <c r="U167" s="3"/>
      <c r="V167" s="3"/>
      <c r="W167" s="3"/>
      <c r="X167" s="3"/>
      <c r="Y167" s="3"/>
      <c r="Z167" s="3"/>
      <c r="AA167" s="3"/>
      <c r="AB167" s="3" t="s">
        <v>1903</v>
      </c>
      <c r="AC167" s="3"/>
      <c r="AD167" s="3"/>
      <c r="AE167" s="4" t="s">
        <v>53</v>
      </c>
    </row>
    <row r="168" customFormat="false" ht="15" hidden="false" customHeight="true" outlineLevel="0" collapsed="false">
      <c r="A168" s="3" t="s">
        <v>1904</v>
      </c>
      <c r="B168" s="3" t="s">
        <v>1859</v>
      </c>
      <c r="C168" s="3" t="s">
        <v>1905</v>
      </c>
      <c r="D168" s="3" t="s">
        <v>189</v>
      </c>
      <c r="E168" s="3" t="s">
        <v>189</v>
      </c>
      <c r="F168" s="4" t="s">
        <v>101</v>
      </c>
      <c r="G168" s="3" t="s">
        <v>1906</v>
      </c>
      <c r="H168" s="3" t="s">
        <v>1907</v>
      </c>
      <c r="I168" s="3" t="s">
        <v>1908</v>
      </c>
      <c r="J168" s="3" t="s">
        <v>1909</v>
      </c>
      <c r="K168" s="3" t="s">
        <v>1910</v>
      </c>
      <c r="L168" s="3"/>
      <c r="M168" s="3"/>
      <c r="N168" s="3"/>
      <c r="O168" s="4"/>
      <c r="P168" s="3" t="s">
        <v>1911</v>
      </c>
      <c r="Q168" s="3"/>
      <c r="R168" s="3" t="s">
        <v>1122</v>
      </c>
      <c r="S168" s="3"/>
      <c r="T168" s="4" t="s">
        <v>50</v>
      </c>
      <c r="U168" s="3"/>
      <c r="V168" s="3"/>
      <c r="W168" s="3"/>
      <c r="X168" s="3"/>
      <c r="Y168" s="3"/>
      <c r="Z168" s="3"/>
      <c r="AA168" s="3"/>
      <c r="AB168" s="3" t="s">
        <v>1912</v>
      </c>
      <c r="AC168" s="3"/>
      <c r="AD168" s="3"/>
      <c r="AE168" s="4" t="s">
        <v>53</v>
      </c>
    </row>
    <row r="169" customFormat="false" ht="15" hidden="false" customHeight="true" outlineLevel="0" collapsed="false">
      <c r="A169" s="3" t="s">
        <v>1913</v>
      </c>
      <c r="B169" s="3" t="s">
        <v>1859</v>
      </c>
      <c r="C169" s="3" t="s">
        <v>1914</v>
      </c>
      <c r="D169" s="3" t="s">
        <v>1556</v>
      </c>
      <c r="E169" s="3" t="s">
        <v>189</v>
      </c>
      <c r="F169" s="4" t="s">
        <v>36</v>
      </c>
      <c r="G169" s="3" t="s">
        <v>1915</v>
      </c>
      <c r="H169" s="3" t="s">
        <v>1916</v>
      </c>
      <c r="I169" s="3" t="s">
        <v>1917</v>
      </c>
      <c r="J169" s="3" t="s">
        <v>1918</v>
      </c>
      <c r="K169" s="3" t="s">
        <v>1919</v>
      </c>
      <c r="L169" s="3"/>
      <c r="M169" s="3"/>
      <c r="N169" s="3"/>
      <c r="O169" s="4"/>
      <c r="P169" s="3" t="s">
        <v>1920</v>
      </c>
      <c r="Q169" s="3" t="s">
        <v>1921</v>
      </c>
      <c r="R169" s="3" t="s">
        <v>1122</v>
      </c>
      <c r="S169" s="3" t="s">
        <v>1922</v>
      </c>
      <c r="T169" s="4" t="s">
        <v>50</v>
      </c>
      <c r="U169" s="3"/>
      <c r="V169" s="3"/>
      <c r="W169" s="3"/>
      <c r="X169" s="3"/>
      <c r="Y169" s="3"/>
      <c r="Z169" s="3"/>
      <c r="AA169" s="3"/>
      <c r="AB169" s="3" t="s">
        <v>1923</v>
      </c>
      <c r="AC169" s="3"/>
      <c r="AD169" s="3" t="s">
        <v>1924</v>
      </c>
      <c r="AE169" s="4" t="s">
        <v>53</v>
      </c>
    </row>
    <row r="170" customFormat="false" ht="15" hidden="false" customHeight="true" outlineLevel="0" collapsed="false">
      <c r="A170" s="3" t="s">
        <v>1925</v>
      </c>
      <c r="B170" s="3" t="s">
        <v>1859</v>
      </c>
      <c r="C170" s="3" t="s">
        <v>1926</v>
      </c>
      <c r="D170" s="3" t="s">
        <v>1556</v>
      </c>
      <c r="E170" s="3" t="s">
        <v>258</v>
      </c>
      <c r="F170" s="4" t="s">
        <v>101</v>
      </c>
      <c r="G170" s="3" t="s">
        <v>1927</v>
      </c>
      <c r="H170" s="3" t="s">
        <v>1928</v>
      </c>
      <c r="I170" s="3" t="s">
        <v>1929</v>
      </c>
      <c r="J170" s="3" t="s">
        <v>1930</v>
      </c>
      <c r="K170" s="3" t="s">
        <v>1931</v>
      </c>
      <c r="L170" s="3"/>
      <c r="M170" s="3"/>
      <c r="N170" s="3"/>
      <c r="O170" s="4"/>
      <c r="P170" s="3" t="s">
        <v>1932</v>
      </c>
      <c r="Q170" s="3"/>
      <c r="R170" s="3" t="s">
        <v>1122</v>
      </c>
      <c r="S170" s="3" t="s">
        <v>1922</v>
      </c>
      <c r="T170" s="4" t="s">
        <v>675</v>
      </c>
      <c r="U170" s="3"/>
      <c r="V170" s="3"/>
      <c r="W170" s="3"/>
      <c r="X170" s="3"/>
      <c r="Y170" s="3"/>
      <c r="Z170" s="3"/>
      <c r="AA170" s="3"/>
      <c r="AB170" s="3" t="s">
        <v>1933</v>
      </c>
      <c r="AC170" s="3"/>
      <c r="AD170" s="3" t="s">
        <v>1934</v>
      </c>
      <c r="AE170" s="4" t="s">
        <v>53</v>
      </c>
    </row>
    <row r="171" customFormat="false" ht="15" hidden="false" customHeight="true" outlineLevel="0" collapsed="false">
      <c r="A171" s="3" t="s">
        <v>1935</v>
      </c>
      <c r="B171" s="3" t="s">
        <v>1859</v>
      </c>
      <c r="C171" s="3" t="s">
        <v>1936</v>
      </c>
      <c r="D171" s="3" t="s">
        <v>1556</v>
      </c>
      <c r="E171" s="3" t="s">
        <v>258</v>
      </c>
      <c r="F171" s="4" t="s">
        <v>101</v>
      </c>
      <c r="G171" s="3" t="s">
        <v>1937</v>
      </c>
      <c r="H171" s="3" t="s">
        <v>1938</v>
      </c>
      <c r="I171" s="3" t="s">
        <v>1939</v>
      </c>
      <c r="J171" s="3" t="s">
        <v>1940</v>
      </c>
      <c r="K171" s="3" t="s">
        <v>1941</v>
      </c>
      <c r="L171" s="3"/>
      <c r="M171" s="3"/>
      <c r="N171" s="3"/>
      <c r="O171" s="4"/>
      <c r="P171" s="3" t="s">
        <v>1942</v>
      </c>
      <c r="Q171" s="3"/>
      <c r="R171" s="3" t="s">
        <v>1122</v>
      </c>
      <c r="S171" s="3" t="s">
        <v>1922</v>
      </c>
      <c r="T171" s="4" t="s">
        <v>675</v>
      </c>
      <c r="U171" s="3"/>
      <c r="V171" s="3"/>
      <c r="W171" s="3"/>
      <c r="X171" s="3"/>
      <c r="Y171" s="3"/>
      <c r="Z171" s="3"/>
      <c r="AA171" s="3"/>
      <c r="AB171" s="3" t="s">
        <v>1943</v>
      </c>
      <c r="AC171" s="3"/>
      <c r="AD171" s="3" t="s">
        <v>1944</v>
      </c>
      <c r="AE171" s="4" t="s">
        <v>53</v>
      </c>
    </row>
    <row r="172" customFormat="false" ht="15" hidden="false" customHeight="true" outlineLevel="0" collapsed="false">
      <c r="A172" s="3" t="s">
        <v>1945</v>
      </c>
      <c r="B172" s="3" t="s">
        <v>1859</v>
      </c>
      <c r="C172" s="3" t="s">
        <v>1946</v>
      </c>
      <c r="D172" s="3" t="s">
        <v>1859</v>
      </c>
      <c r="E172" s="3" t="s">
        <v>189</v>
      </c>
      <c r="F172" s="4" t="s">
        <v>36</v>
      </c>
      <c r="G172" s="3" t="s">
        <v>1947</v>
      </c>
      <c r="H172" s="3" t="s">
        <v>1948</v>
      </c>
      <c r="I172" s="3" t="s">
        <v>1949</v>
      </c>
      <c r="J172" s="3" t="s">
        <v>1950</v>
      </c>
      <c r="K172" s="3" t="s">
        <v>1951</v>
      </c>
      <c r="L172" s="3"/>
      <c r="M172" s="3"/>
      <c r="N172" s="3"/>
      <c r="O172" s="4"/>
      <c r="P172" s="3" t="s">
        <v>1952</v>
      </c>
      <c r="Q172" s="3" t="s">
        <v>1953</v>
      </c>
      <c r="R172" s="3" t="s">
        <v>1122</v>
      </c>
      <c r="S172" s="3"/>
      <c r="T172" s="4" t="s">
        <v>1893</v>
      </c>
      <c r="U172" s="3"/>
      <c r="V172" s="3"/>
      <c r="W172" s="3"/>
      <c r="X172" s="3"/>
      <c r="Y172" s="3"/>
      <c r="Z172" s="3"/>
      <c r="AA172" s="3"/>
      <c r="AB172" s="3" t="s">
        <v>1954</v>
      </c>
      <c r="AC172" s="3"/>
      <c r="AD172" s="3" t="s">
        <v>1955</v>
      </c>
      <c r="AE172" s="4" t="s">
        <v>53</v>
      </c>
    </row>
    <row r="173" customFormat="false" ht="15" hidden="false" customHeight="true" outlineLevel="0" collapsed="false">
      <c r="A173" s="3" t="s">
        <v>1956</v>
      </c>
      <c r="B173" s="3" t="s">
        <v>1859</v>
      </c>
      <c r="C173" s="3" t="s">
        <v>1957</v>
      </c>
      <c r="D173" s="3" t="s">
        <v>1556</v>
      </c>
      <c r="E173" s="3" t="s">
        <v>70</v>
      </c>
      <c r="F173" s="4" t="s">
        <v>36</v>
      </c>
      <c r="G173" s="3" t="s">
        <v>1958</v>
      </c>
      <c r="H173" s="3" t="s">
        <v>1959</v>
      </c>
      <c r="I173" s="3" t="s">
        <v>1960</v>
      </c>
      <c r="J173" s="3" t="s">
        <v>1961</v>
      </c>
      <c r="K173" s="3" t="s">
        <v>1962</v>
      </c>
      <c r="L173" s="3"/>
      <c r="M173" s="3"/>
      <c r="N173" s="3"/>
      <c r="O173" s="4"/>
      <c r="P173" s="3" t="s">
        <v>1963</v>
      </c>
      <c r="Q173" s="3" t="s">
        <v>297</v>
      </c>
      <c r="R173" s="3" t="s">
        <v>1122</v>
      </c>
      <c r="S173" s="3" t="s">
        <v>1922</v>
      </c>
      <c r="T173" s="4" t="s">
        <v>675</v>
      </c>
      <c r="U173" s="3"/>
      <c r="V173" s="3"/>
      <c r="W173" s="3"/>
      <c r="X173" s="3"/>
      <c r="Y173" s="3"/>
      <c r="Z173" s="3"/>
      <c r="AA173" s="3"/>
      <c r="AB173" s="3" t="s">
        <v>1964</v>
      </c>
      <c r="AC173" s="3"/>
      <c r="AD173" s="3" t="s">
        <v>1965</v>
      </c>
      <c r="AE173" s="4" t="s">
        <v>53</v>
      </c>
    </row>
    <row r="174" customFormat="false" ht="15" hidden="false" customHeight="true" outlineLevel="0" collapsed="false">
      <c r="A174" s="3" t="s">
        <v>1966</v>
      </c>
      <c r="B174" s="3" t="s">
        <v>1967</v>
      </c>
      <c r="C174" s="3" t="s">
        <v>1968</v>
      </c>
      <c r="D174" s="3" t="s">
        <v>1969</v>
      </c>
      <c r="E174" s="3" t="s">
        <v>258</v>
      </c>
      <c r="F174" s="4" t="s">
        <v>101</v>
      </c>
      <c r="G174" s="3" t="s">
        <v>1970</v>
      </c>
      <c r="H174" s="3" t="s">
        <v>1971</v>
      </c>
      <c r="I174" s="3" t="s">
        <v>1972</v>
      </c>
      <c r="J174" s="3" t="s">
        <v>1973</v>
      </c>
      <c r="K174" s="3" t="s">
        <v>1974</v>
      </c>
      <c r="L174" s="3"/>
      <c r="M174" s="3"/>
      <c r="N174" s="3"/>
      <c r="O174" s="4"/>
      <c r="P174" s="3"/>
      <c r="Q174" s="3"/>
      <c r="R174" s="3" t="s">
        <v>285</v>
      </c>
      <c r="S174" s="3"/>
      <c r="T174" s="4" t="s">
        <v>287</v>
      </c>
      <c r="U174" s="3"/>
      <c r="V174" s="3"/>
      <c r="W174" s="3"/>
      <c r="X174" s="3"/>
      <c r="Y174" s="3"/>
      <c r="Z174" s="3"/>
      <c r="AA174" s="3"/>
      <c r="AB174" s="3" t="s">
        <v>1975</v>
      </c>
      <c r="AC174" s="3"/>
      <c r="AD174" s="3"/>
      <c r="AE174" s="4" t="s">
        <v>53</v>
      </c>
    </row>
    <row r="175" customFormat="false" ht="15" hidden="false" customHeight="true" outlineLevel="0" collapsed="false">
      <c r="A175" s="3" t="s">
        <v>1976</v>
      </c>
      <c r="B175" s="3" t="s">
        <v>1967</v>
      </c>
      <c r="C175" s="3" t="s">
        <v>1977</v>
      </c>
      <c r="D175" s="3" t="s">
        <v>1969</v>
      </c>
      <c r="E175" s="3" t="s">
        <v>258</v>
      </c>
      <c r="F175" s="4" t="s">
        <v>101</v>
      </c>
      <c r="G175" s="3" t="s">
        <v>1978</v>
      </c>
      <c r="H175" s="3" t="s">
        <v>1979</v>
      </c>
      <c r="I175" s="3" t="s">
        <v>1980</v>
      </c>
      <c r="J175" s="3" t="s">
        <v>1981</v>
      </c>
      <c r="K175" s="3" t="s">
        <v>1982</v>
      </c>
      <c r="L175" s="3"/>
      <c r="M175" s="3"/>
      <c r="N175" s="3"/>
      <c r="O175" s="4"/>
      <c r="P175" s="3"/>
      <c r="Q175" s="3"/>
      <c r="R175" s="3" t="s">
        <v>285</v>
      </c>
      <c r="S175" s="3"/>
      <c r="T175" s="4" t="s">
        <v>287</v>
      </c>
      <c r="U175" s="3"/>
      <c r="V175" s="3"/>
      <c r="W175" s="3"/>
      <c r="X175" s="3"/>
      <c r="Y175" s="3"/>
      <c r="Z175" s="3"/>
      <c r="AA175" s="3"/>
      <c r="AB175" s="3" t="s">
        <v>1966</v>
      </c>
      <c r="AC175" s="3"/>
      <c r="AD175" s="3"/>
      <c r="AE175" s="4" t="s">
        <v>53</v>
      </c>
    </row>
    <row r="176" customFormat="false" ht="15" hidden="false" customHeight="true" outlineLevel="0" collapsed="false">
      <c r="A176" s="3" t="s">
        <v>1983</v>
      </c>
      <c r="B176" s="3" t="s">
        <v>1967</v>
      </c>
      <c r="C176" s="3" t="s">
        <v>1984</v>
      </c>
      <c r="D176" s="3" t="s">
        <v>1273</v>
      </c>
      <c r="E176" s="3" t="s">
        <v>1273</v>
      </c>
      <c r="F176" s="4" t="s">
        <v>36</v>
      </c>
      <c r="G176" s="3" t="s">
        <v>1985</v>
      </c>
      <c r="H176" s="3" t="s">
        <v>1986</v>
      </c>
      <c r="I176" s="3" t="s">
        <v>1987</v>
      </c>
      <c r="J176" s="3" t="s">
        <v>1988</v>
      </c>
      <c r="K176" s="3" t="s">
        <v>1989</v>
      </c>
      <c r="L176" s="3"/>
      <c r="M176" s="3"/>
      <c r="N176" s="3"/>
      <c r="O176" s="4"/>
      <c r="P176" s="3" t="s">
        <v>1990</v>
      </c>
      <c r="Q176" s="3"/>
      <c r="R176" s="3" t="s">
        <v>285</v>
      </c>
      <c r="S176" s="3"/>
      <c r="T176" s="4" t="s">
        <v>287</v>
      </c>
      <c r="U176" s="3"/>
      <c r="V176" s="3"/>
      <c r="W176" s="3"/>
      <c r="X176" s="3"/>
      <c r="Y176" s="3"/>
      <c r="Z176" s="3"/>
      <c r="AA176" s="3"/>
      <c r="AB176" s="3" t="s">
        <v>1991</v>
      </c>
      <c r="AC176" s="3"/>
      <c r="AD176" s="3"/>
      <c r="AE176" s="4" t="s">
        <v>53</v>
      </c>
    </row>
    <row r="177" customFormat="false" ht="15" hidden="false" customHeight="true" outlineLevel="0" collapsed="false">
      <c r="A177" s="3" t="s">
        <v>1992</v>
      </c>
      <c r="B177" s="3" t="s">
        <v>1967</v>
      </c>
      <c r="C177" s="3" t="s">
        <v>1993</v>
      </c>
      <c r="D177" s="3" t="s">
        <v>258</v>
      </c>
      <c r="E177" s="3" t="s">
        <v>258</v>
      </c>
      <c r="F177" s="4" t="s">
        <v>101</v>
      </c>
      <c r="G177" s="3" t="s">
        <v>1994</v>
      </c>
      <c r="H177" s="3" t="s">
        <v>1995</v>
      </c>
      <c r="I177" s="3" t="s">
        <v>1996</v>
      </c>
      <c r="J177" s="3" t="s">
        <v>1997</v>
      </c>
      <c r="K177" s="3" t="s">
        <v>1998</v>
      </c>
      <c r="L177" s="3"/>
      <c r="M177" s="3"/>
      <c r="N177" s="3"/>
      <c r="O177" s="4"/>
      <c r="P177" s="3" t="s">
        <v>1999</v>
      </c>
      <c r="Q177" s="3"/>
      <c r="R177" s="3" t="s">
        <v>285</v>
      </c>
      <c r="S177" s="3"/>
      <c r="T177" s="4" t="s">
        <v>675</v>
      </c>
      <c r="U177" s="3"/>
      <c r="V177" s="3"/>
      <c r="W177" s="3"/>
      <c r="X177" s="3"/>
      <c r="Y177" s="3"/>
      <c r="Z177" s="3"/>
      <c r="AA177" s="3"/>
      <c r="AB177" s="3" t="s">
        <v>2000</v>
      </c>
      <c r="AC177" s="3"/>
      <c r="AD177" s="3"/>
      <c r="AE177" s="4" t="s">
        <v>53</v>
      </c>
    </row>
    <row r="178" customFormat="false" ht="15" hidden="false" customHeight="true" outlineLevel="0" collapsed="false">
      <c r="A178" s="3" t="s">
        <v>2001</v>
      </c>
      <c r="B178" s="3" t="s">
        <v>1967</v>
      </c>
      <c r="C178" s="3" t="s">
        <v>2002</v>
      </c>
      <c r="D178" s="3" t="s">
        <v>1969</v>
      </c>
      <c r="E178" s="3" t="s">
        <v>258</v>
      </c>
      <c r="F178" s="4" t="s">
        <v>101</v>
      </c>
      <c r="G178" s="3" t="s">
        <v>2003</v>
      </c>
      <c r="H178" s="3" t="s">
        <v>2004</v>
      </c>
      <c r="I178" s="3" t="s">
        <v>2005</v>
      </c>
      <c r="J178" s="3" t="s">
        <v>2006</v>
      </c>
      <c r="K178" s="3" t="s">
        <v>2007</v>
      </c>
      <c r="L178" s="3"/>
      <c r="M178" s="3"/>
      <c r="N178" s="3"/>
      <c r="O178" s="4"/>
      <c r="P178" s="3"/>
      <c r="Q178" s="3"/>
      <c r="R178" s="3" t="s">
        <v>285</v>
      </c>
      <c r="S178" s="3"/>
      <c r="T178" s="4" t="s">
        <v>287</v>
      </c>
      <c r="U178" s="3"/>
      <c r="V178" s="3"/>
      <c r="W178" s="3"/>
      <c r="X178" s="3"/>
      <c r="Y178" s="3"/>
      <c r="Z178" s="3"/>
      <c r="AA178" s="3"/>
      <c r="AB178" s="3" t="s">
        <v>1966</v>
      </c>
      <c r="AC178" s="3"/>
      <c r="AD178" s="3"/>
      <c r="AE178" s="4" t="s">
        <v>53</v>
      </c>
    </row>
    <row r="179" customFormat="false" ht="15" hidden="false" customHeight="true" outlineLevel="0" collapsed="false">
      <c r="A179" s="3" t="s">
        <v>2008</v>
      </c>
      <c r="B179" s="3" t="s">
        <v>1967</v>
      </c>
      <c r="C179" s="3" t="s">
        <v>2009</v>
      </c>
      <c r="D179" s="3" t="s">
        <v>1969</v>
      </c>
      <c r="E179" s="3" t="s">
        <v>258</v>
      </c>
      <c r="F179" s="4" t="s">
        <v>101</v>
      </c>
      <c r="G179" s="3" t="s">
        <v>2010</v>
      </c>
      <c r="H179" s="3" t="s">
        <v>2011</v>
      </c>
      <c r="I179" s="3" t="s">
        <v>2012</v>
      </c>
      <c r="J179" s="3" t="s">
        <v>2013</v>
      </c>
      <c r="K179" s="3" t="s">
        <v>2014</v>
      </c>
      <c r="L179" s="3"/>
      <c r="M179" s="3"/>
      <c r="N179" s="3"/>
      <c r="O179" s="4"/>
      <c r="P179" s="3" t="s">
        <v>2015</v>
      </c>
      <c r="Q179" s="3"/>
      <c r="R179" s="3" t="s">
        <v>285</v>
      </c>
      <c r="S179" s="3"/>
      <c r="T179" s="4" t="s">
        <v>287</v>
      </c>
      <c r="U179" s="3"/>
      <c r="V179" s="3"/>
      <c r="W179" s="3"/>
      <c r="X179" s="3"/>
      <c r="Y179" s="3"/>
      <c r="Z179" s="3"/>
      <c r="AA179" s="3"/>
      <c r="AB179" s="3" t="s">
        <v>2016</v>
      </c>
      <c r="AC179" s="3" t="s">
        <v>2017</v>
      </c>
      <c r="AD179" s="3" t="s">
        <v>2018</v>
      </c>
      <c r="AE179" s="4" t="s">
        <v>53</v>
      </c>
    </row>
    <row r="180" customFormat="false" ht="15" hidden="false" customHeight="true" outlineLevel="0" collapsed="false">
      <c r="A180" s="3" t="s">
        <v>2019</v>
      </c>
      <c r="B180" s="3" t="s">
        <v>1967</v>
      </c>
      <c r="C180" s="3" t="s">
        <v>2020</v>
      </c>
      <c r="D180" s="3" t="s">
        <v>274</v>
      </c>
      <c r="E180" s="3" t="s">
        <v>274</v>
      </c>
      <c r="F180" s="4" t="s">
        <v>259</v>
      </c>
      <c r="G180" s="3" t="s">
        <v>2021</v>
      </c>
      <c r="H180" s="3" t="s">
        <v>2022</v>
      </c>
      <c r="I180" s="3" t="s">
        <v>2023</v>
      </c>
      <c r="J180" s="3" t="s">
        <v>2024</v>
      </c>
      <c r="K180" s="3" t="s">
        <v>2025</v>
      </c>
      <c r="L180" s="3"/>
      <c r="M180" s="3"/>
      <c r="N180" s="3"/>
      <c r="O180" s="4"/>
      <c r="P180" s="3" t="s">
        <v>2026</v>
      </c>
      <c r="Q180" s="3"/>
      <c r="R180" s="3" t="s">
        <v>285</v>
      </c>
      <c r="S180" s="3"/>
      <c r="T180" s="4" t="s">
        <v>326</v>
      </c>
      <c r="U180" s="3"/>
      <c r="V180" s="3"/>
      <c r="W180" s="3"/>
      <c r="X180" s="3"/>
      <c r="Y180" s="3"/>
      <c r="Z180" s="3"/>
      <c r="AA180" s="3"/>
      <c r="AB180" s="3" t="s">
        <v>1885</v>
      </c>
      <c r="AC180" s="3" t="s">
        <v>2027</v>
      </c>
      <c r="AD180" s="3" t="s">
        <v>2018</v>
      </c>
      <c r="AE180" s="4" t="s">
        <v>53</v>
      </c>
    </row>
    <row r="181" customFormat="false" ht="15" hidden="false" customHeight="true" outlineLevel="0" collapsed="false">
      <c r="A181" s="3" t="s">
        <v>2028</v>
      </c>
      <c r="B181" s="3" t="s">
        <v>1967</v>
      </c>
      <c r="C181" s="3" t="s">
        <v>2029</v>
      </c>
      <c r="D181" s="3" t="s">
        <v>1969</v>
      </c>
      <c r="E181" s="3" t="s">
        <v>258</v>
      </c>
      <c r="F181" s="4" t="s">
        <v>101</v>
      </c>
      <c r="G181" s="3" t="s">
        <v>2030</v>
      </c>
      <c r="H181" s="3" t="s">
        <v>2031</v>
      </c>
      <c r="I181" s="3" t="s">
        <v>2032</v>
      </c>
      <c r="J181" s="3" t="s">
        <v>2033</v>
      </c>
      <c r="K181" s="3" t="s">
        <v>2034</v>
      </c>
      <c r="L181" s="3"/>
      <c r="M181" s="3"/>
      <c r="N181" s="3"/>
      <c r="O181" s="4"/>
      <c r="P181" s="3" t="s">
        <v>1990</v>
      </c>
      <c r="Q181" s="3" t="s">
        <v>1056</v>
      </c>
      <c r="R181" s="3" t="s">
        <v>285</v>
      </c>
      <c r="S181" s="3"/>
      <c r="T181" s="4" t="s">
        <v>287</v>
      </c>
      <c r="U181" s="3"/>
      <c r="V181" s="3"/>
      <c r="W181" s="3"/>
      <c r="X181" s="3"/>
      <c r="Y181" s="3"/>
      <c r="Z181" s="3"/>
      <c r="AA181" s="3"/>
      <c r="AB181" s="3" t="s">
        <v>2035</v>
      </c>
      <c r="AC181" s="3"/>
      <c r="AD181" s="3" t="s">
        <v>1058</v>
      </c>
      <c r="AE181" s="4" t="s">
        <v>53</v>
      </c>
    </row>
    <row r="182" customFormat="false" ht="15" hidden="false" customHeight="true" outlineLevel="0" collapsed="false">
      <c r="A182" s="3" t="s">
        <v>2036</v>
      </c>
      <c r="B182" s="3" t="s">
        <v>1967</v>
      </c>
      <c r="C182" s="3" t="s">
        <v>2037</v>
      </c>
      <c r="D182" s="3" t="s">
        <v>1859</v>
      </c>
      <c r="E182" s="3" t="s">
        <v>258</v>
      </c>
      <c r="F182" s="4" t="s">
        <v>101</v>
      </c>
      <c r="G182" s="3" t="s">
        <v>2038</v>
      </c>
      <c r="H182" s="3" t="s">
        <v>2039</v>
      </c>
      <c r="I182" s="3" t="s">
        <v>2040</v>
      </c>
      <c r="J182" s="3" t="s">
        <v>2041</v>
      </c>
      <c r="K182" s="3" t="s">
        <v>2042</v>
      </c>
      <c r="L182" s="3"/>
      <c r="M182" s="3"/>
      <c r="N182" s="3"/>
      <c r="O182" s="4"/>
      <c r="P182" s="3" t="s">
        <v>1990</v>
      </c>
      <c r="Q182" s="3"/>
      <c r="R182" s="3" t="s">
        <v>285</v>
      </c>
      <c r="S182" s="3"/>
      <c r="T182" s="4" t="s">
        <v>1893</v>
      </c>
      <c r="U182" s="3"/>
      <c r="V182" s="3"/>
      <c r="W182" s="3"/>
      <c r="X182" s="3"/>
      <c r="Y182" s="3"/>
      <c r="Z182" s="3"/>
      <c r="AA182" s="3"/>
      <c r="AB182" s="3" t="s">
        <v>2043</v>
      </c>
      <c r="AC182" s="3" t="s">
        <v>2044</v>
      </c>
      <c r="AD182" s="3" t="s">
        <v>2018</v>
      </c>
      <c r="AE182" s="4" t="s">
        <v>53</v>
      </c>
    </row>
    <row r="183" customFormat="false" ht="15" hidden="false" customHeight="true" outlineLevel="0" collapsed="false">
      <c r="A183" s="3" t="s">
        <v>2045</v>
      </c>
      <c r="B183" s="3" t="s">
        <v>2046</v>
      </c>
      <c r="C183" s="3" t="s">
        <v>2047</v>
      </c>
      <c r="D183" s="3" t="s">
        <v>35</v>
      </c>
      <c r="E183" s="3" t="s">
        <v>35</v>
      </c>
      <c r="F183" s="4" t="s">
        <v>36</v>
      </c>
      <c r="G183" s="3" t="s">
        <v>2048</v>
      </c>
      <c r="H183" s="3" t="s">
        <v>2049</v>
      </c>
      <c r="I183" s="3" t="s">
        <v>2050</v>
      </c>
      <c r="J183" s="3" t="s">
        <v>2051</v>
      </c>
      <c r="K183" s="3" t="s">
        <v>2052</v>
      </c>
      <c r="L183" s="3"/>
      <c r="M183" s="3"/>
      <c r="N183" s="3"/>
      <c r="O183" s="4"/>
      <c r="P183" s="3" t="s">
        <v>2053</v>
      </c>
      <c r="Q183" s="3" t="s">
        <v>2054</v>
      </c>
      <c r="R183" s="3" t="s">
        <v>2055</v>
      </c>
      <c r="S183" s="3" t="s">
        <v>2056</v>
      </c>
      <c r="T183" s="4" t="s">
        <v>675</v>
      </c>
      <c r="U183" s="3"/>
      <c r="V183" s="3"/>
      <c r="W183" s="3"/>
      <c r="X183" s="3"/>
      <c r="Y183" s="3"/>
      <c r="Z183" s="3"/>
      <c r="AA183" s="3"/>
      <c r="AB183" s="3" t="s">
        <v>2057</v>
      </c>
      <c r="AC183" s="3"/>
      <c r="AD183" s="3" t="s">
        <v>2058</v>
      </c>
      <c r="AE183" s="4" t="s">
        <v>53</v>
      </c>
    </row>
    <row r="184" customFormat="false" ht="15" hidden="false" customHeight="true" outlineLevel="0" collapsed="false">
      <c r="A184" s="3" t="s">
        <v>2059</v>
      </c>
      <c r="B184" s="3" t="s">
        <v>2046</v>
      </c>
      <c r="C184" s="3" t="s">
        <v>2060</v>
      </c>
      <c r="D184" s="3" t="s">
        <v>35</v>
      </c>
      <c r="E184" s="3" t="s">
        <v>35</v>
      </c>
      <c r="F184" s="4" t="s">
        <v>36</v>
      </c>
      <c r="G184" s="3" t="s">
        <v>2061</v>
      </c>
      <c r="H184" s="3" t="s">
        <v>2062</v>
      </c>
      <c r="I184" s="3" t="s">
        <v>2063</v>
      </c>
      <c r="J184" s="3" t="s">
        <v>2064</v>
      </c>
      <c r="K184" s="3" t="s">
        <v>2065</v>
      </c>
      <c r="L184" s="3"/>
      <c r="M184" s="3"/>
      <c r="N184" s="3"/>
      <c r="O184" s="4"/>
      <c r="P184" s="3" t="s">
        <v>2066</v>
      </c>
      <c r="Q184" s="3" t="s">
        <v>64</v>
      </c>
      <c r="R184" s="3" t="s">
        <v>2067</v>
      </c>
      <c r="S184" s="3" t="s">
        <v>2056</v>
      </c>
      <c r="T184" s="4" t="s">
        <v>675</v>
      </c>
      <c r="U184" s="3"/>
      <c r="V184" s="3"/>
      <c r="W184" s="3"/>
      <c r="X184" s="3"/>
      <c r="Y184" s="3"/>
      <c r="Z184" s="3"/>
      <c r="AA184" s="3"/>
      <c r="AB184" s="3" t="s">
        <v>2068</v>
      </c>
      <c r="AC184" s="3"/>
      <c r="AD184" s="3" t="s">
        <v>2069</v>
      </c>
      <c r="AE184" s="4" t="s">
        <v>53</v>
      </c>
    </row>
    <row r="185" customFormat="false" ht="15" hidden="false" customHeight="true" outlineLevel="0" collapsed="false">
      <c r="A185" s="3" t="s">
        <v>2070</v>
      </c>
      <c r="B185" s="3" t="s">
        <v>2046</v>
      </c>
      <c r="C185" s="3" t="s">
        <v>2071</v>
      </c>
      <c r="D185" s="3" t="s">
        <v>35</v>
      </c>
      <c r="E185" s="3" t="s">
        <v>35</v>
      </c>
      <c r="F185" s="4" t="s">
        <v>36</v>
      </c>
      <c r="G185" s="3" t="s">
        <v>2072</v>
      </c>
      <c r="H185" s="3" t="s">
        <v>2073</v>
      </c>
      <c r="I185" s="3" t="s">
        <v>2074</v>
      </c>
      <c r="J185" s="3" t="s">
        <v>2075</v>
      </c>
      <c r="K185" s="3" t="s">
        <v>2076</v>
      </c>
      <c r="L185" s="3"/>
      <c r="M185" s="3"/>
      <c r="N185" s="3"/>
      <c r="O185" s="4"/>
      <c r="P185" s="3" t="s">
        <v>2077</v>
      </c>
      <c r="Q185" s="3" t="s">
        <v>2078</v>
      </c>
      <c r="R185" s="3" t="s">
        <v>2079</v>
      </c>
      <c r="S185" s="3" t="s">
        <v>2080</v>
      </c>
      <c r="T185" s="4" t="s">
        <v>675</v>
      </c>
      <c r="U185" s="3"/>
      <c r="V185" s="3"/>
      <c r="W185" s="3"/>
      <c r="X185" s="3"/>
      <c r="Y185" s="3"/>
      <c r="Z185" s="3"/>
      <c r="AA185" s="3"/>
      <c r="AB185" s="3" t="s">
        <v>2081</v>
      </c>
      <c r="AC185" s="3"/>
      <c r="AD185" s="3" t="s">
        <v>2082</v>
      </c>
      <c r="AE185" s="4" t="s">
        <v>53</v>
      </c>
    </row>
    <row r="186" customFormat="false" ht="15" hidden="false" customHeight="true" outlineLevel="0" collapsed="false">
      <c r="A186" s="3" t="s">
        <v>2083</v>
      </c>
      <c r="B186" s="3" t="s">
        <v>2046</v>
      </c>
      <c r="C186" s="3" t="s">
        <v>2084</v>
      </c>
      <c r="D186" s="3" t="s">
        <v>189</v>
      </c>
      <c r="E186" s="3" t="s">
        <v>189</v>
      </c>
      <c r="F186" s="4" t="s">
        <v>36</v>
      </c>
      <c r="G186" s="3" t="s">
        <v>2085</v>
      </c>
      <c r="H186" s="3" t="s">
        <v>2086</v>
      </c>
      <c r="I186" s="3" t="s">
        <v>2087</v>
      </c>
      <c r="J186" s="3" t="s">
        <v>2088</v>
      </c>
      <c r="K186" s="3" t="s">
        <v>2089</v>
      </c>
      <c r="L186" s="3"/>
      <c r="M186" s="3"/>
      <c r="N186" s="3"/>
      <c r="O186" s="4"/>
      <c r="P186" s="3" t="s">
        <v>2090</v>
      </c>
      <c r="Q186" s="3" t="s">
        <v>2091</v>
      </c>
      <c r="R186" s="3" t="s">
        <v>2092</v>
      </c>
      <c r="S186" s="3" t="s">
        <v>2056</v>
      </c>
      <c r="T186" s="4" t="s">
        <v>50</v>
      </c>
      <c r="U186" s="3"/>
      <c r="V186" s="3"/>
      <c r="W186" s="3"/>
      <c r="X186" s="3"/>
      <c r="Y186" s="3"/>
      <c r="Z186" s="3"/>
      <c r="AA186" s="3"/>
      <c r="AB186" s="3" t="s">
        <v>2093</v>
      </c>
      <c r="AC186" s="3"/>
      <c r="AD186" s="3" t="s">
        <v>2094</v>
      </c>
      <c r="AE186" s="4" t="s">
        <v>53</v>
      </c>
    </row>
    <row r="187" customFormat="false" ht="15" hidden="false" customHeight="true" outlineLevel="0" collapsed="false">
      <c r="A187" s="3" t="s">
        <v>2095</v>
      </c>
      <c r="B187" s="3" t="s">
        <v>2046</v>
      </c>
      <c r="C187" s="3" t="s">
        <v>2096</v>
      </c>
      <c r="D187" s="3" t="s">
        <v>315</v>
      </c>
      <c r="E187" s="3" t="s">
        <v>189</v>
      </c>
      <c r="F187" s="4" t="s">
        <v>36</v>
      </c>
      <c r="G187" s="3" t="s">
        <v>2097</v>
      </c>
      <c r="H187" s="3" t="s">
        <v>2098</v>
      </c>
      <c r="I187" s="3" t="s">
        <v>2099</v>
      </c>
      <c r="J187" s="3" t="s">
        <v>2100</v>
      </c>
      <c r="K187" s="3" t="s">
        <v>2101</v>
      </c>
      <c r="L187" s="3"/>
      <c r="M187" s="3"/>
      <c r="N187" s="3"/>
      <c r="O187" s="4"/>
      <c r="P187" s="3" t="s">
        <v>2102</v>
      </c>
      <c r="Q187" s="3" t="s">
        <v>2103</v>
      </c>
      <c r="R187" s="3" t="s">
        <v>285</v>
      </c>
      <c r="S187" s="3"/>
      <c r="T187" s="4" t="s">
        <v>287</v>
      </c>
      <c r="U187" s="3"/>
      <c r="V187" s="3"/>
      <c r="W187" s="3"/>
      <c r="X187" s="3"/>
      <c r="Y187" s="3"/>
      <c r="Z187" s="3"/>
      <c r="AA187" s="3"/>
      <c r="AB187" s="3" t="s">
        <v>2104</v>
      </c>
      <c r="AC187" s="3" t="s">
        <v>2105</v>
      </c>
      <c r="AD187" s="3" t="s">
        <v>2106</v>
      </c>
      <c r="AE187" s="4" t="s">
        <v>53</v>
      </c>
    </row>
    <row r="188" customFormat="false" ht="15" hidden="false" customHeight="true" outlineLevel="0" collapsed="false">
      <c r="A188" s="3" t="s">
        <v>2107</v>
      </c>
      <c r="B188" s="3" t="s">
        <v>2046</v>
      </c>
      <c r="C188" s="3" t="s">
        <v>2108</v>
      </c>
      <c r="D188" s="3" t="s">
        <v>273</v>
      </c>
      <c r="E188" s="3" t="s">
        <v>70</v>
      </c>
      <c r="F188" s="4" t="s">
        <v>36</v>
      </c>
      <c r="G188" s="3" t="s">
        <v>2109</v>
      </c>
      <c r="H188" s="3" t="s">
        <v>2110</v>
      </c>
      <c r="I188" s="3" t="s">
        <v>2111</v>
      </c>
      <c r="J188" s="3" t="s">
        <v>2112</v>
      </c>
      <c r="K188" s="3" t="s">
        <v>2113</v>
      </c>
      <c r="L188" s="3"/>
      <c r="M188" s="3"/>
      <c r="N188" s="3"/>
      <c r="O188" s="4"/>
      <c r="P188" s="3" t="s">
        <v>2114</v>
      </c>
      <c r="Q188" s="3" t="s">
        <v>2115</v>
      </c>
      <c r="R188" s="3" t="s">
        <v>285</v>
      </c>
      <c r="S188" s="3" t="s">
        <v>1922</v>
      </c>
      <c r="T188" s="4" t="s">
        <v>675</v>
      </c>
      <c r="U188" s="3"/>
      <c r="V188" s="3"/>
      <c r="W188" s="3"/>
      <c r="X188" s="3"/>
      <c r="Y188" s="3"/>
      <c r="Z188" s="3"/>
      <c r="AA188" s="3"/>
      <c r="AB188" s="3" t="s">
        <v>2116</v>
      </c>
      <c r="AC188" s="3" t="s">
        <v>2117</v>
      </c>
      <c r="AD188" s="3" t="s">
        <v>2118</v>
      </c>
      <c r="AE188" s="4" t="s">
        <v>53</v>
      </c>
    </row>
    <row r="189" customFormat="false" ht="15" hidden="false" customHeight="true" outlineLevel="0" collapsed="false">
      <c r="A189" s="3" t="s">
        <v>2119</v>
      </c>
      <c r="B189" s="3" t="s">
        <v>2046</v>
      </c>
      <c r="C189" s="3" t="s">
        <v>2120</v>
      </c>
      <c r="D189" s="3" t="s">
        <v>874</v>
      </c>
      <c r="E189" s="3" t="s">
        <v>35</v>
      </c>
      <c r="F189" s="4" t="s">
        <v>36</v>
      </c>
      <c r="G189" s="3" t="s">
        <v>2121</v>
      </c>
      <c r="H189" s="3" t="s">
        <v>2122</v>
      </c>
      <c r="I189" s="3" t="s">
        <v>2123</v>
      </c>
      <c r="J189" s="3" t="s">
        <v>2124</v>
      </c>
      <c r="K189" s="3" t="s">
        <v>2125</v>
      </c>
      <c r="L189" s="3" t="s">
        <v>348</v>
      </c>
      <c r="M189" s="3"/>
      <c r="N189" s="3"/>
      <c r="O189" s="4"/>
      <c r="P189" s="3" t="s">
        <v>2126</v>
      </c>
      <c r="Q189" s="3" t="s">
        <v>351</v>
      </c>
      <c r="R189" s="3" t="s">
        <v>2055</v>
      </c>
      <c r="S189" s="3" t="s">
        <v>1067</v>
      </c>
      <c r="T189" s="4" t="s">
        <v>675</v>
      </c>
      <c r="U189" s="3"/>
      <c r="V189" s="3"/>
      <c r="W189" s="3"/>
      <c r="X189" s="3"/>
      <c r="Y189" s="3"/>
      <c r="Z189" s="3"/>
      <c r="AA189" s="3"/>
      <c r="AB189" s="3" t="s">
        <v>2127</v>
      </c>
      <c r="AC189" s="3"/>
      <c r="AD189" s="3" t="s">
        <v>1146</v>
      </c>
      <c r="AE189" s="4" t="s">
        <v>53</v>
      </c>
    </row>
    <row r="190" customFormat="false" ht="15" hidden="false" customHeight="true" outlineLevel="0" collapsed="false">
      <c r="A190" s="3" t="s">
        <v>2128</v>
      </c>
      <c r="B190" s="3" t="s">
        <v>2129</v>
      </c>
      <c r="C190" s="3" t="s">
        <v>2130</v>
      </c>
      <c r="D190" s="3" t="s">
        <v>69</v>
      </c>
      <c r="E190" s="3" t="s">
        <v>70</v>
      </c>
      <c r="F190" s="4" t="s">
        <v>36</v>
      </c>
      <c r="G190" s="3" t="s">
        <v>2131</v>
      </c>
      <c r="H190" s="3" t="s">
        <v>2132</v>
      </c>
      <c r="I190" s="3" t="s">
        <v>2133</v>
      </c>
      <c r="J190" s="3" t="s">
        <v>2134</v>
      </c>
      <c r="K190" s="3" t="s">
        <v>2135</v>
      </c>
      <c r="L190" s="3"/>
      <c r="M190" s="3"/>
      <c r="N190" s="3"/>
      <c r="O190" s="4"/>
      <c r="P190" s="3"/>
      <c r="Q190" s="3" t="s">
        <v>2136</v>
      </c>
      <c r="R190" s="3" t="s">
        <v>2137</v>
      </c>
      <c r="S190" s="3"/>
      <c r="T190" s="4" t="s">
        <v>82</v>
      </c>
      <c r="U190" s="3"/>
      <c r="V190" s="3"/>
      <c r="W190" s="3"/>
      <c r="X190" s="3"/>
      <c r="Y190" s="3"/>
      <c r="Z190" s="3"/>
      <c r="AA190" s="3"/>
      <c r="AB190" s="3" t="s">
        <v>2138</v>
      </c>
      <c r="AC190" s="3" t="s">
        <v>2139</v>
      </c>
      <c r="AD190" s="3" t="s">
        <v>2140</v>
      </c>
      <c r="AE190" s="4" t="s">
        <v>53</v>
      </c>
    </row>
    <row r="191" customFormat="false" ht="15" hidden="false" customHeight="true" outlineLevel="0" collapsed="false">
      <c r="A191" s="3" t="s">
        <v>2141</v>
      </c>
      <c r="B191" s="3" t="s">
        <v>2129</v>
      </c>
      <c r="C191" s="3" t="s">
        <v>2142</v>
      </c>
      <c r="D191" s="3" t="s">
        <v>315</v>
      </c>
      <c r="E191" s="3" t="s">
        <v>316</v>
      </c>
      <c r="F191" s="4" t="s">
        <v>101</v>
      </c>
      <c r="G191" s="3" t="s">
        <v>2143</v>
      </c>
      <c r="H191" s="3" t="s">
        <v>2144</v>
      </c>
      <c r="I191" s="3" t="s">
        <v>2145</v>
      </c>
      <c r="J191" s="3" t="s">
        <v>2146</v>
      </c>
      <c r="K191" s="3" t="s">
        <v>2147</v>
      </c>
      <c r="L191" s="3"/>
      <c r="M191" s="3"/>
      <c r="N191" s="3"/>
      <c r="O191" s="4"/>
      <c r="P191" s="3"/>
      <c r="Q191" s="3" t="s">
        <v>2148</v>
      </c>
      <c r="R191" s="3" t="s">
        <v>2137</v>
      </c>
      <c r="S191" s="3"/>
      <c r="T191" s="4" t="s">
        <v>326</v>
      </c>
      <c r="U191" s="3"/>
      <c r="V191" s="3"/>
      <c r="W191" s="3"/>
      <c r="X191" s="3"/>
      <c r="Y191" s="3"/>
      <c r="Z191" s="3"/>
      <c r="AA191" s="3"/>
      <c r="AB191" s="3" t="s">
        <v>2149</v>
      </c>
      <c r="AC191" s="3" t="s">
        <v>2150</v>
      </c>
      <c r="AD191" s="3" t="s">
        <v>2151</v>
      </c>
      <c r="AE191" s="4" t="s">
        <v>53</v>
      </c>
    </row>
    <row r="192" customFormat="false" ht="15" hidden="false" customHeight="true" outlineLevel="0" collapsed="false">
      <c r="A192" s="3" t="s">
        <v>2152</v>
      </c>
      <c r="B192" s="3" t="s">
        <v>2129</v>
      </c>
      <c r="C192" s="3" t="s">
        <v>2153</v>
      </c>
      <c r="D192" s="3" t="s">
        <v>69</v>
      </c>
      <c r="E192" s="3" t="s">
        <v>70</v>
      </c>
      <c r="F192" s="4" t="s">
        <v>36</v>
      </c>
      <c r="G192" s="3" t="s">
        <v>2154</v>
      </c>
      <c r="H192" s="3" t="s">
        <v>2155</v>
      </c>
      <c r="I192" s="3" t="s">
        <v>2156</v>
      </c>
      <c r="J192" s="3" t="s">
        <v>2157</v>
      </c>
      <c r="K192" s="3" t="s">
        <v>2158</v>
      </c>
      <c r="L192" s="3" t="s">
        <v>76</v>
      </c>
      <c r="M192" s="3"/>
      <c r="N192" s="3"/>
      <c r="O192" s="4" t="s">
        <v>93</v>
      </c>
      <c r="P192" s="3" t="s">
        <v>2159</v>
      </c>
      <c r="Q192" s="3" t="s">
        <v>2160</v>
      </c>
      <c r="R192" s="3" t="s">
        <v>2137</v>
      </c>
      <c r="S192" s="3"/>
      <c r="T192" s="4" t="s">
        <v>82</v>
      </c>
      <c r="U192" s="3"/>
      <c r="V192" s="3"/>
      <c r="W192" s="3"/>
      <c r="X192" s="3"/>
      <c r="Y192" s="3"/>
      <c r="Z192" s="3"/>
      <c r="AA192" s="3"/>
      <c r="AB192" s="3" t="s">
        <v>2161</v>
      </c>
      <c r="AC192" s="3" t="s">
        <v>2162</v>
      </c>
      <c r="AD192" s="3" t="s">
        <v>2163</v>
      </c>
      <c r="AE192" s="4" t="s">
        <v>53</v>
      </c>
    </row>
    <row r="193" customFormat="false" ht="15" hidden="false" customHeight="true" outlineLevel="0" collapsed="false">
      <c r="A193" s="3" t="s">
        <v>2164</v>
      </c>
      <c r="B193" s="3" t="s">
        <v>2129</v>
      </c>
      <c r="C193" s="3" t="s">
        <v>2165</v>
      </c>
      <c r="D193" s="3" t="s">
        <v>34</v>
      </c>
      <c r="E193" s="3" t="s">
        <v>70</v>
      </c>
      <c r="F193" s="4" t="s">
        <v>36</v>
      </c>
      <c r="G193" s="3" t="s">
        <v>2166</v>
      </c>
      <c r="H193" s="3" t="s">
        <v>2167</v>
      </c>
      <c r="I193" s="3" t="s">
        <v>2168</v>
      </c>
      <c r="J193" s="3" t="s">
        <v>2169</v>
      </c>
      <c r="K193" s="3" t="s">
        <v>2170</v>
      </c>
      <c r="L193" s="3" t="s">
        <v>42</v>
      </c>
      <c r="M193" s="3" t="s">
        <v>61</v>
      </c>
      <c r="N193" s="3"/>
      <c r="O193" s="4" t="s">
        <v>45</v>
      </c>
      <c r="P193" s="3" t="s">
        <v>2171</v>
      </c>
      <c r="Q193" s="3" t="s">
        <v>2172</v>
      </c>
      <c r="R193" s="3" t="s">
        <v>2137</v>
      </c>
      <c r="S193" s="3"/>
      <c r="T193" s="4" t="s">
        <v>50</v>
      </c>
      <c r="U193" s="3"/>
      <c r="V193" s="3"/>
      <c r="W193" s="3"/>
      <c r="X193" s="3"/>
      <c r="Y193" s="3"/>
      <c r="Z193" s="3"/>
      <c r="AA193" s="3"/>
      <c r="AB193" s="3" t="s">
        <v>2173</v>
      </c>
      <c r="AC193" s="3" t="s">
        <v>2174</v>
      </c>
      <c r="AD193" s="3" t="s">
        <v>2175</v>
      </c>
      <c r="AE193" s="4" t="s">
        <v>53</v>
      </c>
    </row>
    <row r="194" customFormat="false" ht="15" hidden="false" customHeight="true" outlineLevel="0" collapsed="false">
      <c r="A194" s="3" t="s">
        <v>2176</v>
      </c>
      <c r="B194" s="3" t="s">
        <v>2129</v>
      </c>
      <c r="C194" s="3" t="s">
        <v>2177</v>
      </c>
      <c r="D194" s="3" t="s">
        <v>149</v>
      </c>
      <c r="E194" s="3" t="s">
        <v>1273</v>
      </c>
      <c r="F194" s="4" t="s">
        <v>101</v>
      </c>
      <c r="G194" s="3" t="s">
        <v>2178</v>
      </c>
      <c r="H194" s="3" t="s">
        <v>2179</v>
      </c>
      <c r="I194" s="3" t="s">
        <v>2180</v>
      </c>
      <c r="J194" s="3" t="s">
        <v>2181</v>
      </c>
      <c r="K194" s="3" t="s">
        <v>2182</v>
      </c>
      <c r="L194" s="3" t="s">
        <v>155</v>
      </c>
      <c r="M194" s="3"/>
      <c r="N194" s="3"/>
      <c r="O194" s="4"/>
      <c r="P194" s="3" t="s">
        <v>811</v>
      </c>
      <c r="Q194" s="3" t="s">
        <v>2183</v>
      </c>
      <c r="R194" s="3" t="s">
        <v>2137</v>
      </c>
      <c r="S194" s="3"/>
      <c r="T194" s="4" t="s">
        <v>82</v>
      </c>
      <c r="U194" s="3"/>
      <c r="V194" s="3"/>
      <c r="W194" s="3"/>
      <c r="X194" s="3"/>
      <c r="Y194" s="3"/>
      <c r="Z194" s="3"/>
      <c r="AA194" s="3"/>
      <c r="AB194" s="3" t="s">
        <v>2184</v>
      </c>
      <c r="AC194" s="3" t="s">
        <v>2185</v>
      </c>
      <c r="AD194" s="3" t="s">
        <v>2186</v>
      </c>
      <c r="AE194" s="4" t="s">
        <v>53</v>
      </c>
    </row>
    <row r="195" customFormat="false" ht="15" hidden="false" customHeight="true" outlineLevel="0" collapsed="false">
      <c r="A195" s="3" t="s">
        <v>2187</v>
      </c>
      <c r="B195" s="3" t="s">
        <v>2129</v>
      </c>
      <c r="C195" s="3" t="s">
        <v>2188</v>
      </c>
      <c r="D195" s="3" t="s">
        <v>747</v>
      </c>
      <c r="E195" s="3" t="s">
        <v>7</v>
      </c>
      <c r="F195" s="4" t="s">
        <v>101</v>
      </c>
      <c r="G195" s="3" t="s">
        <v>2189</v>
      </c>
      <c r="H195" s="3" t="s">
        <v>2190</v>
      </c>
      <c r="I195" s="3" t="s">
        <v>2191</v>
      </c>
      <c r="J195" s="3" t="s">
        <v>2192</v>
      </c>
      <c r="K195" s="3" t="s">
        <v>2193</v>
      </c>
      <c r="L195" s="3" t="s">
        <v>336</v>
      </c>
      <c r="M195" s="3" t="s">
        <v>753</v>
      </c>
      <c r="N195" s="3"/>
      <c r="O195" s="4" t="s">
        <v>266</v>
      </c>
      <c r="P195" s="3" t="s">
        <v>754</v>
      </c>
      <c r="Q195" s="3" t="s">
        <v>2194</v>
      </c>
      <c r="R195" s="3" t="s">
        <v>2137</v>
      </c>
      <c r="S195" s="3"/>
      <c r="T195" s="4" t="s">
        <v>82</v>
      </c>
      <c r="U195" s="3"/>
      <c r="V195" s="3"/>
      <c r="W195" s="3"/>
      <c r="X195" s="3"/>
      <c r="Y195" s="3"/>
      <c r="Z195" s="3"/>
      <c r="AA195" s="3"/>
      <c r="AB195" s="3" t="s">
        <v>464</v>
      </c>
      <c r="AC195" s="3" t="s">
        <v>2195</v>
      </c>
      <c r="AD195" s="3" t="s">
        <v>2196</v>
      </c>
      <c r="AE195" s="4" t="s">
        <v>53</v>
      </c>
    </row>
    <row r="196" customFormat="false" ht="15" hidden="false" customHeight="true" outlineLevel="0" collapsed="false">
      <c r="A196" s="3" t="s">
        <v>2197</v>
      </c>
      <c r="B196" s="3" t="s">
        <v>2129</v>
      </c>
      <c r="C196" s="3" t="s">
        <v>2198</v>
      </c>
      <c r="D196" s="3" t="s">
        <v>273</v>
      </c>
      <c r="E196" s="3" t="s">
        <v>258</v>
      </c>
      <c r="F196" s="4" t="s">
        <v>36</v>
      </c>
      <c r="G196" s="3" t="s">
        <v>2199</v>
      </c>
      <c r="H196" s="3" t="s">
        <v>2200</v>
      </c>
      <c r="I196" s="3" t="s">
        <v>2201</v>
      </c>
      <c r="J196" s="3" t="s">
        <v>2202</v>
      </c>
      <c r="K196" s="3" t="s">
        <v>2203</v>
      </c>
      <c r="L196" s="3" t="s">
        <v>2204</v>
      </c>
      <c r="M196" s="3"/>
      <c r="N196" s="3"/>
      <c r="O196" s="4" t="s">
        <v>282</v>
      </c>
      <c r="P196" s="3" t="s">
        <v>2205</v>
      </c>
      <c r="Q196" s="3" t="s">
        <v>2206</v>
      </c>
      <c r="R196" s="3" t="s">
        <v>285</v>
      </c>
      <c r="S196" s="3" t="s">
        <v>1067</v>
      </c>
      <c r="T196" s="4" t="s">
        <v>82</v>
      </c>
      <c r="U196" s="3"/>
      <c r="V196" s="3"/>
      <c r="W196" s="3"/>
      <c r="X196" s="3"/>
      <c r="Y196" s="3"/>
      <c r="Z196" s="3"/>
      <c r="AA196" s="3"/>
      <c r="AB196" s="3" t="s">
        <v>2207</v>
      </c>
      <c r="AC196" s="3" t="s">
        <v>2208</v>
      </c>
      <c r="AD196" s="3" t="s">
        <v>2209</v>
      </c>
      <c r="AE196" s="4" t="s">
        <v>53</v>
      </c>
    </row>
    <row r="197" customFormat="false" ht="15" hidden="false" customHeight="true" outlineLevel="0" collapsed="false">
      <c r="A197" s="3" t="s">
        <v>2210</v>
      </c>
      <c r="B197" s="3" t="s">
        <v>861</v>
      </c>
      <c r="C197" s="3" t="s">
        <v>2211</v>
      </c>
      <c r="D197" s="3" t="s">
        <v>2212</v>
      </c>
      <c r="E197" s="3" t="s">
        <v>35</v>
      </c>
      <c r="F197" s="4" t="s">
        <v>86</v>
      </c>
      <c r="G197" s="3" t="s">
        <v>2213</v>
      </c>
      <c r="H197" s="3" t="s">
        <v>2214</v>
      </c>
      <c r="I197" s="3" t="s">
        <v>2215</v>
      </c>
      <c r="J197" s="3" t="s">
        <v>2216</v>
      </c>
      <c r="K197" s="3" t="s">
        <v>2217</v>
      </c>
      <c r="L197" s="3"/>
      <c r="M197" s="3"/>
      <c r="N197" s="3"/>
      <c r="O197" s="4"/>
      <c r="P197" s="3" t="s">
        <v>2218</v>
      </c>
      <c r="Q197" s="3" t="s">
        <v>2219</v>
      </c>
      <c r="R197" s="3" t="s">
        <v>2220</v>
      </c>
      <c r="S197" s="3" t="s">
        <v>861</v>
      </c>
      <c r="T197" s="4" t="s">
        <v>50</v>
      </c>
      <c r="U197" s="3"/>
      <c r="V197" s="5" t="n">
        <v>10</v>
      </c>
      <c r="W197" s="3" t="s">
        <v>2221</v>
      </c>
      <c r="X197" s="3" t="s">
        <v>2222</v>
      </c>
      <c r="Y197" s="3" t="s">
        <v>2223</v>
      </c>
      <c r="Z197" s="3" t="s">
        <v>2224</v>
      </c>
      <c r="AA197" s="3" t="s">
        <v>2225</v>
      </c>
      <c r="AB197" s="3" t="s">
        <v>2226</v>
      </c>
      <c r="AC197" s="3" t="s">
        <v>2227</v>
      </c>
      <c r="AD197" s="3" t="s">
        <v>2228</v>
      </c>
      <c r="AE197" s="4" t="s">
        <v>53</v>
      </c>
    </row>
    <row r="198" customFormat="false" ht="15" hidden="false" customHeight="true" outlineLevel="0" collapsed="false">
      <c r="A198" s="3" t="s">
        <v>2229</v>
      </c>
      <c r="B198" s="3" t="s">
        <v>861</v>
      </c>
      <c r="C198" s="3" t="s">
        <v>2230</v>
      </c>
      <c r="D198" s="3" t="s">
        <v>2212</v>
      </c>
      <c r="E198" s="3" t="s">
        <v>35</v>
      </c>
      <c r="F198" s="4" t="s">
        <v>86</v>
      </c>
      <c r="G198" s="3" t="s">
        <v>2231</v>
      </c>
      <c r="H198" s="3" t="s">
        <v>2232</v>
      </c>
      <c r="I198" s="3" t="s">
        <v>2233</v>
      </c>
      <c r="J198" s="3" t="s">
        <v>2234</v>
      </c>
      <c r="K198" s="3" t="s">
        <v>2235</v>
      </c>
      <c r="L198" s="3"/>
      <c r="M198" s="3"/>
      <c r="N198" s="3"/>
      <c r="O198" s="4"/>
      <c r="P198" s="3" t="s">
        <v>2236</v>
      </c>
      <c r="Q198" s="3" t="s">
        <v>2237</v>
      </c>
      <c r="R198" s="3" t="s">
        <v>2238</v>
      </c>
      <c r="S198" s="3" t="s">
        <v>861</v>
      </c>
      <c r="T198" s="4" t="s">
        <v>50</v>
      </c>
      <c r="U198" s="3"/>
      <c r="V198" s="5" t="n">
        <v>7.5</v>
      </c>
      <c r="W198" s="3" t="s">
        <v>2239</v>
      </c>
      <c r="X198" s="3" t="s">
        <v>2240</v>
      </c>
      <c r="Y198" s="3" t="s">
        <v>2241</v>
      </c>
      <c r="Z198" s="3" t="s">
        <v>2242</v>
      </c>
      <c r="AA198" s="3" t="s">
        <v>2243</v>
      </c>
      <c r="AB198" s="3" t="s">
        <v>2244</v>
      </c>
      <c r="AC198" s="3" t="s">
        <v>2245</v>
      </c>
      <c r="AD198" s="3" t="s">
        <v>2246</v>
      </c>
      <c r="AE198" s="4" t="s">
        <v>53</v>
      </c>
    </row>
    <row r="199" customFormat="false" ht="15" hidden="false" customHeight="true" outlineLevel="0" collapsed="false">
      <c r="A199" s="3" t="s">
        <v>2247</v>
      </c>
      <c r="B199" s="3" t="s">
        <v>861</v>
      </c>
      <c r="C199" s="3" t="s">
        <v>2248</v>
      </c>
      <c r="D199" s="3" t="s">
        <v>2212</v>
      </c>
      <c r="E199" s="3" t="s">
        <v>35</v>
      </c>
      <c r="F199" s="4" t="s">
        <v>86</v>
      </c>
      <c r="G199" s="3" t="s">
        <v>2249</v>
      </c>
      <c r="H199" s="3" t="s">
        <v>2250</v>
      </c>
      <c r="I199" s="3" t="s">
        <v>2251</v>
      </c>
      <c r="J199" s="3" t="s">
        <v>2252</v>
      </c>
      <c r="K199" s="3" t="s">
        <v>2253</v>
      </c>
      <c r="L199" s="3"/>
      <c r="M199" s="3"/>
      <c r="N199" s="3"/>
      <c r="O199" s="4"/>
      <c r="P199" s="3" t="s">
        <v>2254</v>
      </c>
      <c r="Q199" s="3" t="s">
        <v>1817</v>
      </c>
      <c r="R199" s="3" t="s">
        <v>1258</v>
      </c>
      <c r="S199" s="3" t="s">
        <v>861</v>
      </c>
      <c r="T199" s="4" t="s">
        <v>50</v>
      </c>
      <c r="U199" s="3"/>
      <c r="V199" s="5" t="n">
        <v>8.8</v>
      </c>
      <c r="W199" s="3" t="s">
        <v>2255</v>
      </c>
      <c r="X199" s="3" t="s">
        <v>2256</v>
      </c>
      <c r="Y199" s="3" t="s">
        <v>2257</v>
      </c>
      <c r="Z199" s="3" t="s">
        <v>2258</v>
      </c>
      <c r="AA199" s="3" t="s">
        <v>2259</v>
      </c>
      <c r="AB199" s="3" t="s">
        <v>2260</v>
      </c>
      <c r="AC199" s="3" t="s">
        <v>2261</v>
      </c>
      <c r="AD199" s="3" t="s">
        <v>2262</v>
      </c>
      <c r="AE199" s="4" t="s">
        <v>53</v>
      </c>
    </row>
    <row r="200" customFormat="false" ht="15" hidden="false" customHeight="true" outlineLevel="0" collapsed="false">
      <c r="A200" s="3" t="s">
        <v>2263</v>
      </c>
      <c r="B200" s="3" t="s">
        <v>861</v>
      </c>
      <c r="C200" s="3" t="s">
        <v>2264</v>
      </c>
      <c r="D200" s="3" t="s">
        <v>2212</v>
      </c>
      <c r="E200" s="3" t="s">
        <v>35</v>
      </c>
      <c r="F200" s="4" t="s">
        <v>36</v>
      </c>
      <c r="G200" s="3" t="s">
        <v>2265</v>
      </c>
      <c r="H200" s="3" t="s">
        <v>2266</v>
      </c>
      <c r="I200" s="3" t="s">
        <v>2267</v>
      </c>
      <c r="J200" s="3" t="s">
        <v>2268</v>
      </c>
      <c r="K200" s="3" t="s">
        <v>2269</v>
      </c>
      <c r="L200" s="3"/>
      <c r="M200" s="3"/>
      <c r="N200" s="3"/>
      <c r="O200" s="4"/>
      <c r="P200" s="3" t="s">
        <v>1257</v>
      </c>
      <c r="Q200" s="3" t="s">
        <v>2270</v>
      </c>
      <c r="R200" s="3" t="s">
        <v>1258</v>
      </c>
      <c r="S200" s="3" t="s">
        <v>861</v>
      </c>
      <c r="T200" s="4" t="s">
        <v>50</v>
      </c>
      <c r="U200" s="3"/>
      <c r="V200" s="5" t="n">
        <v>7.8</v>
      </c>
      <c r="W200" s="3" t="s">
        <v>2271</v>
      </c>
      <c r="X200" s="3" t="s">
        <v>2272</v>
      </c>
      <c r="Y200" s="3" t="s">
        <v>2273</v>
      </c>
      <c r="Z200" s="3" t="s">
        <v>2274</v>
      </c>
      <c r="AA200" s="3" t="s">
        <v>2259</v>
      </c>
      <c r="AB200" s="3" t="s">
        <v>1250</v>
      </c>
      <c r="AC200" s="3" t="s">
        <v>2275</v>
      </c>
      <c r="AD200" s="3" t="s">
        <v>2276</v>
      </c>
      <c r="AE200" s="4" t="s">
        <v>53</v>
      </c>
    </row>
    <row r="201" customFormat="false" ht="15" hidden="false" customHeight="true" outlineLevel="0" collapsed="false">
      <c r="A201" s="3" t="s">
        <v>2277</v>
      </c>
      <c r="B201" s="3" t="s">
        <v>861</v>
      </c>
      <c r="C201" s="3" t="s">
        <v>2278</v>
      </c>
      <c r="D201" s="3" t="s">
        <v>2212</v>
      </c>
      <c r="E201" s="3" t="s">
        <v>35</v>
      </c>
      <c r="F201" s="4" t="s">
        <v>36</v>
      </c>
      <c r="G201" s="3" t="s">
        <v>2279</v>
      </c>
      <c r="H201" s="3" t="s">
        <v>2280</v>
      </c>
      <c r="I201" s="3" t="s">
        <v>2281</v>
      </c>
      <c r="J201" s="3" t="s">
        <v>2282</v>
      </c>
      <c r="K201" s="3" t="s">
        <v>2283</v>
      </c>
      <c r="L201" s="3"/>
      <c r="M201" s="3"/>
      <c r="N201" s="3"/>
      <c r="O201" s="4"/>
      <c r="P201" s="3" t="s">
        <v>1319</v>
      </c>
      <c r="Q201" s="3" t="s">
        <v>2284</v>
      </c>
      <c r="R201" s="3" t="s">
        <v>1432</v>
      </c>
      <c r="S201" s="3" t="s">
        <v>861</v>
      </c>
      <c r="T201" s="4" t="s">
        <v>50</v>
      </c>
      <c r="U201" s="3"/>
      <c r="V201" s="5" t="n">
        <v>7.2</v>
      </c>
      <c r="W201" s="3" t="s">
        <v>2285</v>
      </c>
      <c r="X201" s="3" t="s">
        <v>2286</v>
      </c>
      <c r="Y201" s="3" t="s">
        <v>2287</v>
      </c>
      <c r="Z201" s="3" t="s">
        <v>2274</v>
      </c>
      <c r="AA201" s="3" t="s">
        <v>2288</v>
      </c>
      <c r="AB201" s="3" t="s">
        <v>2289</v>
      </c>
      <c r="AC201" s="3" t="s">
        <v>2290</v>
      </c>
      <c r="AD201" s="3" t="s">
        <v>2291</v>
      </c>
      <c r="AE201" s="4" t="s">
        <v>53</v>
      </c>
    </row>
    <row r="202" customFormat="false" ht="15" hidden="false" customHeight="true" outlineLevel="0" collapsed="false">
      <c r="A202" s="3" t="s">
        <v>2292</v>
      </c>
      <c r="B202" s="3" t="s">
        <v>861</v>
      </c>
      <c r="C202" s="3" t="s">
        <v>2293</v>
      </c>
      <c r="D202" s="3" t="s">
        <v>2212</v>
      </c>
      <c r="E202" s="3" t="s">
        <v>189</v>
      </c>
      <c r="F202" s="4" t="s">
        <v>36</v>
      </c>
      <c r="G202" s="3" t="s">
        <v>2294</v>
      </c>
      <c r="H202" s="3" t="s">
        <v>2295</v>
      </c>
      <c r="I202" s="3" t="s">
        <v>2296</v>
      </c>
      <c r="J202" s="3" t="s">
        <v>2297</v>
      </c>
      <c r="K202" s="3" t="s">
        <v>2298</v>
      </c>
      <c r="L202" s="3"/>
      <c r="M202" s="3"/>
      <c r="N202" s="3"/>
      <c r="O202" s="4"/>
      <c r="P202" s="3" t="s">
        <v>1308</v>
      </c>
      <c r="Q202" s="3" t="s">
        <v>732</v>
      </c>
      <c r="R202" s="3" t="s">
        <v>2299</v>
      </c>
      <c r="S202" s="3" t="s">
        <v>861</v>
      </c>
      <c r="T202" s="4" t="s">
        <v>50</v>
      </c>
      <c r="U202" s="3"/>
      <c r="V202" s="5" t="n">
        <v>7.5</v>
      </c>
      <c r="W202" s="3" t="s">
        <v>2300</v>
      </c>
      <c r="X202" s="3" t="s">
        <v>2301</v>
      </c>
      <c r="Y202" s="3" t="s">
        <v>2302</v>
      </c>
      <c r="Z202" s="3" t="s">
        <v>2224</v>
      </c>
      <c r="AA202" s="3" t="s">
        <v>2303</v>
      </c>
      <c r="AB202" s="3" t="s">
        <v>2304</v>
      </c>
      <c r="AC202" s="3" t="s">
        <v>2261</v>
      </c>
      <c r="AD202" s="3" t="s">
        <v>2305</v>
      </c>
      <c r="AE202" s="4" t="s">
        <v>53</v>
      </c>
    </row>
    <row r="203" customFormat="false" ht="15" hidden="false" customHeight="true" outlineLevel="0" collapsed="false">
      <c r="A203" s="3" t="s">
        <v>2306</v>
      </c>
      <c r="B203" s="3" t="s">
        <v>861</v>
      </c>
      <c r="C203" s="3" t="s">
        <v>2307</v>
      </c>
      <c r="D203" s="3" t="s">
        <v>2212</v>
      </c>
      <c r="E203" s="3" t="s">
        <v>35</v>
      </c>
      <c r="F203" s="4" t="s">
        <v>86</v>
      </c>
      <c r="G203" s="3" t="s">
        <v>2308</v>
      </c>
      <c r="H203" s="3" t="s">
        <v>2309</v>
      </c>
      <c r="I203" s="3" t="s">
        <v>2310</v>
      </c>
      <c r="J203" s="3" t="s">
        <v>2311</v>
      </c>
      <c r="K203" s="3" t="s">
        <v>2312</v>
      </c>
      <c r="L203" s="3"/>
      <c r="M203" s="3"/>
      <c r="N203" s="3"/>
      <c r="O203" s="4"/>
      <c r="P203" s="3" t="s">
        <v>2313</v>
      </c>
      <c r="Q203" s="3" t="s">
        <v>64</v>
      </c>
      <c r="R203" s="3" t="s">
        <v>2314</v>
      </c>
      <c r="S203" s="3" t="s">
        <v>2056</v>
      </c>
      <c r="T203" s="4" t="s">
        <v>50</v>
      </c>
      <c r="U203" s="3"/>
      <c r="V203" s="5" t="n">
        <v>8.8</v>
      </c>
      <c r="W203" s="3" t="s">
        <v>2255</v>
      </c>
      <c r="X203" s="3" t="s">
        <v>2315</v>
      </c>
      <c r="Y203" s="3" t="s">
        <v>2316</v>
      </c>
      <c r="Z203" s="3" t="s">
        <v>2224</v>
      </c>
      <c r="AA203" s="3" t="s">
        <v>2317</v>
      </c>
      <c r="AB203" s="3" t="s">
        <v>2318</v>
      </c>
      <c r="AC203" s="3" t="s">
        <v>2319</v>
      </c>
      <c r="AD203" s="3" t="s">
        <v>2320</v>
      </c>
      <c r="AE203" s="4" t="s">
        <v>53</v>
      </c>
    </row>
    <row r="204" customFormat="false" ht="15" hidden="false" customHeight="true" outlineLevel="0" collapsed="false">
      <c r="A204" s="3" t="s">
        <v>2321</v>
      </c>
      <c r="B204" s="3" t="s">
        <v>861</v>
      </c>
      <c r="C204" s="3" t="s">
        <v>2322</v>
      </c>
      <c r="D204" s="3" t="s">
        <v>2212</v>
      </c>
      <c r="E204" s="3" t="s">
        <v>826</v>
      </c>
      <c r="F204" s="4" t="s">
        <v>36</v>
      </c>
      <c r="G204" s="3" t="s">
        <v>2323</v>
      </c>
      <c r="H204" s="3" t="s">
        <v>2324</v>
      </c>
      <c r="I204" s="3" t="s">
        <v>2325</v>
      </c>
      <c r="J204" s="3" t="s">
        <v>2326</v>
      </c>
      <c r="K204" s="3" t="s">
        <v>2327</v>
      </c>
      <c r="L204" s="3"/>
      <c r="M204" s="3"/>
      <c r="N204" s="3"/>
      <c r="O204" s="4"/>
      <c r="P204" s="3" t="s">
        <v>2328</v>
      </c>
      <c r="Q204" s="3" t="s">
        <v>2329</v>
      </c>
      <c r="R204" s="3" t="s">
        <v>1342</v>
      </c>
      <c r="S204" s="3" t="s">
        <v>861</v>
      </c>
      <c r="T204" s="4" t="s">
        <v>50</v>
      </c>
      <c r="U204" s="3"/>
      <c r="V204" s="5" t="n">
        <v>5.3</v>
      </c>
      <c r="W204" s="3" t="s">
        <v>2330</v>
      </c>
      <c r="X204" s="3" t="s">
        <v>2331</v>
      </c>
      <c r="Y204" s="3" t="s">
        <v>2332</v>
      </c>
      <c r="Z204" s="3" t="s">
        <v>2274</v>
      </c>
      <c r="AA204" s="3" t="s">
        <v>2333</v>
      </c>
      <c r="AB204" s="3" t="s">
        <v>2334</v>
      </c>
      <c r="AC204" s="3" t="s">
        <v>2335</v>
      </c>
      <c r="AD204" s="3" t="s">
        <v>2336</v>
      </c>
      <c r="AE204" s="4" t="s">
        <v>53</v>
      </c>
    </row>
    <row r="205" customFormat="false" ht="15" hidden="false" customHeight="true" outlineLevel="0" collapsed="false">
      <c r="A205" s="3" t="s">
        <v>2337</v>
      </c>
      <c r="B205" s="3" t="s">
        <v>861</v>
      </c>
      <c r="C205" s="3" t="s">
        <v>2338</v>
      </c>
      <c r="D205" s="3" t="s">
        <v>2212</v>
      </c>
      <c r="E205" s="3" t="s">
        <v>35</v>
      </c>
      <c r="F205" s="4" t="s">
        <v>36</v>
      </c>
      <c r="G205" s="3" t="s">
        <v>2339</v>
      </c>
      <c r="H205" s="3" t="s">
        <v>2340</v>
      </c>
      <c r="I205" s="3" t="s">
        <v>2341</v>
      </c>
      <c r="J205" s="3" t="s">
        <v>2342</v>
      </c>
      <c r="K205" s="3" t="s">
        <v>2343</v>
      </c>
      <c r="L205" s="3"/>
      <c r="M205" s="3"/>
      <c r="N205" s="3"/>
      <c r="O205" s="4"/>
      <c r="P205" s="3" t="s">
        <v>2344</v>
      </c>
      <c r="Q205" s="3" t="s">
        <v>410</v>
      </c>
      <c r="R205" s="3" t="s">
        <v>1342</v>
      </c>
      <c r="S205" s="3" t="s">
        <v>861</v>
      </c>
      <c r="T205" s="4" t="s">
        <v>50</v>
      </c>
      <c r="U205" s="3"/>
      <c r="V205" s="5" t="n">
        <v>8.8</v>
      </c>
      <c r="W205" s="3" t="s">
        <v>2255</v>
      </c>
      <c r="X205" s="3" t="s">
        <v>2345</v>
      </c>
      <c r="Y205" s="3" t="s">
        <v>2346</v>
      </c>
      <c r="Z205" s="3" t="s">
        <v>2347</v>
      </c>
      <c r="AA205" s="3" t="s">
        <v>2348</v>
      </c>
      <c r="AB205" s="3" t="s">
        <v>2349</v>
      </c>
      <c r="AC205" s="3" t="s">
        <v>2350</v>
      </c>
      <c r="AD205" s="3" t="s">
        <v>2351</v>
      </c>
      <c r="AE205" s="4" t="s">
        <v>53</v>
      </c>
    </row>
    <row r="206" customFormat="false" ht="15" hidden="false" customHeight="true" outlineLevel="0" collapsed="false">
      <c r="A206" s="3" t="s">
        <v>2352</v>
      </c>
      <c r="B206" s="3" t="s">
        <v>861</v>
      </c>
      <c r="C206" s="3" t="s">
        <v>2353</v>
      </c>
      <c r="D206" s="3" t="s">
        <v>2212</v>
      </c>
      <c r="E206" s="3" t="s">
        <v>189</v>
      </c>
      <c r="F206" s="4" t="s">
        <v>101</v>
      </c>
      <c r="G206" s="3" t="s">
        <v>2354</v>
      </c>
      <c r="H206" s="3" t="s">
        <v>2355</v>
      </c>
      <c r="I206" s="3" t="s">
        <v>2356</v>
      </c>
      <c r="J206" s="3" t="s">
        <v>2357</v>
      </c>
      <c r="K206" s="3" t="s">
        <v>2358</v>
      </c>
      <c r="L206" s="3"/>
      <c r="M206" s="3"/>
      <c r="N206" s="3"/>
      <c r="O206" s="4"/>
      <c r="P206" s="3" t="s">
        <v>2359</v>
      </c>
      <c r="Q206" s="3" t="s">
        <v>2360</v>
      </c>
      <c r="R206" s="3" t="s">
        <v>2361</v>
      </c>
      <c r="S206" s="3" t="s">
        <v>1922</v>
      </c>
      <c r="T206" s="4" t="s">
        <v>50</v>
      </c>
      <c r="U206" s="3"/>
      <c r="V206" s="5" t="n">
        <v>6.5</v>
      </c>
      <c r="W206" s="3" t="s">
        <v>2362</v>
      </c>
      <c r="X206" s="3" t="s">
        <v>2363</v>
      </c>
      <c r="Y206" s="3" t="s">
        <v>2364</v>
      </c>
      <c r="Z206" s="3" t="s">
        <v>2365</v>
      </c>
      <c r="AA206" s="3" t="s">
        <v>2366</v>
      </c>
      <c r="AB206" s="3" t="s">
        <v>2367</v>
      </c>
      <c r="AC206" s="3" t="s">
        <v>2368</v>
      </c>
      <c r="AD206" s="3" t="s">
        <v>2369</v>
      </c>
      <c r="AE206" s="4" t="s">
        <v>53</v>
      </c>
    </row>
    <row r="207" customFormat="false" ht="15" hidden="false" customHeight="true" outlineLevel="0" collapsed="false">
      <c r="A207" s="3" t="s">
        <v>2370</v>
      </c>
      <c r="B207" s="3" t="s">
        <v>861</v>
      </c>
      <c r="C207" s="3" t="s">
        <v>2371</v>
      </c>
      <c r="D207" s="3" t="s">
        <v>2212</v>
      </c>
      <c r="E207" s="3" t="s">
        <v>189</v>
      </c>
      <c r="F207" s="4" t="s">
        <v>101</v>
      </c>
      <c r="G207" s="3" t="s">
        <v>2372</v>
      </c>
      <c r="H207" s="3" t="s">
        <v>2373</v>
      </c>
      <c r="I207" s="3" t="s">
        <v>2374</v>
      </c>
      <c r="J207" s="3" t="s">
        <v>2375</v>
      </c>
      <c r="K207" s="3" t="s">
        <v>2376</v>
      </c>
      <c r="L207" s="3"/>
      <c r="M207" s="3"/>
      <c r="N207" s="3"/>
      <c r="O207" s="4"/>
      <c r="P207" s="3" t="s">
        <v>2359</v>
      </c>
      <c r="Q207" s="3" t="s">
        <v>297</v>
      </c>
      <c r="R207" s="3" t="s">
        <v>2361</v>
      </c>
      <c r="S207" s="3" t="s">
        <v>1922</v>
      </c>
      <c r="T207" s="4" t="s">
        <v>50</v>
      </c>
      <c r="U207" s="3"/>
      <c r="V207" s="5" t="n">
        <v>4.3</v>
      </c>
      <c r="W207" s="3" t="s">
        <v>2377</v>
      </c>
      <c r="X207" s="3" t="s">
        <v>2378</v>
      </c>
      <c r="Y207" s="3" t="s">
        <v>2379</v>
      </c>
      <c r="Z207" s="3" t="s">
        <v>2380</v>
      </c>
      <c r="AA207" s="3" t="s">
        <v>2381</v>
      </c>
      <c r="AB207" s="3" t="s">
        <v>2382</v>
      </c>
      <c r="AC207" s="3" t="s">
        <v>2383</v>
      </c>
      <c r="AD207" s="3" t="s">
        <v>2384</v>
      </c>
      <c r="AE207" s="4" t="s">
        <v>53</v>
      </c>
    </row>
    <row r="208" customFormat="false" ht="15" hidden="false" customHeight="true" outlineLevel="0" collapsed="false">
      <c r="A208" s="3" t="s">
        <v>2385</v>
      </c>
      <c r="B208" s="3" t="s">
        <v>840</v>
      </c>
      <c r="C208" s="3" t="s">
        <v>2386</v>
      </c>
      <c r="D208" s="3" t="s">
        <v>2212</v>
      </c>
      <c r="E208" s="3" t="s">
        <v>35</v>
      </c>
      <c r="F208" s="4" t="s">
        <v>86</v>
      </c>
      <c r="G208" s="3" t="s">
        <v>2387</v>
      </c>
      <c r="H208" s="3" t="s">
        <v>2388</v>
      </c>
      <c r="I208" s="3" t="s">
        <v>2389</v>
      </c>
      <c r="J208" s="3" t="s">
        <v>2390</v>
      </c>
      <c r="K208" s="3" t="s">
        <v>2391</v>
      </c>
      <c r="L208" s="3"/>
      <c r="M208" s="3"/>
      <c r="N208" s="3"/>
      <c r="O208" s="4"/>
      <c r="P208" s="3" t="s">
        <v>2392</v>
      </c>
      <c r="Q208" s="3" t="s">
        <v>732</v>
      </c>
      <c r="R208" s="3" t="s">
        <v>1342</v>
      </c>
      <c r="S208" s="3" t="s">
        <v>861</v>
      </c>
      <c r="T208" s="4" t="s">
        <v>50</v>
      </c>
      <c r="U208" s="3"/>
      <c r="V208" s="5" t="n">
        <v>9.8</v>
      </c>
      <c r="W208" s="3" t="s">
        <v>2393</v>
      </c>
      <c r="X208" s="3" t="s">
        <v>2394</v>
      </c>
      <c r="Y208" s="3" t="s">
        <v>2395</v>
      </c>
      <c r="Z208" s="3" t="s">
        <v>2396</v>
      </c>
      <c r="AA208" s="3" t="s">
        <v>2397</v>
      </c>
      <c r="AB208" s="3" t="s">
        <v>2398</v>
      </c>
      <c r="AC208" s="3" t="s">
        <v>2399</v>
      </c>
      <c r="AD208" s="3" t="s">
        <v>2400</v>
      </c>
      <c r="AE208" s="4" t="s">
        <v>53</v>
      </c>
    </row>
    <row r="209" customFormat="false" ht="15" hidden="false" customHeight="true" outlineLevel="0" collapsed="false">
      <c r="A209" s="3" t="s">
        <v>2401</v>
      </c>
      <c r="B209" s="3" t="s">
        <v>840</v>
      </c>
      <c r="C209" s="3" t="s">
        <v>2402</v>
      </c>
      <c r="D209" s="3" t="s">
        <v>2212</v>
      </c>
      <c r="E209" s="3" t="s">
        <v>826</v>
      </c>
      <c r="F209" s="4" t="s">
        <v>86</v>
      </c>
      <c r="G209" s="3" t="s">
        <v>2403</v>
      </c>
      <c r="H209" s="3" t="s">
        <v>2404</v>
      </c>
      <c r="I209" s="3" t="s">
        <v>2405</v>
      </c>
      <c r="J209" s="3" t="s">
        <v>2406</v>
      </c>
      <c r="K209" s="3" t="s">
        <v>2407</v>
      </c>
      <c r="L209" s="3" t="s">
        <v>348</v>
      </c>
      <c r="M209" s="3"/>
      <c r="N209" s="3"/>
      <c r="O209" s="4"/>
      <c r="P209" s="3" t="s">
        <v>2408</v>
      </c>
      <c r="Q209" s="3" t="s">
        <v>2409</v>
      </c>
      <c r="R209" s="3" t="s">
        <v>285</v>
      </c>
      <c r="S209" s="3" t="s">
        <v>1067</v>
      </c>
      <c r="T209" s="4" t="s">
        <v>412</v>
      </c>
      <c r="U209" s="3"/>
      <c r="V209" s="5" t="n">
        <v>8.8</v>
      </c>
      <c r="W209" s="3" t="s">
        <v>2255</v>
      </c>
      <c r="X209" s="3" t="s">
        <v>2410</v>
      </c>
      <c r="Y209" s="3" t="s">
        <v>2411</v>
      </c>
      <c r="Z209" s="3" t="s">
        <v>2412</v>
      </c>
      <c r="AA209" s="3" t="s">
        <v>2413</v>
      </c>
      <c r="AB209" s="3" t="s">
        <v>2414</v>
      </c>
      <c r="AC209" s="3" t="s">
        <v>2415</v>
      </c>
      <c r="AD209" s="3" t="s">
        <v>2416</v>
      </c>
      <c r="AE209" s="4" t="s">
        <v>53</v>
      </c>
    </row>
    <row r="210" customFormat="false" ht="15" hidden="false" customHeight="true" outlineLevel="0" collapsed="false">
      <c r="A210" s="3" t="s">
        <v>2417</v>
      </c>
      <c r="B210" s="3" t="s">
        <v>840</v>
      </c>
      <c r="C210" s="3" t="s">
        <v>2418</v>
      </c>
      <c r="D210" s="3" t="s">
        <v>2212</v>
      </c>
      <c r="E210" s="3" t="s">
        <v>258</v>
      </c>
      <c r="F210" s="4" t="s">
        <v>86</v>
      </c>
      <c r="G210" s="3" t="s">
        <v>2419</v>
      </c>
      <c r="H210" s="3" t="s">
        <v>2420</v>
      </c>
      <c r="I210" s="3" t="s">
        <v>2421</v>
      </c>
      <c r="J210" s="3" t="s">
        <v>2422</v>
      </c>
      <c r="K210" s="3" t="s">
        <v>2423</v>
      </c>
      <c r="L210" s="3" t="s">
        <v>348</v>
      </c>
      <c r="M210" s="3"/>
      <c r="N210" s="3"/>
      <c r="O210" s="4"/>
      <c r="P210" s="3" t="s">
        <v>2424</v>
      </c>
      <c r="Q210" s="3" t="s">
        <v>2425</v>
      </c>
      <c r="R210" s="3" t="s">
        <v>285</v>
      </c>
      <c r="S210" s="3" t="s">
        <v>1067</v>
      </c>
      <c r="T210" s="4" t="s">
        <v>412</v>
      </c>
      <c r="U210" s="3"/>
      <c r="V210" s="5" t="n">
        <v>9.8</v>
      </c>
      <c r="W210" s="3" t="s">
        <v>2393</v>
      </c>
      <c r="X210" s="3" t="s">
        <v>2426</v>
      </c>
      <c r="Y210" s="3" t="s">
        <v>2427</v>
      </c>
      <c r="Z210" s="3" t="s">
        <v>2224</v>
      </c>
      <c r="AA210" s="3" t="s">
        <v>2428</v>
      </c>
      <c r="AB210" s="3" t="s">
        <v>2429</v>
      </c>
      <c r="AC210" s="3" t="s">
        <v>2430</v>
      </c>
      <c r="AD210" s="3" t="s">
        <v>2431</v>
      </c>
      <c r="AE210" s="4" t="s">
        <v>53</v>
      </c>
    </row>
    <row r="211" customFormat="false" ht="15" hidden="false" customHeight="true" outlineLevel="0" collapsed="false">
      <c r="A211" s="3" t="s">
        <v>2432</v>
      </c>
      <c r="B211" s="3" t="s">
        <v>840</v>
      </c>
      <c r="C211" s="3" t="s">
        <v>2433</v>
      </c>
      <c r="D211" s="3" t="s">
        <v>2212</v>
      </c>
      <c r="E211" s="3" t="s">
        <v>826</v>
      </c>
      <c r="F211" s="4" t="s">
        <v>86</v>
      </c>
      <c r="G211" s="3" t="s">
        <v>2434</v>
      </c>
      <c r="H211" s="3" t="s">
        <v>2435</v>
      </c>
      <c r="I211" s="3" t="s">
        <v>2436</v>
      </c>
      <c r="J211" s="3" t="s">
        <v>2437</v>
      </c>
      <c r="K211" s="3" t="s">
        <v>2438</v>
      </c>
      <c r="L211" s="3" t="s">
        <v>348</v>
      </c>
      <c r="M211" s="3"/>
      <c r="N211" s="3"/>
      <c r="O211" s="4"/>
      <c r="P211" s="3" t="s">
        <v>1066</v>
      </c>
      <c r="Q211" s="3" t="s">
        <v>2409</v>
      </c>
      <c r="R211" s="3" t="s">
        <v>285</v>
      </c>
      <c r="S211" s="3" t="s">
        <v>1067</v>
      </c>
      <c r="T211" s="4" t="s">
        <v>412</v>
      </c>
      <c r="U211" s="3"/>
      <c r="V211" s="5" t="n">
        <v>10</v>
      </c>
      <c r="W211" s="3" t="s">
        <v>2221</v>
      </c>
      <c r="X211" s="3" t="s">
        <v>2439</v>
      </c>
      <c r="Y211" s="3" t="s">
        <v>2440</v>
      </c>
      <c r="Z211" s="3" t="s">
        <v>2412</v>
      </c>
      <c r="AA211" s="3" t="s">
        <v>2441</v>
      </c>
      <c r="AB211" s="3" t="s">
        <v>2442</v>
      </c>
      <c r="AC211" s="3" t="s">
        <v>2415</v>
      </c>
      <c r="AD211" s="3" t="s">
        <v>2443</v>
      </c>
      <c r="AE211" s="4" t="s">
        <v>53</v>
      </c>
    </row>
    <row r="212" customFormat="false" ht="15" hidden="false" customHeight="true" outlineLevel="0" collapsed="false">
      <c r="A212" s="3" t="s">
        <v>2444</v>
      </c>
      <c r="B212" s="3" t="s">
        <v>840</v>
      </c>
      <c r="C212" s="3" t="s">
        <v>2445</v>
      </c>
      <c r="D212" s="3" t="s">
        <v>2212</v>
      </c>
      <c r="E212" s="3" t="s">
        <v>258</v>
      </c>
      <c r="F212" s="4" t="s">
        <v>86</v>
      </c>
      <c r="G212" s="3" t="s">
        <v>2446</v>
      </c>
      <c r="H212" s="3" t="s">
        <v>2447</v>
      </c>
      <c r="I212" s="3" t="s">
        <v>2448</v>
      </c>
      <c r="J212" s="3" t="s">
        <v>2449</v>
      </c>
      <c r="K212" s="3" t="s">
        <v>2450</v>
      </c>
      <c r="L212" s="3" t="s">
        <v>1602</v>
      </c>
      <c r="M212" s="3"/>
      <c r="N212" s="3"/>
      <c r="O212" s="4"/>
      <c r="P212" s="3" t="s">
        <v>2451</v>
      </c>
      <c r="Q212" s="3" t="s">
        <v>157</v>
      </c>
      <c r="R212" s="3" t="s">
        <v>158</v>
      </c>
      <c r="S212" s="3" t="s">
        <v>1067</v>
      </c>
      <c r="T212" s="4" t="s">
        <v>675</v>
      </c>
      <c r="U212" s="3"/>
      <c r="V212" s="5" t="n">
        <v>9.8</v>
      </c>
      <c r="W212" s="3" t="s">
        <v>2393</v>
      </c>
      <c r="X212" s="3" t="s">
        <v>2452</v>
      </c>
      <c r="Y212" s="3" t="s">
        <v>2453</v>
      </c>
      <c r="Z212" s="3" t="s">
        <v>2454</v>
      </c>
      <c r="AA212" s="3" t="s">
        <v>2455</v>
      </c>
      <c r="AB212" s="3" t="s">
        <v>2456</v>
      </c>
      <c r="AC212" s="3" t="s">
        <v>2457</v>
      </c>
      <c r="AD212" s="3" t="s">
        <v>2458</v>
      </c>
      <c r="AE212" s="4" t="s">
        <v>53</v>
      </c>
    </row>
    <row r="213" customFormat="false" ht="15" hidden="false" customHeight="true" outlineLevel="0" collapsed="false">
      <c r="A213" s="3" t="s">
        <v>2459</v>
      </c>
      <c r="B213" s="3" t="s">
        <v>840</v>
      </c>
      <c r="C213" s="3" t="s">
        <v>2460</v>
      </c>
      <c r="D213" s="3" t="s">
        <v>2212</v>
      </c>
      <c r="E213" s="3" t="s">
        <v>258</v>
      </c>
      <c r="F213" s="4" t="s">
        <v>86</v>
      </c>
      <c r="G213" s="3" t="s">
        <v>2461</v>
      </c>
      <c r="H213" s="3" t="s">
        <v>2462</v>
      </c>
      <c r="I213" s="3" t="s">
        <v>2463</v>
      </c>
      <c r="J213" s="3" t="s">
        <v>2464</v>
      </c>
      <c r="K213" s="3" t="s">
        <v>2465</v>
      </c>
      <c r="L213" s="3" t="s">
        <v>348</v>
      </c>
      <c r="M213" s="3"/>
      <c r="N213" s="3"/>
      <c r="O213" s="4"/>
      <c r="P213" s="3" t="s">
        <v>1166</v>
      </c>
      <c r="Q213" s="3" t="s">
        <v>2466</v>
      </c>
      <c r="R213" s="3" t="s">
        <v>285</v>
      </c>
      <c r="S213" s="3" t="s">
        <v>1067</v>
      </c>
      <c r="T213" s="4" t="s">
        <v>412</v>
      </c>
      <c r="U213" s="3"/>
      <c r="V213" s="5" t="n">
        <v>9.8</v>
      </c>
      <c r="W213" s="3" t="s">
        <v>2393</v>
      </c>
      <c r="X213" s="3" t="s">
        <v>2378</v>
      </c>
      <c r="Y213" s="3" t="s">
        <v>2467</v>
      </c>
      <c r="Z213" s="3" t="s">
        <v>2468</v>
      </c>
      <c r="AA213" s="3" t="s">
        <v>2469</v>
      </c>
      <c r="AB213" s="3" t="s">
        <v>2470</v>
      </c>
      <c r="AC213" s="3" t="s">
        <v>2261</v>
      </c>
      <c r="AD213" s="3" t="s">
        <v>2471</v>
      </c>
      <c r="AE213" s="4" t="s">
        <v>53</v>
      </c>
    </row>
    <row r="214" customFormat="false" ht="15" hidden="false" customHeight="true" outlineLevel="0" collapsed="false">
      <c r="A214" s="3" t="s">
        <v>2472</v>
      </c>
      <c r="B214" s="3" t="s">
        <v>840</v>
      </c>
      <c r="C214" s="3" t="s">
        <v>2473</v>
      </c>
      <c r="D214" s="3" t="s">
        <v>2212</v>
      </c>
      <c r="E214" s="3" t="s">
        <v>189</v>
      </c>
      <c r="F214" s="4" t="s">
        <v>36</v>
      </c>
      <c r="G214" s="3" t="s">
        <v>2474</v>
      </c>
      <c r="H214" s="3" t="s">
        <v>2475</v>
      </c>
      <c r="I214" s="3" t="s">
        <v>2476</v>
      </c>
      <c r="J214" s="3" t="s">
        <v>2477</v>
      </c>
      <c r="K214" s="3" t="s">
        <v>2478</v>
      </c>
      <c r="L214" s="3"/>
      <c r="M214" s="3"/>
      <c r="N214" s="3"/>
      <c r="O214" s="4"/>
      <c r="P214" s="3" t="s">
        <v>2479</v>
      </c>
      <c r="Q214" s="3" t="s">
        <v>732</v>
      </c>
      <c r="R214" s="3" t="s">
        <v>963</v>
      </c>
      <c r="S214" s="3" t="s">
        <v>286</v>
      </c>
      <c r="T214" s="4" t="s">
        <v>412</v>
      </c>
      <c r="U214" s="3"/>
      <c r="V214" s="5" t="n">
        <v>7.8</v>
      </c>
      <c r="W214" s="3" t="s">
        <v>2480</v>
      </c>
      <c r="X214" s="3" t="s">
        <v>2481</v>
      </c>
      <c r="Y214" s="3" t="s">
        <v>2482</v>
      </c>
      <c r="Z214" s="3" t="s">
        <v>2274</v>
      </c>
      <c r="AA214" s="3" t="s">
        <v>2483</v>
      </c>
      <c r="AB214" s="3" t="s">
        <v>2484</v>
      </c>
      <c r="AC214" s="3" t="s">
        <v>2485</v>
      </c>
      <c r="AD214" s="3" t="s">
        <v>2486</v>
      </c>
      <c r="AE214" s="4" t="s">
        <v>53</v>
      </c>
    </row>
    <row r="215" customFormat="false" ht="15" hidden="false" customHeight="true" outlineLevel="0" collapsed="false">
      <c r="A215" s="3" t="s">
        <v>2487</v>
      </c>
      <c r="B215" s="3" t="s">
        <v>840</v>
      </c>
      <c r="C215" s="3" t="s">
        <v>2488</v>
      </c>
      <c r="D215" s="3" t="s">
        <v>2212</v>
      </c>
      <c r="E215" s="3" t="s">
        <v>258</v>
      </c>
      <c r="F215" s="4" t="s">
        <v>86</v>
      </c>
      <c r="G215" s="3" t="s">
        <v>2489</v>
      </c>
      <c r="H215" s="3" t="s">
        <v>2490</v>
      </c>
      <c r="I215" s="3" t="s">
        <v>2491</v>
      </c>
      <c r="J215" s="3" t="s">
        <v>2492</v>
      </c>
      <c r="K215" s="3" t="s">
        <v>2493</v>
      </c>
      <c r="L215" s="3" t="s">
        <v>348</v>
      </c>
      <c r="M215" s="3"/>
      <c r="N215" s="3"/>
      <c r="O215" s="4"/>
      <c r="P215" s="3" t="s">
        <v>170</v>
      </c>
      <c r="Q215" s="3" t="s">
        <v>2494</v>
      </c>
      <c r="R215" s="3" t="s">
        <v>172</v>
      </c>
      <c r="S215" s="3" t="s">
        <v>1067</v>
      </c>
      <c r="T215" s="4" t="s">
        <v>287</v>
      </c>
      <c r="U215" s="3"/>
      <c r="V215" s="5" t="n">
        <v>9.8</v>
      </c>
      <c r="W215" s="3" t="s">
        <v>2393</v>
      </c>
      <c r="X215" s="3" t="s">
        <v>2495</v>
      </c>
      <c r="Y215" s="3" t="s">
        <v>2496</v>
      </c>
      <c r="Z215" s="3" t="s">
        <v>2224</v>
      </c>
      <c r="AA215" s="3" t="s">
        <v>2497</v>
      </c>
      <c r="AB215" s="3" t="s">
        <v>1070</v>
      </c>
      <c r="AC215" s="3" t="s">
        <v>2430</v>
      </c>
      <c r="AD215" s="3" t="s">
        <v>2498</v>
      </c>
      <c r="AE215" s="4" t="s">
        <v>53</v>
      </c>
    </row>
    <row r="216" customFormat="false" ht="15" hidden="false" customHeight="true" outlineLevel="0" collapsed="false">
      <c r="A216" s="3" t="s">
        <v>2499</v>
      </c>
      <c r="B216" s="3" t="s">
        <v>840</v>
      </c>
      <c r="C216" s="3" t="s">
        <v>2500</v>
      </c>
      <c r="D216" s="3" t="s">
        <v>2212</v>
      </c>
      <c r="E216" s="3" t="s">
        <v>35</v>
      </c>
      <c r="F216" s="4" t="s">
        <v>36</v>
      </c>
      <c r="G216" s="3" t="s">
        <v>2501</v>
      </c>
      <c r="H216" s="3" t="s">
        <v>2502</v>
      </c>
      <c r="I216" s="3" t="s">
        <v>2503</v>
      </c>
      <c r="J216" s="3" t="s">
        <v>2504</v>
      </c>
      <c r="K216" s="3" t="s">
        <v>2505</v>
      </c>
      <c r="L216" s="3"/>
      <c r="M216" s="3"/>
      <c r="N216" s="3"/>
      <c r="O216" s="4"/>
      <c r="P216" s="3" t="s">
        <v>1373</v>
      </c>
      <c r="Q216" s="3" t="s">
        <v>2506</v>
      </c>
      <c r="R216" s="3" t="s">
        <v>285</v>
      </c>
      <c r="S216" s="3" t="s">
        <v>861</v>
      </c>
      <c r="T216" s="4" t="s">
        <v>287</v>
      </c>
      <c r="U216" s="3"/>
      <c r="V216" s="5" t="n">
        <v>6.8</v>
      </c>
      <c r="W216" s="3" t="s">
        <v>2507</v>
      </c>
      <c r="X216" s="3" t="s">
        <v>2508</v>
      </c>
      <c r="Y216" s="3" t="s">
        <v>2509</v>
      </c>
      <c r="Z216" s="3" t="s">
        <v>2510</v>
      </c>
      <c r="AA216" s="3" t="s">
        <v>2511</v>
      </c>
      <c r="AB216" s="3" t="s">
        <v>2512</v>
      </c>
      <c r="AC216" s="3" t="s">
        <v>2513</v>
      </c>
      <c r="AD216" s="3" t="s">
        <v>2514</v>
      </c>
      <c r="AE216" s="4" t="s">
        <v>53</v>
      </c>
    </row>
    <row r="217" customFormat="false" ht="15" hidden="false" customHeight="true" outlineLevel="0" collapsed="false">
      <c r="A217" s="3" t="s">
        <v>2515</v>
      </c>
      <c r="B217" s="3" t="s">
        <v>840</v>
      </c>
      <c r="C217" s="3" t="s">
        <v>2516</v>
      </c>
      <c r="D217" s="3" t="s">
        <v>2212</v>
      </c>
      <c r="E217" s="3" t="s">
        <v>35</v>
      </c>
      <c r="F217" s="4" t="s">
        <v>86</v>
      </c>
      <c r="G217" s="3" t="s">
        <v>2517</v>
      </c>
      <c r="H217" s="3" t="s">
        <v>2518</v>
      </c>
      <c r="I217" s="3" t="s">
        <v>2519</v>
      </c>
      <c r="J217" s="3" t="s">
        <v>2520</v>
      </c>
      <c r="K217" s="3" t="s">
        <v>2521</v>
      </c>
      <c r="L217" s="3"/>
      <c r="M217" s="3"/>
      <c r="N217" s="3"/>
      <c r="O217" s="4"/>
      <c r="P217" s="3" t="s">
        <v>2522</v>
      </c>
      <c r="Q217" s="3" t="s">
        <v>2523</v>
      </c>
      <c r="R217" s="3" t="s">
        <v>285</v>
      </c>
      <c r="S217" s="3"/>
      <c r="T217" s="4" t="s">
        <v>287</v>
      </c>
      <c r="U217" s="3"/>
      <c r="V217" s="5" t="n">
        <v>9.3</v>
      </c>
      <c r="W217" s="3" t="s">
        <v>2524</v>
      </c>
      <c r="X217" s="3" t="s">
        <v>2525</v>
      </c>
      <c r="Y217" s="3" t="s">
        <v>2526</v>
      </c>
      <c r="Z217" s="3" t="s">
        <v>2527</v>
      </c>
      <c r="AA217" s="3" t="s">
        <v>2528</v>
      </c>
      <c r="AB217" s="3" t="s">
        <v>1070</v>
      </c>
      <c r="AC217" s="3" t="s">
        <v>2529</v>
      </c>
      <c r="AD217" s="3" t="s">
        <v>2530</v>
      </c>
      <c r="AE217" s="4" t="s">
        <v>53</v>
      </c>
    </row>
    <row r="218" customFormat="false" ht="15" hidden="false" customHeight="true" outlineLevel="0" collapsed="false">
      <c r="A218" s="3" t="s">
        <v>2531</v>
      </c>
      <c r="B218" s="3" t="s">
        <v>840</v>
      </c>
      <c r="C218" s="3" t="s">
        <v>2532</v>
      </c>
      <c r="D218" s="3" t="s">
        <v>2212</v>
      </c>
      <c r="E218" s="3" t="s">
        <v>258</v>
      </c>
      <c r="F218" s="4" t="s">
        <v>86</v>
      </c>
      <c r="G218" s="3" t="s">
        <v>2533</v>
      </c>
      <c r="H218" s="3" t="s">
        <v>2534</v>
      </c>
      <c r="I218" s="3" t="s">
        <v>2535</v>
      </c>
      <c r="J218" s="3" t="s">
        <v>2536</v>
      </c>
      <c r="K218" s="3" t="s">
        <v>2537</v>
      </c>
      <c r="L218" s="3" t="s">
        <v>348</v>
      </c>
      <c r="M218" s="3"/>
      <c r="N218" s="3"/>
      <c r="O218" s="4"/>
      <c r="P218" s="3" t="s">
        <v>79</v>
      </c>
      <c r="Q218" s="3" t="s">
        <v>2538</v>
      </c>
      <c r="R218" s="3" t="s">
        <v>2539</v>
      </c>
      <c r="S218" s="3" t="s">
        <v>1067</v>
      </c>
      <c r="T218" s="4" t="s">
        <v>287</v>
      </c>
      <c r="U218" s="3"/>
      <c r="V218" s="5" t="n">
        <v>9.8</v>
      </c>
      <c r="W218" s="3" t="s">
        <v>2393</v>
      </c>
      <c r="X218" s="3" t="s">
        <v>2540</v>
      </c>
      <c r="Y218" s="3" t="s">
        <v>2541</v>
      </c>
      <c r="Z218" s="3" t="s">
        <v>2468</v>
      </c>
      <c r="AA218" s="3" t="s">
        <v>2469</v>
      </c>
      <c r="AB218" s="3" t="s">
        <v>2542</v>
      </c>
      <c r="AC218" s="3" t="s">
        <v>2261</v>
      </c>
      <c r="AD218" s="3" t="s">
        <v>2543</v>
      </c>
      <c r="AE218" s="4" t="s">
        <v>53</v>
      </c>
    </row>
    <row r="219" customFormat="false" ht="15" hidden="false" customHeight="true" outlineLevel="0" collapsed="false">
      <c r="A219" s="3" t="s">
        <v>2544</v>
      </c>
      <c r="B219" s="3" t="s">
        <v>840</v>
      </c>
      <c r="C219" s="3" t="s">
        <v>2545</v>
      </c>
      <c r="D219" s="3" t="s">
        <v>2212</v>
      </c>
      <c r="E219" s="3" t="s">
        <v>258</v>
      </c>
      <c r="F219" s="4" t="s">
        <v>86</v>
      </c>
      <c r="G219" s="3" t="s">
        <v>2546</v>
      </c>
      <c r="H219" s="3" t="s">
        <v>2547</v>
      </c>
      <c r="I219" s="3" t="s">
        <v>2548</v>
      </c>
      <c r="J219" s="3" t="s">
        <v>2549</v>
      </c>
      <c r="K219" s="3" t="s">
        <v>2550</v>
      </c>
      <c r="L219" s="3" t="s">
        <v>348</v>
      </c>
      <c r="M219" s="3"/>
      <c r="N219" s="3"/>
      <c r="O219" s="4"/>
      <c r="P219" s="3" t="s">
        <v>79</v>
      </c>
      <c r="Q219" s="3" t="s">
        <v>1056</v>
      </c>
      <c r="R219" s="3" t="s">
        <v>285</v>
      </c>
      <c r="S219" s="3" t="s">
        <v>1067</v>
      </c>
      <c r="T219" s="4" t="s">
        <v>412</v>
      </c>
      <c r="U219" s="3"/>
      <c r="V219" s="5" t="n">
        <v>10</v>
      </c>
      <c r="W219" s="3" t="s">
        <v>2221</v>
      </c>
      <c r="X219" s="3" t="s">
        <v>2551</v>
      </c>
      <c r="Y219" s="3" t="s">
        <v>2552</v>
      </c>
      <c r="Z219" s="3" t="s">
        <v>2553</v>
      </c>
      <c r="AA219" s="3" t="s">
        <v>2554</v>
      </c>
      <c r="AB219" s="3" t="s">
        <v>2555</v>
      </c>
      <c r="AC219" s="3" t="s">
        <v>2556</v>
      </c>
      <c r="AD219" s="3" t="s">
        <v>2557</v>
      </c>
      <c r="AE219" s="4" t="s">
        <v>53</v>
      </c>
    </row>
    <row r="220" customFormat="false" ht="15" hidden="false" customHeight="true" outlineLevel="0" collapsed="false">
      <c r="A220" s="3" t="s">
        <v>2558</v>
      </c>
      <c r="B220" s="3" t="s">
        <v>840</v>
      </c>
      <c r="C220" s="3" t="s">
        <v>2559</v>
      </c>
      <c r="D220" s="3" t="s">
        <v>2212</v>
      </c>
      <c r="E220" s="3" t="s">
        <v>258</v>
      </c>
      <c r="F220" s="4" t="s">
        <v>36</v>
      </c>
      <c r="G220" s="3" t="s">
        <v>2560</v>
      </c>
      <c r="H220" s="3" t="s">
        <v>2561</v>
      </c>
      <c r="I220" s="3" t="s">
        <v>2562</v>
      </c>
      <c r="J220" s="3" t="s">
        <v>2563</v>
      </c>
      <c r="K220" s="3" t="s">
        <v>2564</v>
      </c>
      <c r="L220" s="3" t="s">
        <v>348</v>
      </c>
      <c r="M220" s="3"/>
      <c r="N220" s="3"/>
      <c r="O220" s="4"/>
      <c r="P220" s="3" t="s">
        <v>2565</v>
      </c>
      <c r="Q220" s="3" t="s">
        <v>2237</v>
      </c>
      <c r="R220" s="3" t="s">
        <v>285</v>
      </c>
      <c r="S220" s="3" t="s">
        <v>1067</v>
      </c>
      <c r="T220" s="4" t="s">
        <v>412</v>
      </c>
      <c r="U220" s="3"/>
      <c r="V220" s="5" t="n">
        <v>7.5</v>
      </c>
      <c r="W220" s="3" t="s">
        <v>2566</v>
      </c>
      <c r="X220" s="3" t="s">
        <v>2567</v>
      </c>
      <c r="Y220" s="3" t="s">
        <v>2568</v>
      </c>
      <c r="Z220" s="3" t="s">
        <v>2224</v>
      </c>
      <c r="AA220" s="3" t="s">
        <v>2569</v>
      </c>
      <c r="AB220" s="3" t="s">
        <v>2570</v>
      </c>
      <c r="AC220" s="3" t="s">
        <v>2571</v>
      </c>
      <c r="AD220" s="3" t="s">
        <v>2572</v>
      </c>
      <c r="AE220" s="4" t="s">
        <v>53</v>
      </c>
    </row>
    <row r="221" customFormat="false" ht="15" hidden="false" customHeight="true" outlineLevel="0" collapsed="false">
      <c r="A221" s="3" t="s">
        <v>2573</v>
      </c>
      <c r="B221" s="3" t="s">
        <v>840</v>
      </c>
      <c r="C221" s="3" t="s">
        <v>2574</v>
      </c>
      <c r="D221" s="3" t="s">
        <v>2212</v>
      </c>
      <c r="E221" s="3" t="s">
        <v>70</v>
      </c>
      <c r="F221" s="4" t="s">
        <v>36</v>
      </c>
      <c r="G221" s="3" t="s">
        <v>2575</v>
      </c>
      <c r="H221" s="3" t="s">
        <v>2576</v>
      </c>
      <c r="I221" s="3" t="s">
        <v>2577</v>
      </c>
      <c r="J221" s="3" t="s">
        <v>2578</v>
      </c>
      <c r="K221" s="3" t="s">
        <v>2579</v>
      </c>
      <c r="L221" s="3" t="s">
        <v>348</v>
      </c>
      <c r="M221" s="3"/>
      <c r="N221" s="3"/>
      <c r="O221" s="4"/>
      <c r="P221" s="3" t="s">
        <v>2580</v>
      </c>
      <c r="Q221" s="3" t="s">
        <v>2581</v>
      </c>
      <c r="R221" s="3" t="s">
        <v>285</v>
      </c>
      <c r="S221" s="3" t="s">
        <v>1067</v>
      </c>
      <c r="T221" s="4" t="s">
        <v>412</v>
      </c>
      <c r="U221" s="3"/>
      <c r="V221" s="5" t="n">
        <v>7.7</v>
      </c>
      <c r="W221" s="3" t="s">
        <v>2582</v>
      </c>
      <c r="X221" s="3" t="s">
        <v>2583</v>
      </c>
      <c r="Y221" s="3" t="s">
        <v>2584</v>
      </c>
      <c r="Z221" s="3" t="s">
        <v>2585</v>
      </c>
      <c r="AA221" s="3" t="s">
        <v>2586</v>
      </c>
      <c r="AB221" s="3" t="s">
        <v>2587</v>
      </c>
      <c r="AC221" s="3" t="s">
        <v>2261</v>
      </c>
      <c r="AD221" s="3" t="s">
        <v>2588</v>
      </c>
      <c r="AE221" s="4" t="s">
        <v>53</v>
      </c>
    </row>
    <row r="222" customFormat="false" ht="15" hidden="false" customHeight="true" outlineLevel="0" collapsed="false">
      <c r="A222" s="3" t="s">
        <v>2589</v>
      </c>
      <c r="B222" s="3" t="s">
        <v>840</v>
      </c>
      <c r="C222" s="3" t="s">
        <v>2590</v>
      </c>
      <c r="D222" s="3" t="s">
        <v>2212</v>
      </c>
      <c r="E222" s="3" t="s">
        <v>258</v>
      </c>
      <c r="F222" s="4" t="s">
        <v>86</v>
      </c>
      <c r="G222" s="3" t="s">
        <v>2591</v>
      </c>
      <c r="H222" s="3" t="s">
        <v>2592</v>
      </c>
      <c r="I222" s="3" t="s">
        <v>2593</v>
      </c>
      <c r="J222" s="3" t="s">
        <v>2594</v>
      </c>
      <c r="K222" s="3" t="s">
        <v>2595</v>
      </c>
      <c r="L222" s="3" t="s">
        <v>2596</v>
      </c>
      <c r="M222" s="3"/>
      <c r="N222" s="3"/>
      <c r="O222" s="4"/>
      <c r="P222" s="3" t="s">
        <v>2597</v>
      </c>
      <c r="Q222" s="3" t="s">
        <v>2598</v>
      </c>
      <c r="R222" s="3" t="s">
        <v>285</v>
      </c>
      <c r="S222" s="3" t="s">
        <v>1067</v>
      </c>
      <c r="T222" s="4" t="s">
        <v>412</v>
      </c>
      <c r="U222" s="3"/>
      <c r="V222" s="5" t="n">
        <v>10</v>
      </c>
      <c r="W222" s="3" t="s">
        <v>2221</v>
      </c>
      <c r="X222" s="3" t="s">
        <v>2599</v>
      </c>
      <c r="Y222" s="3" t="s">
        <v>2600</v>
      </c>
      <c r="Z222" s="3" t="s">
        <v>2601</v>
      </c>
      <c r="AA222" s="3" t="s">
        <v>2602</v>
      </c>
      <c r="AB222" s="3" t="s">
        <v>1048</v>
      </c>
      <c r="AC222" s="3" t="s">
        <v>2603</v>
      </c>
      <c r="AD222" s="3" t="s">
        <v>2604</v>
      </c>
      <c r="AE222" s="4" t="s">
        <v>53</v>
      </c>
    </row>
    <row r="223" customFormat="false" ht="15" hidden="false" customHeight="true" outlineLevel="0" collapsed="false">
      <c r="A223" s="3" t="s">
        <v>2605</v>
      </c>
      <c r="B223" s="3" t="s">
        <v>840</v>
      </c>
      <c r="C223" s="3" t="s">
        <v>2606</v>
      </c>
      <c r="D223" s="3" t="s">
        <v>2212</v>
      </c>
      <c r="E223" s="3" t="s">
        <v>7</v>
      </c>
      <c r="F223" s="4" t="s">
        <v>86</v>
      </c>
      <c r="G223" s="3" t="s">
        <v>2607</v>
      </c>
      <c r="H223" s="3" t="s">
        <v>2608</v>
      </c>
      <c r="I223" s="3" t="s">
        <v>2609</v>
      </c>
      <c r="J223" s="3" t="s">
        <v>2610</v>
      </c>
      <c r="K223" s="3" t="s">
        <v>2611</v>
      </c>
      <c r="L223" s="3" t="s">
        <v>1602</v>
      </c>
      <c r="M223" s="3"/>
      <c r="N223" s="3"/>
      <c r="O223" s="4"/>
      <c r="P223" s="3" t="s">
        <v>2612</v>
      </c>
      <c r="Q223" s="3" t="s">
        <v>157</v>
      </c>
      <c r="R223" s="3" t="s">
        <v>158</v>
      </c>
      <c r="S223" s="3" t="s">
        <v>1067</v>
      </c>
      <c r="T223" s="4" t="s">
        <v>675</v>
      </c>
      <c r="U223" s="3"/>
      <c r="V223" s="5" t="n">
        <v>9.8</v>
      </c>
      <c r="W223" s="3" t="s">
        <v>2613</v>
      </c>
      <c r="X223" s="3" t="s">
        <v>2614</v>
      </c>
      <c r="Y223" s="3" t="s">
        <v>2615</v>
      </c>
      <c r="Z223" s="3" t="s">
        <v>2616</v>
      </c>
      <c r="AA223" s="3" t="s">
        <v>2617</v>
      </c>
      <c r="AB223" s="3" t="s">
        <v>1080</v>
      </c>
      <c r="AC223" s="3" t="s">
        <v>2618</v>
      </c>
      <c r="AD223" s="3" t="s">
        <v>2619</v>
      </c>
      <c r="AE223" s="4" t="s">
        <v>53</v>
      </c>
    </row>
    <row r="224" customFormat="false" ht="15" hidden="false" customHeight="true" outlineLevel="0" collapsed="false">
      <c r="A224" s="3" t="s">
        <v>2620</v>
      </c>
      <c r="B224" s="3" t="s">
        <v>840</v>
      </c>
      <c r="C224" s="3" t="s">
        <v>2621</v>
      </c>
      <c r="D224" s="3" t="s">
        <v>2212</v>
      </c>
      <c r="E224" s="3" t="s">
        <v>258</v>
      </c>
      <c r="F224" s="4" t="s">
        <v>86</v>
      </c>
      <c r="G224" s="3" t="s">
        <v>2622</v>
      </c>
      <c r="H224" s="3" t="s">
        <v>2623</v>
      </c>
      <c r="I224" s="3" t="s">
        <v>2624</v>
      </c>
      <c r="J224" s="3" t="s">
        <v>2625</v>
      </c>
      <c r="K224" s="3" t="s">
        <v>2626</v>
      </c>
      <c r="L224" s="3" t="s">
        <v>2596</v>
      </c>
      <c r="M224" s="3"/>
      <c r="N224" s="3"/>
      <c r="O224" s="4"/>
      <c r="P224" s="3" t="s">
        <v>79</v>
      </c>
      <c r="Q224" s="3" t="s">
        <v>410</v>
      </c>
      <c r="R224" s="3" t="s">
        <v>285</v>
      </c>
      <c r="S224" s="3" t="s">
        <v>1067</v>
      </c>
      <c r="T224" s="4" t="s">
        <v>412</v>
      </c>
      <c r="U224" s="3"/>
      <c r="V224" s="5" t="n">
        <v>9.8</v>
      </c>
      <c r="W224" s="3" t="s">
        <v>2613</v>
      </c>
      <c r="X224" s="3" t="s">
        <v>2627</v>
      </c>
      <c r="Y224" s="3" t="s">
        <v>2628</v>
      </c>
      <c r="Z224" s="3" t="s">
        <v>2629</v>
      </c>
      <c r="AA224" s="3" t="s">
        <v>2497</v>
      </c>
      <c r="AB224" s="3" t="s">
        <v>1037</v>
      </c>
      <c r="AC224" s="3" t="s">
        <v>2630</v>
      </c>
      <c r="AD224" s="3" t="s">
        <v>2631</v>
      </c>
      <c r="AE224" s="4" t="s">
        <v>53</v>
      </c>
    </row>
    <row r="225" customFormat="false" ht="15" hidden="false" customHeight="true" outlineLevel="0" collapsed="false">
      <c r="A225" s="3" t="s">
        <v>2632</v>
      </c>
      <c r="B225" s="3" t="s">
        <v>840</v>
      </c>
      <c r="C225" s="3" t="s">
        <v>2633</v>
      </c>
      <c r="D225" s="3" t="s">
        <v>2212</v>
      </c>
      <c r="E225" s="3" t="s">
        <v>189</v>
      </c>
      <c r="F225" s="4" t="s">
        <v>36</v>
      </c>
      <c r="G225" s="3" t="s">
        <v>2634</v>
      </c>
      <c r="H225" s="3" t="s">
        <v>2635</v>
      </c>
      <c r="I225" s="3" t="s">
        <v>2636</v>
      </c>
      <c r="J225" s="3" t="s">
        <v>2637</v>
      </c>
      <c r="K225" s="3" t="s">
        <v>2638</v>
      </c>
      <c r="L225" s="3" t="s">
        <v>348</v>
      </c>
      <c r="M225" s="3"/>
      <c r="N225" s="3"/>
      <c r="O225" s="4"/>
      <c r="P225" s="3" t="s">
        <v>2639</v>
      </c>
      <c r="Q225" s="3" t="s">
        <v>2640</v>
      </c>
      <c r="R225" s="3" t="s">
        <v>285</v>
      </c>
      <c r="S225" s="3" t="s">
        <v>1067</v>
      </c>
      <c r="T225" s="4" t="s">
        <v>412</v>
      </c>
      <c r="U225" s="3"/>
      <c r="V225" s="5" t="n">
        <v>7.5</v>
      </c>
      <c r="W225" s="3" t="s">
        <v>2300</v>
      </c>
      <c r="X225" s="3" t="s">
        <v>2641</v>
      </c>
      <c r="Y225" s="3" t="s">
        <v>2642</v>
      </c>
      <c r="Z225" s="3" t="s">
        <v>2643</v>
      </c>
      <c r="AA225" s="3" t="s">
        <v>2644</v>
      </c>
      <c r="AB225" s="3" t="s">
        <v>978</v>
      </c>
      <c r="AC225" s="3" t="s">
        <v>2645</v>
      </c>
      <c r="AD225" s="3" t="s">
        <v>2646</v>
      </c>
      <c r="AE225" s="4" t="s">
        <v>53</v>
      </c>
    </row>
    <row r="226" customFormat="false" ht="15" hidden="false" customHeight="true" outlineLevel="0" collapsed="false">
      <c r="A226" s="3" t="s">
        <v>2647</v>
      </c>
      <c r="B226" s="3" t="s">
        <v>840</v>
      </c>
      <c r="C226" s="3" t="s">
        <v>2648</v>
      </c>
      <c r="D226" s="3" t="s">
        <v>2212</v>
      </c>
      <c r="E226" s="3" t="s">
        <v>70</v>
      </c>
      <c r="F226" s="4" t="s">
        <v>86</v>
      </c>
      <c r="G226" s="3" t="s">
        <v>2649</v>
      </c>
      <c r="H226" s="3" t="s">
        <v>2650</v>
      </c>
      <c r="I226" s="3" t="s">
        <v>2651</v>
      </c>
      <c r="J226" s="3" t="s">
        <v>2652</v>
      </c>
      <c r="K226" s="3" t="s">
        <v>2653</v>
      </c>
      <c r="L226" s="3" t="s">
        <v>348</v>
      </c>
      <c r="M226" s="3"/>
      <c r="N226" s="3"/>
      <c r="O226" s="4"/>
      <c r="P226" s="3" t="s">
        <v>94</v>
      </c>
      <c r="Q226" s="3" t="s">
        <v>2425</v>
      </c>
      <c r="R226" s="3" t="s">
        <v>285</v>
      </c>
      <c r="S226" s="3" t="s">
        <v>1067</v>
      </c>
      <c r="T226" s="4" t="s">
        <v>412</v>
      </c>
      <c r="U226" s="3"/>
      <c r="V226" s="5" t="n">
        <v>10</v>
      </c>
      <c r="W226" s="3" t="s">
        <v>2654</v>
      </c>
      <c r="X226" s="3" t="s">
        <v>2655</v>
      </c>
      <c r="Y226" s="3" t="s">
        <v>2656</v>
      </c>
      <c r="Z226" s="3" t="s">
        <v>2274</v>
      </c>
      <c r="AA226" s="3" t="s">
        <v>2657</v>
      </c>
      <c r="AB226" s="3" t="s">
        <v>978</v>
      </c>
      <c r="AC226" s="3" t="s">
        <v>2658</v>
      </c>
      <c r="AD226" s="3" t="s">
        <v>2659</v>
      </c>
      <c r="AE226" s="4" t="s">
        <v>53</v>
      </c>
    </row>
    <row r="227" customFormat="false" ht="15" hidden="false" customHeight="true" outlineLevel="0" collapsed="false">
      <c r="A227" s="3" t="s">
        <v>2660</v>
      </c>
      <c r="B227" s="3" t="s">
        <v>840</v>
      </c>
      <c r="C227" s="3" t="s">
        <v>2661</v>
      </c>
      <c r="D227" s="3" t="s">
        <v>2212</v>
      </c>
      <c r="E227" s="3" t="s">
        <v>258</v>
      </c>
      <c r="F227" s="4" t="s">
        <v>36</v>
      </c>
      <c r="G227" s="3" t="s">
        <v>2662</v>
      </c>
      <c r="H227" s="3" t="s">
        <v>2663</v>
      </c>
      <c r="I227" s="3" t="s">
        <v>2664</v>
      </c>
      <c r="J227" s="3" t="s">
        <v>2665</v>
      </c>
      <c r="K227" s="3" t="s">
        <v>2666</v>
      </c>
      <c r="L227" s="3" t="s">
        <v>348</v>
      </c>
      <c r="M227" s="3"/>
      <c r="N227" s="3"/>
      <c r="O227" s="4"/>
      <c r="P227" s="3" t="s">
        <v>79</v>
      </c>
      <c r="Q227" s="3" t="s">
        <v>2667</v>
      </c>
      <c r="R227" s="3" t="s">
        <v>285</v>
      </c>
      <c r="S227" s="3" t="s">
        <v>286</v>
      </c>
      <c r="T227" s="4" t="s">
        <v>412</v>
      </c>
      <c r="U227" s="3"/>
      <c r="V227" s="5" t="n">
        <v>8.1</v>
      </c>
      <c r="W227" s="3" t="s">
        <v>2668</v>
      </c>
      <c r="X227" s="3" t="s">
        <v>2669</v>
      </c>
      <c r="Y227" s="3" t="s">
        <v>2670</v>
      </c>
      <c r="Z227" s="3" t="s">
        <v>2274</v>
      </c>
      <c r="AA227" s="3" t="s">
        <v>2671</v>
      </c>
      <c r="AB227" s="3" t="s">
        <v>1014</v>
      </c>
      <c r="AC227" s="3" t="s">
        <v>2672</v>
      </c>
      <c r="AD227" s="3" t="s">
        <v>2673</v>
      </c>
      <c r="AE227" s="4" t="s">
        <v>53</v>
      </c>
    </row>
    <row r="228" customFormat="false" ht="15" hidden="false" customHeight="true" outlineLevel="0" collapsed="false">
      <c r="A228" s="3" t="s">
        <v>2674</v>
      </c>
      <c r="B228" s="3" t="s">
        <v>840</v>
      </c>
      <c r="C228" s="3" t="s">
        <v>2675</v>
      </c>
      <c r="D228" s="3" t="s">
        <v>2212</v>
      </c>
      <c r="E228" s="3" t="s">
        <v>189</v>
      </c>
      <c r="F228" s="4" t="s">
        <v>36</v>
      </c>
      <c r="G228" s="3" t="s">
        <v>2676</v>
      </c>
      <c r="H228" s="3" t="s">
        <v>2677</v>
      </c>
      <c r="I228" s="3" t="s">
        <v>2678</v>
      </c>
      <c r="J228" s="3" t="s">
        <v>2679</v>
      </c>
      <c r="K228" s="3" t="s">
        <v>2680</v>
      </c>
      <c r="L228" s="3" t="s">
        <v>2681</v>
      </c>
      <c r="M228" s="3"/>
      <c r="N228" s="3"/>
      <c r="O228" s="4"/>
      <c r="P228" s="3" t="s">
        <v>2682</v>
      </c>
      <c r="Q228" s="3" t="s">
        <v>2683</v>
      </c>
      <c r="R228" s="3" t="s">
        <v>285</v>
      </c>
      <c r="S228" s="3" t="s">
        <v>286</v>
      </c>
      <c r="T228" s="4" t="s">
        <v>287</v>
      </c>
      <c r="U228" s="3"/>
      <c r="V228" s="5" t="n">
        <v>7.5</v>
      </c>
      <c r="W228" s="3" t="s">
        <v>2300</v>
      </c>
      <c r="X228" s="3" t="s">
        <v>2684</v>
      </c>
      <c r="Y228" s="3" t="s">
        <v>2685</v>
      </c>
      <c r="Z228" s="3" t="s">
        <v>2686</v>
      </c>
      <c r="AA228" s="3" t="s">
        <v>2687</v>
      </c>
      <c r="AB228" s="3" t="s">
        <v>2688</v>
      </c>
      <c r="AC228" s="3" t="s">
        <v>2689</v>
      </c>
      <c r="AD228" s="3" t="s">
        <v>2690</v>
      </c>
      <c r="AE228" s="4" t="s">
        <v>53</v>
      </c>
    </row>
    <row r="229" customFormat="false" ht="15" hidden="false" customHeight="true" outlineLevel="0" collapsed="false">
      <c r="A229" s="3" t="s">
        <v>2691</v>
      </c>
      <c r="B229" s="3" t="s">
        <v>840</v>
      </c>
      <c r="C229" s="3" t="s">
        <v>2692</v>
      </c>
      <c r="D229" s="3" t="s">
        <v>2212</v>
      </c>
      <c r="E229" s="3" t="s">
        <v>70</v>
      </c>
      <c r="F229" s="4" t="s">
        <v>86</v>
      </c>
      <c r="G229" s="3" t="s">
        <v>2693</v>
      </c>
      <c r="H229" s="3" t="s">
        <v>2694</v>
      </c>
      <c r="I229" s="3" t="s">
        <v>2695</v>
      </c>
      <c r="J229" s="3" t="s">
        <v>2696</v>
      </c>
      <c r="K229" s="3" t="s">
        <v>2697</v>
      </c>
      <c r="L229" s="3" t="s">
        <v>2698</v>
      </c>
      <c r="M229" s="3"/>
      <c r="N229" s="3"/>
      <c r="O229" s="4"/>
      <c r="P229" s="3" t="s">
        <v>2699</v>
      </c>
      <c r="Q229" s="3" t="s">
        <v>95</v>
      </c>
      <c r="R229" s="3" t="s">
        <v>96</v>
      </c>
      <c r="S229" s="3" t="s">
        <v>1067</v>
      </c>
      <c r="T229" s="4" t="s">
        <v>82</v>
      </c>
      <c r="U229" s="3"/>
      <c r="V229" s="5" t="n">
        <v>9.8</v>
      </c>
      <c r="W229" s="3" t="s">
        <v>2393</v>
      </c>
      <c r="X229" s="3" t="s">
        <v>2700</v>
      </c>
      <c r="Y229" s="3" t="s">
        <v>2701</v>
      </c>
      <c r="Z229" s="3" t="s">
        <v>2702</v>
      </c>
      <c r="AA229" s="3" t="s">
        <v>2703</v>
      </c>
      <c r="AB229" s="3" t="s">
        <v>2704</v>
      </c>
      <c r="AC229" s="3" t="s">
        <v>2705</v>
      </c>
      <c r="AD229" s="3" t="s">
        <v>2706</v>
      </c>
      <c r="AE229" s="4" t="s">
        <v>53</v>
      </c>
    </row>
    <row r="230" customFormat="false" ht="15" hidden="false" customHeight="true" outlineLevel="0" collapsed="false">
      <c r="A230" s="3" t="s">
        <v>2707</v>
      </c>
      <c r="B230" s="3" t="s">
        <v>840</v>
      </c>
      <c r="C230" s="3" t="s">
        <v>2708</v>
      </c>
      <c r="D230" s="3" t="s">
        <v>2212</v>
      </c>
      <c r="E230" s="3" t="s">
        <v>258</v>
      </c>
      <c r="F230" s="4" t="s">
        <v>86</v>
      </c>
      <c r="G230" s="3" t="s">
        <v>2709</v>
      </c>
      <c r="H230" s="3" t="s">
        <v>2710</v>
      </c>
      <c r="I230" s="3" t="s">
        <v>2711</v>
      </c>
      <c r="J230" s="3" t="s">
        <v>2712</v>
      </c>
      <c r="K230" s="3" t="s">
        <v>2713</v>
      </c>
      <c r="L230" s="3" t="s">
        <v>348</v>
      </c>
      <c r="M230" s="3"/>
      <c r="N230" s="3"/>
      <c r="O230" s="4"/>
      <c r="P230" s="3" t="s">
        <v>2714</v>
      </c>
      <c r="Q230" s="3" t="s">
        <v>1056</v>
      </c>
      <c r="R230" s="3" t="s">
        <v>285</v>
      </c>
      <c r="S230" s="3" t="s">
        <v>1067</v>
      </c>
      <c r="T230" s="4" t="s">
        <v>675</v>
      </c>
      <c r="U230" s="3"/>
      <c r="V230" s="5" t="n">
        <v>9.8</v>
      </c>
      <c r="W230" s="3" t="s">
        <v>2393</v>
      </c>
      <c r="X230" s="3" t="s">
        <v>2715</v>
      </c>
      <c r="Y230" s="3" t="s">
        <v>2716</v>
      </c>
      <c r="Z230" s="3" t="s">
        <v>2717</v>
      </c>
      <c r="AA230" s="3" t="s">
        <v>2718</v>
      </c>
      <c r="AB230" s="3" t="s">
        <v>2719</v>
      </c>
      <c r="AC230" s="3" t="s">
        <v>2261</v>
      </c>
      <c r="AD230" s="3" t="s">
        <v>2720</v>
      </c>
      <c r="AE230" s="4" t="s">
        <v>53</v>
      </c>
    </row>
    <row r="231" customFormat="false" ht="15" hidden="false" customHeight="true" outlineLevel="0" collapsed="false">
      <c r="A231" s="3" t="s">
        <v>2721</v>
      </c>
      <c r="B231" s="3" t="s">
        <v>840</v>
      </c>
      <c r="C231" s="3" t="s">
        <v>2722</v>
      </c>
      <c r="D231" s="3" t="s">
        <v>2212</v>
      </c>
      <c r="E231" s="3" t="s">
        <v>258</v>
      </c>
      <c r="F231" s="4" t="s">
        <v>86</v>
      </c>
      <c r="G231" s="3" t="s">
        <v>2723</v>
      </c>
      <c r="H231" s="3" t="s">
        <v>2724</v>
      </c>
      <c r="I231" s="3" t="s">
        <v>2725</v>
      </c>
      <c r="J231" s="3" t="s">
        <v>2726</v>
      </c>
      <c r="K231" s="3" t="s">
        <v>2727</v>
      </c>
      <c r="L231" s="3" t="s">
        <v>348</v>
      </c>
      <c r="M231" s="3"/>
      <c r="N231" s="3"/>
      <c r="O231" s="4"/>
      <c r="P231" s="3" t="s">
        <v>79</v>
      </c>
      <c r="Q231" s="3" t="s">
        <v>2728</v>
      </c>
      <c r="R231" s="3" t="s">
        <v>96</v>
      </c>
      <c r="S231" s="3" t="s">
        <v>1067</v>
      </c>
      <c r="T231" s="4" t="s">
        <v>412</v>
      </c>
      <c r="U231" s="3"/>
      <c r="V231" s="5" t="n">
        <v>10</v>
      </c>
      <c r="W231" s="3" t="s">
        <v>2221</v>
      </c>
      <c r="X231" s="3" t="s">
        <v>2729</v>
      </c>
      <c r="Y231" s="3" t="s">
        <v>2730</v>
      </c>
      <c r="Z231" s="3" t="s">
        <v>2731</v>
      </c>
      <c r="AA231" s="3" t="s">
        <v>2732</v>
      </c>
      <c r="AB231" s="3" t="s">
        <v>2733</v>
      </c>
      <c r="AC231" s="3" t="s">
        <v>2734</v>
      </c>
      <c r="AD231" s="3" t="s">
        <v>2735</v>
      </c>
      <c r="AE231" s="4" t="s">
        <v>53</v>
      </c>
    </row>
    <row r="232" customFormat="false" ht="15" hidden="false" customHeight="true" outlineLevel="0" collapsed="false">
      <c r="A232" s="3" t="s">
        <v>2736</v>
      </c>
      <c r="B232" s="3" t="s">
        <v>840</v>
      </c>
      <c r="C232" s="3" t="s">
        <v>2737</v>
      </c>
      <c r="D232" s="3" t="s">
        <v>2212</v>
      </c>
      <c r="E232" s="3" t="s">
        <v>258</v>
      </c>
      <c r="F232" s="4" t="s">
        <v>86</v>
      </c>
      <c r="G232" s="3" t="s">
        <v>2738</v>
      </c>
      <c r="H232" s="3" t="s">
        <v>2739</v>
      </c>
      <c r="I232" s="3" t="s">
        <v>2740</v>
      </c>
      <c r="J232" s="3" t="s">
        <v>2741</v>
      </c>
      <c r="K232" s="3" t="s">
        <v>2742</v>
      </c>
      <c r="L232" s="3" t="s">
        <v>348</v>
      </c>
      <c r="M232" s="3"/>
      <c r="N232" s="3"/>
      <c r="O232" s="4"/>
      <c r="P232" s="3" t="s">
        <v>1166</v>
      </c>
      <c r="Q232" s="3" t="s">
        <v>2743</v>
      </c>
      <c r="R232" s="3" t="s">
        <v>285</v>
      </c>
      <c r="S232" s="3" t="s">
        <v>1067</v>
      </c>
      <c r="T232" s="4" t="s">
        <v>412</v>
      </c>
      <c r="U232" s="3"/>
      <c r="V232" s="5" t="n">
        <v>9.2</v>
      </c>
      <c r="W232" s="3" t="s">
        <v>2744</v>
      </c>
      <c r="X232" s="3" t="s">
        <v>2745</v>
      </c>
      <c r="Y232" s="3" t="s">
        <v>2746</v>
      </c>
      <c r="Z232" s="3" t="s">
        <v>2747</v>
      </c>
      <c r="AA232" s="3" t="s">
        <v>2748</v>
      </c>
      <c r="AB232" s="3" t="s">
        <v>2749</v>
      </c>
      <c r="AC232" s="3" t="s">
        <v>2750</v>
      </c>
      <c r="AD232" s="3" t="s">
        <v>2751</v>
      </c>
      <c r="AE232" s="4" t="s">
        <v>53</v>
      </c>
    </row>
    <row r="233" customFormat="false" ht="15" hidden="false" customHeight="true" outlineLevel="0" collapsed="false">
      <c r="A233" s="3" t="s">
        <v>2752</v>
      </c>
      <c r="B233" s="3" t="s">
        <v>1091</v>
      </c>
      <c r="C233" s="3" t="s">
        <v>2753</v>
      </c>
      <c r="D233" s="3" t="s">
        <v>2212</v>
      </c>
      <c r="E233" s="3" t="s">
        <v>189</v>
      </c>
      <c r="F233" s="4" t="s">
        <v>86</v>
      </c>
      <c r="G233" s="3" t="s">
        <v>2754</v>
      </c>
      <c r="H233" s="3" t="s">
        <v>2755</v>
      </c>
      <c r="I233" s="3" t="s">
        <v>2756</v>
      </c>
      <c r="J233" s="3" t="s">
        <v>2757</v>
      </c>
      <c r="K233" s="3" t="s">
        <v>2758</v>
      </c>
      <c r="L233" s="3" t="s">
        <v>2759</v>
      </c>
      <c r="M233" s="3"/>
      <c r="N233" s="3"/>
      <c r="O233" s="4"/>
      <c r="P233" s="3" t="s">
        <v>2760</v>
      </c>
      <c r="Q233" s="3" t="s">
        <v>2538</v>
      </c>
      <c r="R233" s="3" t="s">
        <v>2539</v>
      </c>
      <c r="S233" s="3" t="s">
        <v>1067</v>
      </c>
      <c r="T233" s="4" t="s">
        <v>412</v>
      </c>
      <c r="U233" s="3"/>
      <c r="V233" s="5" t="n">
        <v>9.1</v>
      </c>
      <c r="W233" s="3" t="s">
        <v>2761</v>
      </c>
      <c r="X233" s="3" t="s">
        <v>2762</v>
      </c>
      <c r="Y233" s="3" t="s">
        <v>2763</v>
      </c>
      <c r="Z233" s="3" t="s">
        <v>2224</v>
      </c>
      <c r="AA233" s="3" t="s">
        <v>2764</v>
      </c>
      <c r="AB233" s="3" t="s">
        <v>1135</v>
      </c>
      <c r="AC233" s="3" t="s">
        <v>2765</v>
      </c>
      <c r="AD233" s="3" t="s">
        <v>2766</v>
      </c>
      <c r="AE233" s="4" t="s">
        <v>53</v>
      </c>
    </row>
    <row r="234" customFormat="false" ht="15" hidden="false" customHeight="true" outlineLevel="0" collapsed="false">
      <c r="A234" s="3" t="s">
        <v>2767</v>
      </c>
      <c r="B234" s="3" t="s">
        <v>1091</v>
      </c>
      <c r="C234" s="3" t="s">
        <v>2768</v>
      </c>
      <c r="D234" s="3" t="s">
        <v>2212</v>
      </c>
      <c r="E234" s="3" t="s">
        <v>258</v>
      </c>
      <c r="F234" s="4" t="s">
        <v>86</v>
      </c>
      <c r="G234" s="3" t="s">
        <v>2769</v>
      </c>
      <c r="H234" s="3" t="s">
        <v>2770</v>
      </c>
      <c r="I234" s="3" t="s">
        <v>2771</v>
      </c>
      <c r="J234" s="3" t="s">
        <v>2772</v>
      </c>
      <c r="K234" s="3" t="s">
        <v>2773</v>
      </c>
      <c r="L234" s="3" t="s">
        <v>2596</v>
      </c>
      <c r="M234" s="3"/>
      <c r="N234" s="3"/>
      <c r="O234" s="4"/>
      <c r="P234" s="3" t="s">
        <v>1166</v>
      </c>
      <c r="Q234" s="3" t="s">
        <v>2774</v>
      </c>
      <c r="R234" s="3" t="s">
        <v>285</v>
      </c>
      <c r="S234" s="3" t="s">
        <v>1067</v>
      </c>
      <c r="T234" s="4" t="s">
        <v>412</v>
      </c>
      <c r="U234" s="3"/>
      <c r="V234" s="5" t="n">
        <v>9.8</v>
      </c>
      <c r="W234" s="3" t="s">
        <v>2393</v>
      </c>
      <c r="X234" s="3" t="s">
        <v>2775</v>
      </c>
      <c r="Y234" s="3" t="s">
        <v>2776</v>
      </c>
      <c r="Z234" s="3" t="s">
        <v>2777</v>
      </c>
      <c r="AA234" s="3" t="s">
        <v>2764</v>
      </c>
      <c r="AB234" s="3" t="s">
        <v>2778</v>
      </c>
      <c r="AC234" s="3" t="s">
        <v>2779</v>
      </c>
      <c r="AD234" s="3" t="s">
        <v>2780</v>
      </c>
      <c r="AE234" s="4" t="s">
        <v>53</v>
      </c>
    </row>
    <row r="235" customFormat="false" ht="15" hidden="false" customHeight="true" outlineLevel="0" collapsed="false">
      <c r="A235" s="3" t="s">
        <v>2781</v>
      </c>
      <c r="B235" s="3" t="s">
        <v>1091</v>
      </c>
      <c r="C235" s="3" t="s">
        <v>2782</v>
      </c>
      <c r="D235" s="3" t="s">
        <v>2212</v>
      </c>
      <c r="E235" s="3" t="s">
        <v>258</v>
      </c>
      <c r="F235" s="4" t="s">
        <v>86</v>
      </c>
      <c r="G235" s="3" t="s">
        <v>2783</v>
      </c>
      <c r="H235" s="3" t="s">
        <v>2784</v>
      </c>
      <c r="I235" s="3" t="s">
        <v>2785</v>
      </c>
      <c r="J235" s="3" t="s">
        <v>2786</v>
      </c>
      <c r="K235" s="3" t="s">
        <v>2787</v>
      </c>
      <c r="L235" s="3" t="s">
        <v>2596</v>
      </c>
      <c r="M235" s="3"/>
      <c r="N235" s="3"/>
      <c r="O235" s="4"/>
      <c r="P235" s="3" t="s">
        <v>2788</v>
      </c>
      <c r="Q235" s="3" t="s">
        <v>2774</v>
      </c>
      <c r="R235" s="3" t="s">
        <v>285</v>
      </c>
      <c r="S235" s="3" t="s">
        <v>1067</v>
      </c>
      <c r="T235" s="4" t="s">
        <v>412</v>
      </c>
      <c r="U235" s="3"/>
      <c r="V235" s="5" t="n">
        <v>9.6</v>
      </c>
      <c r="W235" s="3" t="s">
        <v>2393</v>
      </c>
      <c r="X235" s="3" t="s">
        <v>2789</v>
      </c>
      <c r="Y235" s="3" t="s">
        <v>2790</v>
      </c>
      <c r="Z235" s="3" t="s">
        <v>2791</v>
      </c>
      <c r="AA235" s="3" t="s">
        <v>2792</v>
      </c>
      <c r="AB235" s="3" t="s">
        <v>2793</v>
      </c>
      <c r="AC235" s="3" t="s">
        <v>2794</v>
      </c>
      <c r="AD235" s="3" t="s">
        <v>2795</v>
      </c>
      <c r="AE235" s="4" t="s">
        <v>53</v>
      </c>
    </row>
    <row r="236" customFormat="false" ht="15" hidden="false" customHeight="true" outlineLevel="0" collapsed="false">
      <c r="A236" s="3" t="s">
        <v>2796</v>
      </c>
      <c r="B236" s="3" t="s">
        <v>1091</v>
      </c>
      <c r="C236" s="3" t="s">
        <v>2797</v>
      </c>
      <c r="D236" s="3" t="s">
        <v>2212</v>
      </c>
      <c r="E236" s="3" t="s">
        <v>258</v>
      </c>
      <c r="F236" s="4" t="s">
        <v>86</v>
      </c>
      <c r="G236" s="3" t="s">
        <v>2798</v>
      </c>
      <c r="H236" s="3" t="s">
        <v>2799</v>
      </c>
      <c r="I236" s="3" t="s">
        <v>2800</v>
      </c>
      <c r="J236" s="3" t="s">
        <v>2801</v>
      </c>
      <c r="K236" s="3" t="s">
        <v>2802</v>
      </c>
      <c r="L236" s="3" t="s">
        <v>2596</v>
      </c>
      <c r="M236" s="3"/>
      <c r="N236" s="3"/>
      <c r="O236" s="4"/>
      <c r="P236" s="3" t="s">
        <v>2205</v>
      </c>
      <c r="Q236" s="3" t="s">
        <v>1056</v>
      </c>
      <c r="R236" s="3" t="s">
        <v>285</v>
      </c>
      <c r="S236" s="3" t="s">
        <v>1067</v>
      </c>
      <c r="T236" s="4" t="s">
        <v>412</v>
      </c>
      <c r="U236" s="3"/>
      <c r="V236" s="5" t="n">
        <v>9.8</v>
      </c>
      <c r="W236" s="3" t="s">
        <v>2393</v>
      </c>
      <c r="X236" s="3" t="s">
        <v>2803</v>
      </c>
      <c r="Y236" s="3" t="s">
        <v>2804</v>
      </c>
      <c r="Z236" s="3" t="s">
        <v>2805</v>
      </c>
      <c r="AA236" s="3" t="s">
        <v>2792</v>
      </c>
      <c r="AB236" s="3" t="s">
        <v>2806</v>
      </c>
      <c r="AC236" s="3" t="s">
        <v>2807</v>
      </c>
      <c r="AD236" s="3" t="s">
        <v>2808</v>
      </c>
      <c r="AE236" s="4" t="s">
        <v>53</v>
      </c>
    </row>
    <row r="237" customFormat="false" ht="15" hidden="false" customHeight="true" outlineLevel="0" collapsed="false">
      <c r="A237" s="3" t="s">
        <v>2809</v>
      </c>
      <c r="B237" s="3" t="s">
        <v>1091</v>
      </c>
      <c r="C237" s="3" t="s">
        <v>2810</v>
      </c>
      <c r="D237" s="3" t="s">
        <v>2212</v>
      </c>
      <c r="E237" s="3" t="s">
        <v>258</v>
      </c>
      <c r="F237" s="4" t="s">
        <v>86</v>
      </c>
      <c r="G237" s="3" t="s">
        <v>2811</v>
      </c>
      <c r="H237" s="3" t="s">
        <v>2812</v>
      </c>
      <c r="I237" s="3" t="s">
        <v>2813</v>
      </c>
      <c r="J237" s="3" t="s">
        <v>2814</v>
      </c>
      <c r="K237" s="3" t="s">
        <v>2815</v>
      </c>
      <c r="L237" s="3" t="s">
        <v>348</v>
      </c>
      <c r="M237" s="3"/>
      <c r="N237" s="3"/>
      <c r="O237" s="4"/>
      <c r="P237" s="3" t="s">
        <v>2816</v>
      </c>
      <c r="Q237" s="3" t="s">
        <v>2284</v>
      </c>
      <c r="R237" s="3" t="s">
        <v>2539</v>
      </c>
      <c r="S237" s="3" t="s">
        <v>1067</v>
      </c>
      <c r="T237" s="4" t="s">
        <v>412</v>
      </c>
      <c r="U237" s="3"/>
      <c r="V237" s="5" t="n">
        <v>9.4</v>
      </c>
      <c r="W237" s="3" t="s">
        <v>2393</v>
      </c>
      <c r="X237" s="3" t="s">
        <v>2817</v>
      </c>
      <c r="Y237" s="3" t="s">
        <v>2818</v>
      </c>
      <c r="Z237" s="3" t="s">
        <v>2819</v>
      </c>
      <c r="AA237" s="3" t="s">
        <v>2792</v>
      </c>
      <c r="AB237" s="3" t="s">
        <v>1102</v>
      </c>
      <c r="AC237" s="3" t="s">
        <v>2820</v>
      </c>
      <c r="AD237" s="3" t="s">
        <v>2821</v>
      </c>
      <c r="AE237" s="4" t="s">
        <v>53</v>
      </c>
    </row>
    <row r="238" customFormat="false" ht="15" hidden="false" customHeight="true" outlineLevel="0" collapsed="false">
      <c r="A238" s="3" t="s">
        <v>2822</v>
      </c>
      <c r="B238" s="3" t="s">
        <v>1091</v>
      </c>
      <c r="C238" s="3" t="s">
        <v>2823</v>
      </c>
      <c r="D238" s="3" t="s">
        <v>2212</v>
      </c>
      <c r="E238" s="3" t="s">
        <v>258</v>
      </c>
      <c r="F238" s="4" t="s">
        <v>86</v>
      </c>
      <c r="G238" s="3" t="s">
        <v>2824</v>
      </c>
      <c r="H238" s="3" t="s">
        <v>2825</v>
      </c>
      <c r="I238" s="3" t="s">
        <v>2826</v>
      </c>
      <c r="J238" s="3" t="s">
        <v>2827</v>
      </c>
      <c r="K238" s="3" t="s">
        <v>2828</v>
      </c>
      <c r="L238" s="3" t="s">
        <v>2596</v>
      </c>
      <c r="M238" s="3"/>
      <c r="N238" s="3"/>
      <c r="O238" s="4"/>
      <c r="P238" s="3" t="s">
        <v>2829</v>
      </c>
      <c r="Q238" s="3" t="s">
        <v>2774</v>
      </c>
      <c r="R238" s="3" t="s">
        <v>285</v>
      </c>
      <c r="S238" s="3"/>
      <c r="T238" s="4" t="s">
        <v>50</v>
      </c>
      <c r="U238" s="3"/>
      <c r="V238" s="5" t="n">
        <v>9.4</v>
      </c>
      <c r="W238" s="3" t="s">
        <v>2393</v>
      </c>
      <c r="X238" s="3" t="s">
        <v>2830</v>
      </c>
      <c r="Y238" s="3" t="s">
        <v>2831</v>
      </c>
      <c r="Z238" s="3" t="s">
        <v>2832</v>
      </c>
      <c r="AA238" s="3" t="s">
        <v>2833</v>
      </c>
      <c r="AB238" s="3" t="s">
        <v>2834</v>
      </c>
      <c r="AC238" s="3" t="s">
        <v>2261</v>
      </c>
      <c r="AD238" s="3" t="s">
        <v>2835</v>
      </c>
      <c r="AE238" s="4" t="s">
        <v>53</v>
      </c>
    </row>
    <row r="239" customFormat="false" ht="15" hidden="false" customHeight="true" outlineLevel="0" collapsed="false">
      <c r="A239" s="3" t="s">
        <v>2836</v>
      </c>
      <c r="B239" s="3" t="s">
        <v>1091</v>
      </c>
      <c r="C239" s="3" t="s">
        <v>2837</v>
      </c>
      <c r="D239" s="3" t="s">
        <v>2212</v>
      </c>
      <c r="E239" s="3" t="s">
        <v>258</v>
      </c>
      <c r="F239" s="4" t="s">
        <v>86</v>
      </c>
      <c r="G239" s="3" t="s">
        <v>2838</v>
      </c>
      <c r="H239" s="3" t="s">
        <v>2839</v>
      </c>
      <c r="I239" s="3" t="s">
        <v>2840</v>
      </c>
      <c r="J239" s="3" t="s">
        <v>2841</v>
      </c>
      <c r="K239" s="3" t="s">
        <v>2842</v>
      </c>
      <c r="L239" s="3" t="s">
        <v>348</v>
      </c>
      <c r="M239" s="3"/>
      <c r="N239" s="3"/>
      <c r="O239" s="4"/>
      <c r="P239" s="3" t="s">
        <v>170</v>
      </c>
      <c r="Q239" s="3" t="s">
        <v>2538</v>
      </c>
      <c r="R239" s="3" t="s">
        <v>2539</v>
      </c>
      <c r="S239" s="3"/>
      <c r="T239" s="4" t="s">
        <v>412</v>
      </c>
      <c r="U239" s="3"/>
      <c r="V239" s="5" t="n">
        <v>9.8</v>
      </c>
      <c r="W239" s="3" t="s">
        <v>2393</v>
      </c>
      <c r="X239" s="3" t="s">
        <v>2843</v>
      </c>
      <c r="Y239" s="3" t="s">
        <v>2844</v>
      </c>
      <c r="Z239" s="3" t="s">
        <v>2845</v>
      </c>
      <c r="AA239" s="3" t="s">
        <v>2846</v>
      </c>
      <c r="AB239" s="3" t="s">
        <v>1102</v>
      </c>
      <c r="AC239" s="3" t="s">
        <v>2261</v>
      </c>
      <c r="AD239" s="3" t="s">
        <v>2847</v>
      </c>
      <c r="AE239" s="4" t="s">
        <v>53</v>
      </c>
    </row>
    <row r="240" customFormat="false" ht="15" hidden="false" customHeight="true" outlineLevel="0" collapsed="false">
      <c r="A240" s="3" t="s">
        <v>2848</v>
      </c>
      <c r="B240" s="3" t="s">
        <v>1091</v>
      </c>
      <c r="C240" s="3" t="s">
        <v>2849</v>
      </c>
      <c r="D240" s="3" t="s">
        <v>2212</v>
      </c>
      <c r="E240" s="3" t="s">
        <v>258</v>
      </c>
      <c r="F240" s="4" t="s">
        <v>86</v>
      </c>
      <c r="G240" s="3" t="s">
        <v>2850</v>
      </c>
      <c r="H240" s="3" t="s">
        <v>2851</v>
      </c>
      <c r="I240" s="3" t="s">
        <v>2852</v>
      </c>
      <c r="J240" s="3" t="s">
        <v>2853</v>
      </c>
      <c r="K240" s="3" t="s">
        <v>2854</v>
      </c>
      <c r="L240" s="3" t="s">
        <v>348</v>
      </c>
      <c r="M240" s="3"/>
      <c r="N240" s="3"/>
      <c r="O240" s="4"/>
      <c r="P240" s="3" t="s">
        <v>1166</v>
      </c>
      <c r="Q240" s="3" t="s">
        <v>2538</v>
      </c>
      <c r="R240" s="3" t="s">
        <v>2539</v>
      </c>
      <c r="S240" s="3" t="s">
        <v>1067</v>
      </c>
      <c r="T240" s="4" t="s">
        <v>412</v>
      </c>
      <c r="U240" s="3"/>
      <c r="V240" s="5" t="n">
        <v>9.8</v>
      </c>
      <c r="W240" s="3" t="s">
        <v>2393</v>
      </c>
      <c r="X240" s="3" t="s">
        <v>2855</v>
      </c>
      <c r="Y240" s="3" t="s">
        <v>2856</v>
      </c>
      <c r="Z240" s="3" t="s">
        <v>2224</v>
      </c>
      <c r="AA240" s="3" t="s">
        <v>2857</v>
      </c>
      <c r="AB240" s="3" t="s">
        <v>1135</v>
      </c>
      <c r="AC240" s="3" t="s">
        <v>2430</v>
      </c>
      <c r="AD240" s="3" t="s">
        <v>2858</v>
      </c>
      <c r="AE240" s="4" t="s">
        <v>53</v>
      </c>
    </row>
    <row r="241" customFormat="false" ht="15" hidden="false" customHeight="true" outlineLevel="0" collapsed="false">
      <c r="A241" s="3" t="s">
        <v>2859</v>
      </c>
      <c r="B241" s="3" t="s">
        <v>1091</v>
      </c>
      <c r="C241" s="3" t="s">
        <v>2860</v>
      </c>
      <c r="D241" s="3" t="s">
        <v>2212</v>
      </c>
      <c r="E241" s="3" t="s">
        <v>189</v>
      </c>
      <c r="F241" s="4" t="s">
        <v>86</v>
      </c>
      <c r="G241" s="3" t="s">
        <v>2861</v>
      </c>
      <c r="H241" s="3" t="s">
        <v>2862</v>
      </c>
      <c r="I241" s="3" t="s">
        <v>2863</v>
      </c>
      <c r="J241" s="3" t="s">
        <v>2864</v>
      </c>
      <c r="K241" s="3" t="s">
        <v>2865</v>
      </c>
      <c r="L241" s="3" t="s">
        <v>2596</v>
      </c>
      <c r="M241" s="3"/>
      <c r="N241" s="3"/>
      <c r="O241" s="4"/>
      <c r="P241" s="3" t="s">
        <v>2866</v>
      </c>
      <c r="Q241" s="3" t="s">
        <v>2409</v>
      </c>
      <c r="R241" s="3" t="s">
        <v>285</v>
      </c>
      <c r="S241" s="3" t="s">
        <v>1067</v>
      </c>
      <c r="T241" s="4" t="s">
        <v>50</v>
      </c>
      <c r="U241" s="3"/>
      <c r="V241" s="5" t="n">
        <v>9.4</v>
      </c>
      <c r="W241" s="3" t="s">
        <v>2867</v>
      </c>
      <c r="X241" s="3" t="s">
        <v>2868</v>
      </c>
      <c r="Y241" s="3" t="s">
        <v>2869</v>
      </c>
      <c r="Z241" s="3" t="s">
        <v>2870</v>
      </c>
      <c r="AA241" s="3" t="s">
        <v>2871</v>
      </c>
      <c r="AB241" s="3" t="s">
        <v>2872</v>
      </c>
      <c r="AC241" s="3" t="s">
        <v>2873</v>
      </c>
      <c r="AD241" s="3" t="s">
        <v>2874</v>
      </c>
      <c r="AE241" s="4" t="s">
        <v>53</v>
      </c>
    </row>
    <row r="242" customFormat="false" ht="15" hidden="false" customHeight="true" outlineLevel="0" collapsed="false">
      <c r="A242" s="3" t="s">
        <v>2875</v>
      </c>
      <c r="B242" s="3" t="s">
        <v>1091</v>
      </c>
      <c r="C242" s="3" t="s">
        <v>2876</v>
      </c>
      <c r="D242" s="3" t="s">
        <v>2212</v>
      </c>
      <c r="E242" s="3" t="s">
        <v>189</v>
      </c>
      <c r="F242" s="4" t="s">
        <v>86</v>
      </c>
      <c r="G242" s="3" t="s">
        <v>2877</v>
      </c>
      <c r="H242" s="3" t="s">
        <v>2878</v>
      </c>
      <c r="I242" s="3" t="s">
        <v>2879</v>
      </c>
      <c r="J242" s="3" t="s">
        <v>2880</v>
      </c>
      <c r="K242" s="3" t="s">
        <v>2881</v>
      </c>
      <c r="L242" s="3" t="s">
        <v>2596</v>
      </c>
      <c r="M242" s="3"/>
      <c r="N242" s="3"/>
      <c r="O242" s="4"/>
      <c r="P242" s="3" t="s">
        <v>2882</v>
      </c>
      <c r="Q242" s="3" t="s">
        <v>2683</v>
      </c>
      <c r="R242" s="3" t="s">
        <v>285</v>
      </c>
      <c r="S242" s="3" t="s">
        <v>1067</v>
      </c>
      <c r="T242" s="4" t="s">
        <v>50</v>
      </c>
      <c r="U242" s="3"/>
      <c r="V242" s="5" t="n">
        <v>9.3</v>
      </c>
      <c r="W242" s="3" t="s">
        <v>2883</v>
      </c>
      <c r="X242" s="3" t="s">
        <v>2884</v>
      </c>
      <c r="Y242" s="3" t="s">
        <v>2885</v>
      </c>
      <c r="Z242" s="3" t="s">
        <v>2886</v>
      </c>
      <c r="AA242" s="3" t="s">
        <v>2887</v>
      </c>
      <c r="AB242" s="3" t="s">
        <v>2888</v>
      </c>
      <c r="AC242" s="3" t="s">
        <v>2889</v>
      </c>
      <c r="AD242" s="3" t="s">
        <v>2890</v>
      </c>
      <c r="AE242" s="4" t="s">
        <v>53</v>
      </c>
    </row>
    <row r="243" customFormat="false" ht="15" hidden="false" customHeight="true" outlineLevel="0" collapsed="false">
      <c r="A243" s="3" t="s">
        <v>2891</v>
      </c>
      <c r="B243" s="3" t="s">
        <v>1091</v>
      </c>
      <c r="C243" s="3" t="s">
        <v>2892</v>
      </c>
      <c r="D243" s="3" t="s">
        <v>2212</v>
      </c>
      <c r="E243" s="3" t="s">
        <v>258</v>
      </c>
      <c r="F243" s="4" t="s">
        <v>86</v>
      </c>
      <c r="G243" s="3" t="s">
        <v>2893</v>
      </c>
      <c r="H243" s="3" t="s">
        <v>2894</v>
      </c>
      <c r="I243" s="3" t="s">
        <v>2895</v>
      </c>
      <c r="J243" s="3" t="s">
        <v>2896</v>
      </c>
      <c r="K243" s="3" t="s">
        <v>2897</v>
      </c>
      <c r="L243" s="3" t="s">
        <v>348</v>
      </c>
      <c r="M243" s="3"/>
      <c r="N243" s="3"/>
      <c r="O243" s="4"/>
      <c r="P243" s="3" t="s">
        <v>1166</v>
      </c>
      <c r="Q243" s="3" t="s">
        <v>2409</v>
      </c>
      <c r="R243" s="3" t="s">
        <v>285</v>
      </c>
      <c r="S243" s="3"/>
      <c r="T243" s="4" t="s">
        <v>412</v>
      </c>
      <c r="U243" s="3"/>
      <c r="V243" s="5" t="n">
        <v>9.2</v>
      </c>
      <c r="W243" s="3" t="s">
        <v>2898</v>
      </c>
      <c r="X243" s="3" t="s">
        <v>2899</v>
      </c>
      <c r="Y243" s="3" t="s">
        <v>2900</v>
      </c>
      <c r="Z243" s="3" t="s">
        <v>2901</v>
      </c>
      <c r="AA243" s="3" t="s">
        <v>2902</v>
      </c>
      <c r="AB243" s="3" t="s">
        <v>2903</v>
      </c>
      <c r="AC243" s="3" t="s">
        <v>2904</v>
      </c>
      <c r="AD243" s="3" t="s">
        <v>2905</v>
      </c>
      <c r="AE243" s="4" t="s">
        <v>53</v>
      </c>
    </row>
    <row r="244" customFormat="false" ht="15" hidden="false" customHeight="true" outlineLevel="0" collapsed="false">
      <c r="A244" s="3" t="s">
        <v>2906</v>
      </c>
      <c r="B244" s="3" t="s">
        <v>1091</v>
      </c>
      <c r="C244" s="3" t="s">
        <v>2907</v>
      </c>
      <c r="D244" s="3" t="s">
        <v>2212</v>
      </c>
      <c r="E244" s="3" t="s">
        <v>258</v>
      </c>
      <c r="F244" s="4" t="s">
        <v>86</v>
      </c>
      <c r="G244" s="3" t="s">
        <v>2908</v>
      </c>
      <c r="H244" s="3" t="s">
        <v>2909</v>
      </c>
      <c r="I244" s="3" t="s">
        <v>2910</v>
      </c>
      <c r="J244" s="3" t="s">
        <v>2911</v>
      </c>
      <c r="K244" s="3" t="s">
        <v>2912</v>
      </c>
      <c r="L244" s="3" t="s">
        <v>348</v>
      </c>
      <c r="M244" s="3"/>
      <c r="N244" s="3"/>
      <c r="O244" s="4"/>
      <c r="P244" s="3" t="s">
        <v>170</v>
      </c>
      <c r="Q244" s="3" t="s">
        <v>2409</v>
      </c>
      <c r="R244" s="3" t="s">
        <v>285</v>
      </c>
      <c r="S244" s="3"/>
      <c r="T244" s="4" t="s">
        <v>412</v>
      </c>
      <c r="U244" s="3"/>
      <c r="V244" s="5" t="n">
        <v>9.2</v>
      </c>
      <c r="W244" s="3" t="s">
        <v>2898</v>
      </c>
      <c r="X244" s="3" t="s">
        <v>2913</v>
      </c>
      <c r="Y244" s="3" t="s">
        <v>2914</v>
      </c>
      <c r="Z244" s="3" t="s">
        <v>2915</v>
      </c>
      <c r="AA244" s="3" t="s">
        <v>2916</v>
      </c>
      <c r="AB244" s="3" t="s">
        <v>2917</v>
      </c>
      <c r="AC244" s="3" t="s">
        <v>2261</v>
      </c>
      <c r="AD244" s="3" t="s">
        <v>2918</v>
      </c>
      <c r="AE244" s="4" t="s">
        <v>53</v>
      </c>
    </row>
    <row r="245" customFormat="false" ht="15" hidden="false" customHeight="true" outlineLevel="0" collapsed="false">
      <c r="A245" s="3" t="s">
        <v>2919</v>
      </c>
      <c r="B245" s="3" t="s">
        <v>1091</v>
      </c>
      <c r="C245" s="3" t="s">
        <v>2920</v>
      </c>
      <c r="D245" s="3" t="s">
        <v>2212</v>
      </c>
      <c r="E245" s="3" t="s">
        <v>258</v>
      </c>
      <c r="F245" s="4" t="s">
        <v>86</v>
      </c>
      <c r="G245" s="3" t="s">
        <v>2921</v>
      </c>
      <c r="H245" s="3" t="s">
        <v>2922</v>
      </c>
      <c r="I245" s="3" t="s">
        <v>2923</v>
      </c>
      <c r="J245" s="3" t="s">
        <v>2924</v>
      </c>
      <c r="K245" s="3" t="s">
        <v>2925</v>
      </c>
      <c r="L245" s="3" t="s">
        <v>2698</v>
      </c>
      <c r="M245" s="3"/>
      <c r="N245" s="3"/>
      <c r="O245" s="4"/>
      <c r="P245" s="3" t="s">
        <v>1166</v>
      </c>
      <c r="Q245" s="3" t="s">
        <v>2926</v>
      </c>
      <c r="R245" s="3" t="s">
        <v>96</v>
      </c>
      <c r="S245" s="3"/>
      <c r="T245" s="4" t="s">
        <v>412</v>
      </c>
      <c r="U245" s="3"/>
      <c r="V245" s="5" t="n">
        <v>9.5</v>
      </c>
      <c r="W245" s="3" t="s">
        <v>2927</v>
      </c>
      <c r="X245" s="3" t="s">
        <v>2928</v>
      </c>
      <c r="Y245" s="3" t="s">
        <v>2929</v>
      </c>
      <c r="Z245" s="3" t="s">
        <v>2930</v>
      </c>
      <c r="AA245" s="3" t="s">
        <v>2931</v>
      </c>
      <c r="AB245" s="3" t="s">
        <v>2932</v>
      </c>
      <c r="AC245" s="3" t="s">
        <v>2933</v>
      </c>
      <c r="AD245" s="3" t="s">
        <v>2934</v>
      </c>
      <c r="AE245" s="4" t="s">
        <v>53</v>
      </c>
    </row>
    <row r="246" customFormat="false" ht="15" hidden="false" customHeight="true" outlineLevel="0" collapsed="false">
      <c r="A246" s="3" t="s">
        <v>2935</v>
      </c>
      <c r="B246" s="3" t="s">
        <v>1091</v>
      </c>
      <c r="C246" s="3" t="s">
        <v>2936</v>
      </c>
      <c r="D246" s="3" t="s">
        <v>2212</v>
      </c>
      <c r="E246" s="3" t="s">
        <v>258</v>
      </c>
      <c r="F246" s="4" t="s">
        <v>86</v>
      </c>
      <c r="G246" s="3" t="s">
        <v>2937</v>
      </c>
      <c r="H246" s="3" t="s">
        <v>2938</v>
      </c>
      <c r="I246" s="3" t="s">
        <v>2939</v>
      </c>
      <c r="J246" s="3" t="s">
        <v>2940</v>
      </c>
      <c r="K246" s="3" t="s">
        <v>2941</v>
      </c>
      <c r="L246" s="3" t="s">
        <v>2698</v>
      </c>
      <c r="M246" s="3"/>
      <c r="N246" s="3"/>
      <c r="O246" s="4"/>
      <c r="P246" s="3" t="s">
        <v>2942</v>
      </c>
      <c r="Q246" s="3" t="s">
        <v>2943</v>
      </c>
      <c r="R246" s="3" t="s">
        <v>96</v>
      </c>
      <c r="S246" s="3" t="s">
        <v>1067</v>
      </c>
      <c r="T246" s="4" t="s">
        <v>412</v>
      </c>
      <c r="U246" s="3"/>
      <c r="V246" s="5" t="n">
        <v>9.1</v>
      </c>
      <c r="W246" s="3" t="s">
        <v>2944</v>
      </c>
      <c r="X246" s="3" t="s">
        <v>2945</v>
      </c>
      <c r="Y246" s="3" t="s">
        <v>2946</v>
      </c>
      <c r="Z246" s="3" t="s">
        <v>2947</v>
      </c>
      <c r="AA246" s="3" t="s">
        <v>2764</v>
      </c>
      <c r="AB246" s="3" t="s">
        <v>1135</v>
      </c>
      <c r="AC246" s="3" t="s">
        <v>2948</v>
      </c>
      <c r="AD246" s="3" t="s">
        <v>2949</v>
      </c>
      <c r="AE246" s="4" t="s">
        <v>53</v>
      </c>
    </row>
    <row r="247" customFormat="false" ht="15" hidden="false" customHeight="true" outlineLevel="0" collapsed="false">
      <c r="A247" s="3" t="s">
        <v>2950</v>
      </c>
      <c r="B247" s="3" t="s">
        <v>1091</v>
      </c>
      <c r="C247" s="3" t="s">
        <v>2951</v>
      </c>
      <c r="D247" s="3" t="s">
        <v>2212</v>
      </c>
      <c r="E247" s="3" t="s">
        <v>258</v>
      </c>
      <c r="F247" s="4" t="s">
        <v>86</v>
      </c>
      <c r="G247" s="3" t="s">
        <v>2952</v>
      </c>
      <c r="H247" s="3" t="s">
        <v>2953</v>
      </c>
      <c r="I247" s="3" t="s">
        <v>2954</v>
      </c>
      <c r="J247" s="3" t="s">
        <v>2955</v>
      </c>
      <c r="K247" s="3" t="s">
        <v>2956</v>
      </c>
      <c r="L247" s="3" t="s">
        <v>348</v>
      </c>
      <c r="M247" s="3"/>
      <c r="N247" s="3"/>
      <c r="O247" s="4"/>
      <c r="P247" s="3" t="s">
        <v>1166</v>
      </c>
      <c r="Q247" s="3" t="s">
        <v>2581</v>
      </c>
      <c r="R247" s="3" t="s">
        <v>285</v>
      </c>
      <c r="S247" s="3" t="s">
        <v>1067</v>
      </c>
      <c r="T247" s="4" t="s">
        <v>412</v>
      </c>
      <c r="U247" s="3"/>
      <c r="V247" s="5" t="n">
        <v>9</v>
      </c>
      <c r="W247" s="3" t="s">
        <v>2957</v>
      </c>
      <c r="X247" s="3" t="s">
        <v>2958</v>
      </c>
      <c r="Y247" s="3" t="s">
        <v>2959</v>
      </c>
      <c r="Z247" s="3" t="s">
        <v>2960</v>
      </c>
      <c r="AA247" s="3" t="s">
        <v>2792</v>
      </c>
      <c r="AB247" s="3" t="s">
        <v>2961</v>
      </c>
      <c r="AC247" s="3" t="s">
        <v>2962</v>
      </c>
      <c r="AD247" s="3" t="s">
        <v>2963</v>
      </c>
      <c r="AE247" s="4" t="s">
        <v>53</v>
      </c>
    </row>
    <row r="248" customFormat="false" ht="15" hidden="false" customHeight="true" outlineLevel="0" collapsed="false">
      <c r="A248" s="3" t="s">
        <v>2964</v>
      </c>
      <c r="B248" s="3" t="s">
        <v>1091</v>
      </c>
      <c r="C248" s="3" t="s">
        <v>2965</v>
      </c>
      <c r="D248" s="3" t="s">
        <v>2212</v>
      </c>
      <c r="E248" s="3" t="s">
        <v>258</v>
      </c>
      <c r="F248" s="4" t="s">
        <v>86</v>
      </c>
      <c r="G248" s="3" t="s">
        <v>2966</v>
      </c>
      <c r="H248" s="3" t="s">
        <v>2967</v>
      </c>
      <c r="I248" s="3" t="s">
        <v>2968</v>
      </c>
      <c r="J248" s="3" t="s">
        <v>2969</v>
      </c>
      <c r="K248" s="3" t="s">
        <v>2970</v>
      </c>
      <c r="L248" s="3" t="s">
        <v>348</v>
      </c>
      <c r="M248" s="3"/>
      <c r="N248" s="3"/>
      <c r="O248" s="4"/>
      <c r="P248" s="3" t="s">
        <v>1166</v>
      </c>
      <c r="Q248" s="3" t="s">
        <v>2581</v>
      </c>
      <c r="R248" s="3" t="s">
        <v>285</v>
      </c>
      <c r="S248" s="3" t="s">
        <v>1067</v>
      </c>
      <c r="T248" s="4" t="s">
        <v>412</v>
      </c>
      <c r="U248" s="3"/>
      <c r="V248" s="5" t="n">
        <v>9</v>
      </c>
      <c r="W248" s="3" t="s">
        <v>2957</v>
      </c>
      <c r="X248" s="3" t="s">
        <v>2971</v>
      </c>
      <c r="Y248" s="3" t="s">
        <v>2972</v>
      </c>
      <c r="Z248" s="3" t="s">
        <v>2973</v>
      </c>
      <c r="AA248" s="3" t="s">
        <v>2792</v>
      </c>
      <c r="AB248" s="3" t="s">
        <v>2974</v>
      </c>
      <c r="AC248" s="3" t="s">
        <v>2975</v>
      </c>
      <c r="AD248" s="3" t="s">
        <v>2976</v>
      </c>
      <c r="AE248" s="4" t="s">
        <v>53</v>
      </c>
    </row>
    <row r="249" customFormat="false" ht="15" hidden="false" customHeight="true" outlineLevel="0" collapsed="false">
      <c r="A249" s="3" t="s">
        <v>2977</v>
      </c>
      <c r="B249" s="3" t="s">
        <v>1091</v>
      </c>
      <c r="C249" s="3" t="s">
        <v>2978</v>
      </c>
      <c r="D249" s="3" t="s">
        <v>2212</v>
      </c>
      <c r="E249" s="3" t="s">
        <v>258</v>
      </c>
      <c r="F249" s="4" t="s">
        <v>86</v>
      </c>
      <c r="G249" s="3" t="s">
        <v>2979</v>
      </c>
      <c r="H249" s="3" t="s">
        <v>2980</v>
      </c>
      <c r="I249" s="3" t="s">
        <v>2981</v>
      </c>
      <c r="J249" s="3" t="s">
        <v>2982</v>
      </c>
      <c r="K249" s="3" t="s">
        <v>2983</v>
      </c>
      <c r="L249" s="3" t="s">
        <v>2698</v>
      </c>
      <c r="M249" s="3"/>
      <c r="N249" s="3"/>
      <c r="O249" s="4"/>
      <c r="P249" s="3" t="s">
        <v>79</v>
      </c>
      <c r="Q249" s="3" t="s">
        <v>2984</v>
      </c>
      <c r="R249" s="3" t="s">
        <v>285</v>
      </c>
      <c r="S249" s="3" t="s">
        <v>1067</v>
      </c>
      <c r="T249" s="4" t="s">
        <v>412</v>
      </c>
      <c r="U249" s="3"/>
      <c r="V249" s="5" t="n">
        <v>7.2</v>
      </c>
      <c r="W249" s="3" t="s">
        <v>2285</v>
      </c>
      <c r="X249" s="3" t="s">
        <v>2985</v>
      </c>
      <c r="Y249" s="3" t="s">
        <v>2986</v>
      </c>
      <c r="Z249" s="3" t="s">
        <v>2987</v>
      </c>
      <c r="AA249" s="3" t="s">
        <v>2887</v>
      </c>
      <c r="AB249" s="3" t="s">
        <v>2988</v>
      </c>
      <c r="AC249" s="3" t="s">
        <v>2989</v>
      </c>
      <c r="AD249" s="3" t="s">
        <v>2990</v>
      </c>
      <c r="AE249" s="4" t="s">
        <v>53</v>
      </c>
    </row>
    <row r="250" customFormat="false" ht="15" hidden="false" customHeight="true" outlineLevel="0" collapsed="false">
      <c r="A250" s="3" t="s">
        <v>2991</v>
      </c>
      <c r="B250" s="3" t="s">
        <v>1091</v>
      </c>
      <c r="C250" s="3" t="s">
        <v>2992</v>
      </c>
      <c r="D250" s="3" t="s">
        <v>2212</v>
      </c>
      <c r="E250" s="3" t="s">
        <v>258</v>
      </c>
      <c r="F250" s="4" t="s">
        <v>86</v>
      </c>
      <c r="G250" s="3" t="s">
        <v>2993</v>
      </c>
      <c r="H250" s="3" t="s">
        <v>2994</v>
      </c>
      <c r="I250" s="3" t="s">
        <v>2995</v>
      </c>
      <c r="J250" s="3" t="s">
        <v>2996</v>
      </c>
      <c r="K250" s="3" t="s">
        <v>2997</v>
      </c>
      <c r="L250" s="3" t="s">
        <v>2698</v>
      </c>
      <c r="M250" s="3"/>
      <c r="N250" s="3"/>
      <c r="O250" s="4"/>
      <c r="P250" s="3" t="s">
        <v>79</v>
      </c>
      <c r="Q250" s="3" t="s">
        <v>2998</v>
      </c>
      <c r="R250" s="3" t="s">
        <v>285</v>
      </c>
      <c r="S250" s="3" t="s">
        <v>1067</v>
      </c>
      <c r="T250" s="4" t="s">
        <v>412</v>
      </c>
      <c r="U250" s="3"/>
      <c r="V250" s="5" t="n">
        <v>9.8</v>
      </c>
      <c r="W250" s="3" t="s">
        <v>2393</v>
      </c>
      <c r="X250" s="3" t="s">
        <v>2999</v>
      </c>
      <c r="Y250" s="3" t="s">
        <v>3000</v>
      </c>
      <c r="Z250" s="3" t="s">
        <v>3001</v>
      </c>
      <c r="AA250" s="3" t="s">
        <v>3002</v>
      </c>
      <c r="AB250" s="3" t="s">
        <v>3003</v>
      </c>
      <c r="AC250" s="3" t="s">
        <v>3004</v>
      </c>
      <c r="AD250" s="3" t="s">
        <v>3005</v>
      </c>
      <c r="AE250" s="4" t="s">
        <v>53</v>
      </c>
    </row>
    <row r="251" customFormat="false" ht="15" hidden="false" customHeight="true" outlineLevel="0" collapsed="false">
      <c r="A251" s="3" t="s">
        <v>3006</v>
      </c>
      <c r="B251" s="3" t="s">
        <v>1091</v>
      </c>
      <c r="C251" s="3" t="s">
        <v>3007</v>
      </c>
      <c r="D251" s="3" t="s">
        <v>2212</v>
      </c>
      <c r="E251" s="3" t="s">
        <v>258</v>
      </c>
      <c r="F251" s="4" t="s">
        <v>86</v>
      </c>
      <c r="G251" s="3" t="s">
        <v>3008</v>
      </c>
      <c r="H251" s="3" t="s">
        <v>3009</v>
      </c>
      <c r="I251" s="3" t="s">
        <v>3010</v>
      </c>
      <c r="J251" s="3" t="s">
        <v>3011</v>
      </c>
      <c r="K251" s="3" t="s">
        <v>3012</v>
      </c>
      <c r="L251" s="3" t="s">
        <v>2698</v>
      </c>
      <c r="M251" s="3"/>
      <c r="N251" s="3"/>
      <c r="O251" s="4"/>
      <c r="P251" s="3" t="s">
        <v>79</v>
      </c>
      <c r="Q251" s="3" t="s">
        <v>95</v>
      </c>
      <c r="R251" s="3" t="s">
        <v>96</v>
      </c>
      <c r="S251" s="3"/>
      <c r="T251" s="4" t="s">
        <v>412</v>
      </c>
      <c r="U251" s="3"/>
      <c r="V251" s="5" t="n">
        <v>10</v>
      </c>
      <c r="W251" s="3" t="s">
        <v>2221</v>
      </c>
      <c r="X251" s="3" t="s">
        <v>3013</v>
      </c>
      <c r="Y251" s="3" t="s">
        <v>3014</v>
      </c>
      <c r="Z251" s="3" t="s">
        <v>3015</v>
      </c>
      <c r="AA251" s="3" t="s">
        <v>3016</v>
      </c>
      <c r="AB251" s="3" t="s">
        <v>3017</v>
      </c>
      <c r="AC251" s="3" t="s">
        <v>3018</v>
      </c>
      <c r="AD251" s="3" t="s">
        <v>3019</v>
      </c>
      <c r="AE251" s="4" t="s">
        <v>53</v>
      </c>
    </row>
    <row r="252" customFormat="false" ht="15" hidden="false" customHeight="true" outlineLevel="0" collapsed="false">
      <c r="A252" s="3" t="s">
        <v>3020</v>
      </c>
      <c r="B252" s="3" t="s">
        <v>1091</v>
      </c>
      <c r="C252" s="3" t="s">
        <v>3021</v>
      </c>
      <c r="D252" s="3" t="s">
        <v>2212</v>
      </c>
      <c r="E252" s="3" t="s">
        <v>258</v>
      </c>
      <c r="F252" s="4" t="s">
        <v>86</v>
      </c>
      <c r="G252" s="3" t="s">
        <v>3022</v>
      </c>
      <c r="H252" s="3" t="s">
        <v>3023</v>
      </c>
      <c r="I252" s="3" t="s">
        <v>3024</v>
      </c>
      <c r="J252" s="3" t="s">
        <v>3025</v>
      </c>
      <c r="K252" s="3" t="s">
        <v>3026</v>
      </c>
      <c r="L252" s="3" t="s">
        <v>2698</v>
      </c>
      <c r="M252" s="3"/>
      <c r="N252" s="3"/>
      <c r="O252" s="4"/>
      <c r="P252" s="3" t="s">
        <v>1166</v>
      </c>
      <c r="Q252" s="3" t="s">
        <v>3027</v>
      </c>
      <c r="R252" s="3" t="s">
        <v>96</v>
      </c>
      <c r="S252" s="3" t="s">
        <v>1067</v>
      </c>
      <c r="T252" s="4" t="s">
        <v>412</v>
      </c>
      <c r="U252" s="3"/>
      <c r="V252" s="5" t="n">
        <v>10</v>
      </c>
      <c r="W252" s="3" t="s">
        <v>2221</v>
      </c>
      <c r="X252" s="3" t="s">
        <v>3028</v>
      </c>
      <c r="Y252" s="3" t="s">
        <v>3029</v>
      </c>
      <c r="Z252" s="3" t="s">
        <v>3030</v>
      </c>
      <c r="AA252" s="3" t="s">
        <v>2887</v>
      </c>
      <c r="AB252" s="3" t="s">
        <v>1135</v>
      </c>
      <c r="AC252" s="3" t="s">
        <v>3031</v>
      </c>
      <c r="AD252" s="3" t="s">
        <v>3032</v>
      </c>
      <c r="AE252" s="4" t="s">
        <v>53</v>
      </c>
    </row>
    <row r="253" customFormat="false" ht="15" hidden="false" customHeight="true" outlineLevel="0" collapsed="false">
      <c r="A253" s="3" t="s">
        <v>3033</v>
      </c>
      <c r="B253" s="3" t="s">
        <v>1091</v>
      </c>
      <c r="C253" s="3" t="s">
        <v>3034</v>
      </c>
      <c r="D253" s="3" t="s">
        <v>2212</v>
      </c>
      <c r="E253" s="3" t="s">
        <v>258</v>
      </c>
      <c r="F253" s="4" t="s">
        <v>86</v>
      </c>
      <c r="G253" s="3" t="s">
        <v>3035</v>
      </c>
      <c r="H253" s="3" t="s">
        <v>3036</v>
      </c>
      <c r="I253" s="3" t="s">
        <v>3037</v>
      </c>
      <c r="J253" s="3" t="s">
        <v>3038</v>
      </c>
      <c r="K253" s="3" t="s">
        <v>3039</v>
      </c>
      <c r="L253" s="3" t="s">
        <v>2596</v>
      </c>
      <c r="M253" s="3"/>
      <c r="N253" s="3"/>
      <c r="O253" s="4"/>
      <c r="P253" s="3" t="s">
        <v>1166</v>
      </c>
      <c r="Q253" s="3" t="s">
        <v>1056</v>
      </c>
      <c r="R253" s="3" t="s">
        <v>285</v>
      </c>
      <c r="S253" s="3" t="s">
        <v>1067</v>
      </c>
      <c r="T253" s="4" t="s">
        <v>412</v>
      </c>
      <c r="U253" s="3"/>
      <c r="V253" s="5" t="n">
        <v>9.3</v>
      </c>
      <c r="W253" s="3" t="s">
        <v>3040</v>
      </c>
      <c r="X253" s="3" t="s">
        <v>3041</v>
      </c>
      <c r="Y253" s="3" t="s">
        <v>3042</v>
      </c>
      <c r="Z253" s="3" t="s">
        <v>3043</v>
      </c>
      <c r="AA253" s="3" t="s">
        <v>2887</v>
      </c>
      <c r="AB253" s="3" t="s">
        <v>3044</v>
      </c>
      <c r="AC253" s="3" t="s">
        <v>3045</v>
      </c>
      <c r="AD253" s="3" t="s">
        <v>3046</v>
      </c>
      <c r="AE253" s="4" t="s">
        <v>53</v>
      </c>
    </row>
    <row r="254" customFormat="false" ht="15" hidden="false" customHeight="true" outlineLevel="0" collapsed="false">
      <c r="A254" s="3" t="s">
        <v>3047</v>
      </c>
      <c r="B254" s="3" t="s">
        <v>1091</v>
      </c>
      <c r="C254" s="3" t="s">
        <v>3048</v>
      </c>
      <c r="D254" s="3" t="s">
        <v>2212</v>
      </c>
      <c r="E254" s="3" t="s">
        <v>258</v>
      </c>
      <c r="F254" s="4" t="s">
        <v>86</v>
      </c>
      <c r="G254" s="3" t="s">
        <v>3049</v>
      </c>
      <c r="H254" s="3" t="s">
        <v>3050</v>
      </c>
      <c r="I254" s="3" t="s">
        <v>3051</v>
      </c>
      <c r="J254" s="3" t="s">
        <v>3052</v>
      </c>
      <c r="K254" s="3" t="s">
        <v>3053</v>
      </c>
      <c r="L254" s="3" t="s">
        <v>348</v>
      </c>
      <c r="M254" s="3"/>
      <c r="N254" s="3"/>
      <c r="O254" s="4"/>
      <c r="P254" s="3" t="s">
        <v>79</v>
      </c>
      <c r="Q254" s="3" t="s">
        <v>3054</v>
      </c>
      <c r="R254" s="3" t="s">
        <v>285</v>
      </c>
      <c r="S254" s="3"/>
      <c r="T254" s="4" t="s">
        <v>412</v>
      </c>
      <c r="U254" s="3"/>
      <c r="V254" s="5" t="n">
        <v>9.3</v>
      </c>
      <c r="W254" s="3" t="s">
        <v>3055</v>
      </c>
      <c r="X254" s="3" t="s">
        <v>3056</v>
      </c>
      <c r="Y254" s="3" t="s">
        <v>3057</v>
      </c>
      <c r="Z254" s="3" t="s">
        <v>3058</v>
      </c>
      <c r="AA254" s="3" t="s">
        <v>3059</v>
      </c>
      <c r="AB254" s="3" t="s">
        <v>3060</v>
      </c>
      <c r="AC254" s="3" t="s">
        <v>2261</v>
      </c>
      <c r="AD254" s="3" t="s">
        <v>3061</v>
      </c>
      <c r="AE254" s="4" t="s">
        <v>53</v>
      </c>
    </row>
    <row r="255" customFormat="false" ht="15" hidden="false" customHeight="true" outlineLevel="0" collapsed="false">
      <c r="A255" s="3" t="s">
        <v>3062</v>
      </c>
      <c r="B255" s="3" t="s">
        <v>1091</v>
      </c>
      <c r="C255" s="3" t="s">
        <v>3063</v>
      </c>
      <c r="D255" s="3" t="s">
        <v>2212</v>
      </c>
      <c r="E255" s="3" t="s">
        <v>258</v>
      </c>
      <c r="F255" s="4" t="s">
        <v>36</v>
      </c>
      <c r="G255" s="3" t="s">
        <v>3064</v>
      </c>
      <c r="H255" s="3" t="s">
        <v>3065</v>
      </c>
      <c r="I255" s="3" t="s">
        <v>3066</v>
      </c>
      <c r="J255" s="3" t="s">
        <v>3067</v>
      </c>
      <c r="K255" s="3" t="s">
        <v>3068</v>
      </c>
      <c r="L255" s="3" t="s">
        <v>2596</v>
      </c>
      <c r="M255" s="3"/>
      <c r="N255" s="3"/>
      <c r="O255" s="4"/>
      <c r="P255" s="3" t="s">
        <v>2760</v>
      </c>
      <c r="Q255" s="3" t="s">
        <v>3069</v>
      </c>
      <c r="R255" s="3" t="s">
        <v>285</v>
      </c>
      <c r="S255" s="3"/>
      <c r="T255" s="4" t="s">
        <v>50</v>
      </c>
      <c r="U255" s="3"/>
      <c r="V255" s="5" t="n">
        <v>7.8</v>
      </c>
      <c r="W255" s="3" t="s">
        <v>3070</v>
      </c>
      <c r="X255" s="3" t="s">
        <v>3071</v>
      </c>
      <c r="Y255" s="3" t="s">
        <v>3072</v>
      </c>
      <c r="Z255" s="3" t="s">
        <v>3073</v>
      </c>
      <c r="AA255" s="3" t="s">
        <v>3074</v>
      </c>
      <c r="AB255" s="3" t="s">
        <v>3060</v>
      </c>
      <c r="AC255" s="3" t="s">
        <v>2261</v>
      </c>
      <c r="AD255" s="3" t="s">
        <v>3075</v>
      </c>
      <c r="AE255" s="4" t="s">
        <v>53</v>
      </c>
    </row>
    <row r="256" customFormat="false" ht="15" hidden="false" customHeight="true" outlineLevel="0" collapsed="false">
      <c r="A256" s="3" t="s">
        <v>3076</v>
      </c>
      <c r="B256" s="3" t="s">
        <v>1091</v>
      </c>
      <c r="C256" s="3" t="s">
        <v>3077</v>
      </c>
      <c r="D256" s="3" t="s">
        <v>2212</v>
      </c>
      <c r="E256" s="3" t="s">
        <v>258</v>
      </c>
      <c r="F256" s="4" t="s">
        <v>86</v>
      </c>
      <c r="G256" s="3" t="s">
        <v>3078</v>
      </c>
      <c r="H256" s="3" t="s">
        <v>3079</v>
      </c>
      <c r="I256" s="3" t="s">
        <v>3080</v>
      </c>
      <c r="J256" s="3" t="s">
        <v>3081</v>
      </c>
      <c r="K256" s="3" t="s">
        <v>3082</v>
      </c>
      <c r="L256" s="3" t="s">
        <v>2596</v>
      </c>
      <c r="M256" s="3"/>
      <c r="N256" s="3"/>
      <c r="O256" s="4"/>
      <c r="P256" s="3" t="s">
        <v>2788</v>
      </c>
      <c r="Q256" s="3" t="s">
        <v>3083</v>
      </c>
      <c r="R256" s="3" t="s">
        <v>285</v>
      </c>
      <c r="S256" s="3" t="s">
        <v>1067</v>
      </c>
      <c r="T256" s="4" t="s">
        <v>412</v>
      </c>
      <c r="U256" s="3"/>
      <c r="V256" s="5" t="n">
        <v>10</v>
      </c>
      <c r="W256" s="3" t="s">
        <v>2221</v>
      </c>
      <c r="X256" s="3" t="s">
        <v>3084</v>
      </c>
      <c r="Y256" s="3" t="s">
        <v>3085</v>
      </c>
      <c r="Z256" s="3" t="s">
        <v>3086</v>
      </c>
      <c r="AA256" s="3" t="s">
        <v>2871</v>
      </c>
      <c r="AB256" s="3" t="s">
        <v>2749</v>
      </c>
      <c r="AC256" s="3" t="s">
        <v>3087</v>
      </c>
      <c r="AD256" s="3" t="s">
        <v>3088</v>
      </c>
      <c r="AE256" s="4" t="s">
        <v>53</v>
      </c>
    </row>
    <row r="257" customFormat="false" ht="15" hidden="false" customHeight="true" outlineLevel="0" collapsed="false">
      <c r="A257" s="3" t="s">
        <v>3089</v>
      </c>
      <c r="B257" s="3" t="s">
        <v>1091</v>
      </c>
      <c r="C257" s="3" t="s">
        <v>3090</v>
      </c>
      <c r="D257" s="3" t="s">
        <v>2212</v>
      </c>
      <c r="E257" s="3" t="s">
        <v>258</v>
      </c>
      <c r="F257" s="4" t="s">
        <v>86</v>
      </c>
      <c r="G257" s="3" t="s">
        <v>3091</v>
      </c>
      <c r="H257" s="3" t="s">
        <v>3092</v>
      </c>
      <c r="I257" s="3" t="s">
        <v>3093</v>
      </c>
      <c r="J257" s="3" t="s">
        <v>3094</v>
      </c>
      <c r="K257" s="3" t="s">
        <v>3095</v>
      </c>
      <c r="L257" s="3" t="s">
        <v>348</v>
      </c>
      <c r="M257" s="3"/>
      <c r="N257" s="3"/>
      <c r="O257" s="4"/>
      <c r="P257" s="3" t="s">
        <v>3096</v>
      </c>
      <c r="Q257" s="3" t="s">
        <v>3097</v>
      </c>
      <c r="R257" s="3" t="s">
        <v>285</v>
      </c>
      <c r="S257" s="3"/>
      <c r="T257" s="4" t="s">
        <v>412</v>
      </c>
      <c r="U257" s="3"/>
      <c r="V257" s="5" t="n">
        <v>9.9</v>
      </c>
      <c r="W257" s="3" t="s">
        <v>2654</v>
      </c>
      <c r="X257" s="3" t="s">
        <v>3098</v>
      </c>
      <c r="Y257" s="3" t="s">
        <v>3099</v>
      </c>
      <c r="Z257" s="3" t="s">
        <v>3100</v>
      </c>
      <c r="AA257" s="3" t="s">
        <v>3101</v>
      </c>
      <c r="AB257" s="3" t="s">
        <v>3102</v>
      </c>
      <c r="AC257" s="3" t="s">
        <v>3103</v>
      </c>
      <c r="AD257" s="3" t="s">
        <v>3104</v>
      </c>
      <c r="AE257" s="4" t="s">
        <v>53</v>
      </c>
    </row>
    <row r="258" customFormat="false" ht="15" hidden="false" customHeight="true" outlineLevel="0" collapsed="false">
      <c r="A258" s="3" t="s">
        <v>3105</v>
      </c>
      <c r="B258" s="3" t="s">
        <v>1091</v>
      </c>
      <c r="C258" s="3" t="s">
        <v>3106</v>
      </c>
      <c r="D258" s="3" t="s">
        <v>2212</v>
      </c>
      <c r="E258" s="3" t="s">
        <v>258</v>
      </c>
      <c r="F258" s="4" t="s">
        <v>86</v>
      </c>
      <c r="G258" s="3" t="s">
        <v>3107</v>
      </c>
      <c r="H258" s="3" t="s">
        <v>3108</v>
      </c>
      <c r="I258" s="3" t="s">
        <v>3109</v>
      </c>
      <c r="J258" s="3" t="s">
        <v>3110</v>
      </c>
      <c r="K258" s="3" t="s">
        <v>3111</v>
      </c>
      <c r="L258" s="3" t="s">
        <v>2596</v>
      </c>
      <c r="M258" s="3"/>
      <c r="N258" s="3"/>
      <c r="O258" s="4"/>
      <c r="P258" s="3" t="s">
        <v>79</v>
      </c>
      <c r="Q258" s="3" t="s">
        <v>3112</v>
      </c>
      <c r="R258" s="3" t="s">
        <v>285</v>
      </c>
      <c r="S258" s="3"/>
      <c r="T258" s="4" t="s">
        <v>412</v>
      </c>
      <c r="U258" s="3"/>
      <c r="V258" s="5" t="n">
        <v>10</v>
      </c>
      <c r="W258" s="3" t="s">
        <v>2221</v>
      </c>
      <c r="X258" s="3" t="s">
        <v>3113</v>
      </c>
      <c r="Y258" s="3" t="s">
        <v>3114</v>
      </c>
      <c r="Z258" s="3" t="s">
        <v>3115</v>
      </c>
      <c r="AA258" s="3" t="s">
        <v>3116</v>
      </c>
      <c r="AB258" s="3" t="s">
        <v>954</v>
      </c>
      <c r="AC258" s="3" t="s">
        <v>3117</v>
      </c>
      <c r="AD258" s="3" t="s">
        <v>3118</v>
      </c>
      <c r="AE258" s="4" t="s">
        <v>53</v>
      </c>
    </row>
    <row r="259" customFormat="false" ht="15" hidden="false" customHeight="true" outlineLevel="0" collapsed="false">
      <c r="A259" s="3" t="s">
        <v>3119</v>
      </c>
      <c r="B259" s="3" t="s">
        <v>1091</v>
      </c>
      <c r="C259" s="3" t="s">
        <v>3120</v>
      </c>
      <c r="D259" s="3" t="s">
        <v>2212</v>
      </c>
      <c r="E259" s="3" t="s">
        <v>258</v>
      </c>
      <c r="F259" s="4" t="s">
        <v>86</v>
      </c>
      <c r="G259" s="3" t="s">
        <v>3121</v>
      </c>
      <c r="H259" s="3" t="s">
        <v>3122</v>
      </c>
      <c r="I259" s="3" t="s">
        <v>3123</v>
      </c>
      <c r="J259" s="3" t="s">
        <v>3124</v>
      </c>
      <c r="K259" s="3" t="s">
        <v>3125</v>
      </c>
      <c r="L259" s="3" t="s">
        <v>2596</v>
      </c>
      <c r="M259" s="3"/>
      <c r="N259" s="3"/>
      <c r="O259" s="4"/>
      <c r="P259" s="3" t="s">
        <v>3126</v>
      </c>
      <c r="Q259" s="3" t="s">
        <v>732</v>
      </c>
      <c r="R259" s="3" t="s">
        <v>285</v>
      </c>
      <c r="S259" s="3"/>
      <c r="T259" s="4" t="s">
        <v>412</v>
      </c>
      <c r="U259" s="3"/>
      <c r="V259" s="5" t="n">
        <v>10</v>
      </c>
      <c r="W259" s="3" t="s">
        <v>2221</v>
      </c>
      <c r="X259" s="3" t="s">
        <v>3127</v>
      </c>
      <c r="Y259" s="3" t="s">
        <v>3128</v>
      </c>
      <c r="Z259" s="3" t="s">
        <v>3129</v>
      </c>
      <c r="AA259" s="3" t="s">
        <v>3130</v>
      </c>
      <c r="AB259" s="3" t="s">
        <v>954</v>
      </c>
      <c r="AC259" s="3" t="s">
        <v>3131</v>
      </c>
      <c r="AD259" s="3" t="s">
        <v>3132</v>
      </c>
      <c r="AE259" s="4" t="s">
        <v>53</v>
      </c>
    </row>
    <row r="260" customFormat="false" ht="15" hidden="false" customHeight="true" outlineLevel="0" collapsed="false">
      <c r="A260" s="3" t="s">
        <v>3133</v>
      </c>
      <c r="B260" s="3" t="s">
        <v>1091</v>
      </c>
      <c r="C260" s="3" t="s">
        <v>3134</v>
      </c>
      <c r="D260" s="3" t="s">
        <v>2212</v>
      </c>
      <c r="E260" s="3" t="s">
        <v>258</v>
      </c>
      <c r="F260" s="4" t="s">
        <v>86</v>
      </c>
      <c r="G260" s="3" t="s">
        <v>3135</v>
      </c>
      <c r="H260" s="3" t="s">
        <v>3136</v>
      </c>
      <c r="I260" s="3" t="s">
        <v>3137</v>
      </c>
      <c r="J260" s="3" t="s">
        <v>3138</v>
      </c>
      <c r="K260" s="3" t="s">
        <v>3139</v>
      </c>
      <c r="L260" s="3" t="s">
        <v>348</v>
      </c>
      <c r="M260" s="3"/>
      <c r="N260" s="3"/>
      <c r="O260" s="4"/>
      <c r="P260" s="3" t="s">
        <v>79</v>
      </c>
      <c r="Q260" s="3" t="s">
        <v>2237</v>
      </c>
      <c r="R260" s="3" t="s">
        <v>96</v>
      </c>
      <c r="S260" s="3"/>
      <c r="T260" s="4" t="s">
        <v>412</v>
      </c>
      <c r="U260" s="3"/>
      <c r="V260" s="5" t="n">
        <v>10</v>
      </c>
      <c r="W260" s="3" t="s">
        <v>2221</v>
      </c>
      <c r="X260" s="3" t="s">
        <v>3140</v>
      </c>
      <c r="Y260" s="3" t="s">
        <v>3141</v>
      </c>
      <c r="Z260" s="3" t="s">
        <v>3142</v>
      </c>
      <c r="AA260" s="3" t="s">
        <v>3143</v>
      </c>
      <c r="AB260" s="3" t="s">
        <v>3144</v>
      </c>
      <c r="AC260" s="3" t="s">
        <v>2261</v>
      </c>
      <c r="AD260" s="3" t="s">
        <v>3145</v>
      </c>
      <c r="AE260" s="4" t="s">
        <v>53</v>
      </c>
    </row>
    <row r="261" customFormat="false" ht="15" hidden="false" customHeight="true" outlineLevel="0" collapsed="false">
      <c r="A261" s="3" t="s">
        <v>3146</v>
      </c>
      <c r="B261" s="3" t="s">
        <v>1091</v>
      </c>
      <c r="C261" s="3" t="s">
        <v>3147</v>
      </c>
      <c r="D261" s="3" t="s">
        <v>2212</v>
      </c>
      <c r="E261" s="3" t="s">
        <v>189</v>
      </c>
      <c r="F261" s="4" t="s">
        <v>36</v>
      </c>
      <c r="G261" s="3" t="s">
        <v>3148</v>
      </c>
      <c r="H261" s="3" t="s">
        <v>3149</v>
      </c>
      <c r="I261" s="3" t="s">
        <v>3150</v>
      </c>
      <c r="J261" s="3" t="s">
        <v>3151</v>
      </c>
      <c r="K261" s="3" t="s">
        <v>3152</v>
      </c>
      <c r="L261" s="3" t="s">
        <v>2759</v>
      </c>
      <c r="M261" s="3"/>
      <c r="N261" s="3"/>
      <c r="O261" s="4"/>
      <c r="P261" s="3" t="s">
        <v>3153</v>
      </c>
      <c r="Q261" s="3" t="s">
        <v>3154</v>
      </c>
      <c r="R261" s="3" t="s">
        <v>2539</v>
      </c>
      <c r="S261" s="3" t="s">
        <v>1067</v>
      </c>
      <c r="T261" s="4" t="s">
        <v>412</v>
      </c>
      <c r="U261" s="3"/>
      <c r="V261" s="5" t="n">
        <v>8.6</v>
      </c>
      <c r="W261" s="3" t="s">
        <v>3155</v>
      </c>
      <c r="X261" s="3" t="s">
        <v>3156</v>
      </c>
      <c r="Y261" s="3" t="s">
        <v>3157</v>
      </c>
      <c r="Z261" s="3" t="s">
        <v>3158</v>
      </c>
      <c r="AA261" s="3" t="s">
        <v>2887</v>
      </c>
      <c r="AB261" s="3" t="s">
        <v>1135</v>
      </c>
      <c r="AC261" s="3" t="s">
        <v>3159</v>
      </c>
      <c r="AD261" s="3" t="s">
        <v>3160</v>
      </c>
      <c r="AE261" s="4" t="s">
        <v>53</v>
      </c>
    </row>
    <row r="262" customFormat="false" ht="15" hidden="false" customHeight="true" outlineLevel="0" collapsed="false">
      <c r="A262" s="3" t="s">
        <v>3161</v>
      </c>
      <c r="B262" s="3" t="s">
        <v>1091</v>
      </c>
      <c r="C262" s="3" t="s">
        <v>3162</v>
      </c>
      <c r="D262" s="3" t="s">
        <v>2212</v>
      </c>
      <c r="E262" s="3" t="s">
        <v>258</v>
      </c>
      <c r="F262" s="4" t="s">
        <v>86</v>
      </c>
      <c r="G262" s="3" t="s">
        <v>3163</v>
      </c>
      <c r="H262" s="3" t="s">
        <v>3164</v>
      </c>
      <c r="I262" s="3" t="s">
        <v>3165</v>
      </c>
      <c r="J262" s="3" t="s">
        <v>3166</v>
      </c>
      <c r="K262" s="3" t="s">
        <v>3167</v>
      </c>
      <c r="L262" s="3" t="s">
        <v>2596</v>
      </c>
      <c r="M262" s="3"/>
      <c r="N262" s="3"/>
      <c r="O262" s="4"/>
      <c r="P262" s="3" t="s">
        <v>1166</v>
      </c>
      <c r="Q262" s="3" t="s">
        <v>3168</v>
      </c>
      <c r="R262" s="3" t="s">
        <v>285</v>
      </c>
      <c r="S262" s="3"/>
      <c r="T262" s="4" t="s">
        <v>412</v>
      </c>
      <c r="U262" s="3"/>
      <c r="V262" s="5" t="n">
        <v>9.8</v>
      </c>
      <c r="W262" s="3" t="s">
        <v>2393</v>
      </c>
      <c r="X262" s="3" t="s">
        <v>3169</v>
      </c>
      <c r="Y262" s="3" t="s">
        <v>3170</v>
      </c>
      <c r="Z262" s="3" t="s">
        <v>3171</v>
      </c>
      <c r="AA262" s="3" t="s">
        <v>3172</v>
      </c>
      <c r="AB262" s="3" t="s">
        <v>3173</v>
      </c>
      <c r="AC262" s="3" t="s">
        <v>3174</v>
      </c>
      <c r="AD262" s="3" t="s">
        <v>3175</v>
      </c>
      <c r="AE262" s="4" t="s">
        <v>53</v>
      </c>
    </row>
    <row r="263" customFormat="false" ht="15" hidden="false" customHeight="true" outlineLevel="0" collapsed="false">
      <c r="A263" s="3" t="s">
        <v>3176</v>
      </c>
      <c r="B263" s="3" t="s">
        <v>1091</v>
      </c>
      <c r="C263" s="3" t="s">
        <v>3177</v>
      </c>
      <c r="D263" s="3" t="s">
        <v>2212</v>
      </c>
      <c r="E263" s="3" t="s">
        <v>258</v>
      </c>
      <c r="F263" s="4" t="s">
        <v>86</v>
      </c>
      <c r="G263" s="3" t="s">
        <v>3178</v>
      </c>
      <c r="H263" s="3" t="s">
        <v>3179</v>
      </c>
      <c r="I263" s="3" t="s">
        <v>3180</v>
      </c>
      <c r="J263" s="3" t="s">
        <v>3181</v>
      </c>
      <c r="K263" s="3" t="s">
        <v>3182</v>
      </c>
      <c r="L263" s="3" t="s">
        <v>2759</v>
      </c>
      <c r="M263" s="3"/>
      <c r="N263" s="3"/>
      <c r="O263" s="4"/>
      <c r="P263" s="3" t="s">
        <v>2760</v>
      </c>
      <c r="Q263" s="3" t="s">
        <v>410</v>
      </c>
      <c r="R263" s="3" t="s">
        <v>285</v>
      </c>
      <c r="S263" s="3" t="s">
        <v>1067</v>
      </c>
      <c r="T263" s="4" t="s">
        <v>412</v>
      </c>
      <c r="U263" s="3"/>
      <c r="V263" s="5" t="n">
        <v>9.3</v>
      </c>
      <c r="W263" s="3" t="s">
        <v>3183</v>
      </c>
      <c r="X263" s="3" t="s">
        <v>3184</v>
      </c>
      <c r="Y263" s="3" t="s">
        <v>3185</v>
      </c>
      <c r="Z263" s="3" t="s">
        <v>3186</v>
      </c>
      <c r="AA263" s="3" t="s">
        <v>3187</v>
      </c>
      <c r="AB263" s="3" t="s">
        <v>1135</v>
      </c>
      <c r="AC263" s="3" t="s">
        <v>3188</v>
      </c>
      <c r="AD263" s="3" t="s">
        <v>3189</v>
      </c>
      <c r="AE263" s="4" t="s">
        <v>53</v>
      </c>
    </row>
    <row r="264" customFormat="false" ht="15" hidden="false" customHeight="true" outlineLevel="0" collapsed="false">
      <c r="A264" s="3" t="s">
        <v>3190</v>
      </c>
      <c r="B264" s="3" t="s">
        <v>1091</v>
      </c>
      <c r="C264" s="3" t="s">
        <v>3191</v>
      </c>
      <c r="D264" s="3" t="s">
        <v>2212</v>
      </c>
      <c r="E264" s="3" t="s">
        <v>258</v>
      </c>
      <c r="F264" s="4" t="s">
        <v>86</v>
      </c>
      <c r="G264" s="3" t="s">
        <v>3192</v>
      </c>
      <c r="H264" s="3" t="s">
        <v>3193</v>
      </c>
      <c r="I264" s="3" t="s">
        <v>3194</v>
      </c>
      <c r="J264" s="3" t="s">
        <v>3195</v>
      </c>
      <c r="K264" s="3" t="s">
        <v>3196</v>
      </c>
      <c r="L264" s="3" t="s">
        <v>2759</v>
      </c>
      <c r="M264" s="3"/>
      <c r="N264" s="3"/>
      <c r="O264" s="4"/>
      <c r="P264" s="3" t="s">
        <v>1166</v>
      </c>
      <c r="Q264" s="3" t="s">
        <v>3197</v>
      </c>
      <c r="R264" s="3" t="s">
        <v>134</v>
      </c>
      <c r="S264" s="3"/>
      <c r="T264" s="4" t="s">
        <v>412</v>
      </c>
      <c r="U264" s="3"/>
      <c r="V264" s="5" t="n">
        <v>10</v>
      </c>
      <c r="W264" s="3" t="s">
        <v>2221</v>
      </c>
      <c r="X264" s="3" t="s">
        <v>3198</v>
      </c>
      <c r="Y264" s="3" t="s">
        <v>3199</v>
      </c>
      <c r="Z264" s="3" t="s">
        <v>3200</v>
      </c>
      <c r="AA264" s="3" t="s">
        <v>3201</v>
      </c>
      <c r="AB264" s="3" t="s">
        <v>1135</v>
      </c>
      <c r="AC264" s="3" t="s">
        <v>3202</v>
      </c>
      <c r="AD264" s="3" t="s">
        <v>3203</v>
      </c>
      <c r="AE264" s="4" t="s">
        <v>53</v>
      </c>
    </row>
    <row r="265" customFormat="false" ht="15" hidden="false" customHeight="true" outlineLevel="0" collapsed="false">
      <c r="A265" s="3" t="s">
        <v>3204</v>
      </c>
      <c r="B265" s="3" t="s">
        <v>1091</v>
      </c>
      <c r="C265" s="3" t="s">
        <v>3205</v>
      </c>
      <c r="D265" s="3" t="s">
        <v>2212</v>
      </c>
      <c r="E265" s="3" t="s">
        <v>258</v>
      </c>
      <c r="F265" s="4" t="s">
        <v>86</v>
      </c>
      <c r="G265" s="3" t="s">
        <v>3206</v>
      </c>
      <c r="H265" s="3" t="s">
        <v>3207</v>
      </c>
      <c r="I265" s="3" t="s">
        <v>3208</v>
      </c>
      <c r="J265" s="3" t="s">
        <v>3209</v>
      </c>
      <c r="K265" s="3" t="s">
        <v>3210</v>
      </c>
      <c r="L265" s="3" t="s">
        <v>2596</v>
      </c>
      <c r="M265" s="3"/>
      <c r="N265" s="3"/>
      <c r="O265" s="4"/>
      <c r="P265" s="3" t="s">
        <v>1166</v>
      </c>
      <c r="Q265" s="3" t="s">
        <v>1056</v>
      </c>
      <c r="R265" s="3" t="s">
        <v>285</v>
      </c>
      <c r="S265" s="3" t="s">
        <v>1067</v>
      </c>
      <c r="T265" s="4" t="s">
        <v>412</v>
      </c>
      <c r="U265" s="3"/>
      <c r="V265" s="5" t="n">
        <v>9.8</v>
      </c>
      <c r="W265" s="3" t="s">
        <v>2393</v>
      </c>
      <c r="X265" s="3" t="s">
        <v>3211</v>
      </c>
      <c r="Y265" s="3" t="s">
        <v>3212</v>
      </c>
      <c r="Z265" s="3" t="s">
        <v>3213</v>
      </c>
      <c r="AA265" s="3" t="s">
        <v>2764</v>
      </c>
      <c r="AB265" s="3" t="s">
        <v>3214</v>
      </c>
      <c r="AC265" s="3" t="s">
        <v>3215</v>
      </c>
      <c r="AD265" s="3" t="s">
        <v>3216</v>
      </c>
      <c r="AE265" s="4" t="s">
        <v>53</v>
      </c>
    </row>
    <row r="266" customFormat="false" ht="15" hidden="false" customHeight="true" outlineLevel="0" collapsed="false">
      <c r="A266" s="3" t="s">
        <v>3217</v>
      </c>
      <c r="B266" s="3" t="s">
        <v>1091</v>
      </c>
      <c r="C266" s="3" t="s">
        <v>3218</v>
      </c>
      <c r="D266" s="3" t="s">
        <v>2212</v>
      </c>
      <c r="E266" s="3" t="s">
        <v>258</v>
      </c>
      <c r="F266" s="4" t="s">
        <v>86</v>
      </c>
      <c r="G266" s="3" t="s">
        <v>3219</v>
      </c>
      <c r="H266" s="3" t="s">
        <v>3220</v>
      </c>
      <c r="I266" s="3" t="s">
        <v>3221</v>
      </c>
      <c r="J266" s="3" t="s">
        <v>3222</v>
      </c>
      <c r="K266" s="3" t="s">
        <v>3223</v>
      </c>
      <c r="L266" s="3" t="s">
        <v>348</v>
      </c>
      <c r="M266" s="3"/>
      <c r="N266" s="3"/>
      <c r="O266" s="4"/>
      <c r="P266" s="3" t="s">
        <v>1166</v>
      </c>
      <c r="Q266" s="3" t="s">
        <v>2538</v>
      </c>
      <c r="R266" s="3" t="s">
        <v>2539</v>
      </c>
      <c r="S266" s="3" t="s">
        <v>1067</v>
      </c>
      <c r="T266" s="4" t="s">
        <v>412</v>
      </c>
      <c r="U266" s="3"/>
      <c r="V266" s="5" t="n">
        <v>9.8</v>
      </c>
      <c r="W266" s="3" t="s">
        <v>2393</v>
      </c>
      <c r="X266" s="3" t="s">
        <v>3224</v>
      </c>
      <c r="Y266" s="3" t="s">
        <v>3225</v>
      </c>
      <c r="Z266" s="3" t="s">
        <v>2224</v>
      </c>
      <c r="AA266" s="3" t="s">
        <v>2497</v>
      </c>
      <c r="AB266" s="3" t="s">
        <v>3226</v>
      </c>
      <c r="AC266" s="3" t="s">
        <v>2430</v>
      </c>
      <c r="AD266" s="3" t="s">
        <v>3227</v>
      </c>
      <c r="AE266" s="4" t="s">
        <v>53</v>
      </c>
    </row>
    <row r="267" customFormat="false" ht="15" hidden="false" customHeight="true" outlineLevel="0" collapsed="false">
      <c r="A267" s="3" t="s">
        <v>3228</v>
      </c>
      <c r="B267" s="3" t="s">
        <v>1091</v>
      </c>
      <c r="C267" s="3" t="s">
        <v>3229</v>
      </c>
      <c r="D267" s="3" t="s">
        <v>2212</v>
      </c>
      <c r="E267" s="3" t="s">
        <v>258</v>
      </c>
      <c r="F267" s="4" t="s">
        <v>86</v>
      </c>
      <c r="G267" s="3" t="s">
        <v>3230</v>
      </c>
      <c r="H267" s="3" t="s">
        <v>3231</v>
      </c>
      <c r="I267" s="3" t="s">
        <v>3232</v>
      </c>
      <c r="J267" s="3" t="s">
        <v>3233</v>
      </c>
      <c r="K267" s="3" t="s">
        <v>3234</v>
      </c>
      <c r="L267" s="3" t="s">
        <v>348</v>
      </c>
      <c r="M267" s="3"/>
      <c r="N267" s="3"/>
      <c r="O267" s="4"/>
      <c r="P267" s="3" t="s">
        <v>1166</v>
      </c>
      <c r="Q267" s="3" t="s">
        <v>3235</v>
      </c>
      <c r="R267" s="3" t="s">
        <v>285</v>
      </c>
      <c r="S267" s="3"/>
      <c r="T267" s="4" t="s">
        <v>412</v>
      </c>
      <c r="U267" s="3"/>
      <c r="V267" s="5" t="n">
        <v>9.8</v>
      </c>
      <c r="W267" s="3" t="s">
        <v>2393</v>
      </c>
      <c r="X267" s="3" t="s">
        <v>3236</v>
      </c>
      <c r="Y267" s="3" t="s">
        <v>3237</v>
      </c>
      <c r="Z267" s="3" t="s">
        <v>3171</v>
      </c>
      <c r="AA267" s="3" t="s">
        <v>3238</v>
      </c>
      <c r="AB267" s="3" t="s">
        <v>1135</v>
      </c>
      <c r="AC267" s="3" t="s">
        <v>3239</v>
      </c>
      <c r="AD267" s="3" t="s">
        <v>3240</v>
      </c>
      <c r="AE267" s="4" t="s">
        <v>53</v>
      </c>
    </row>
    <row r="268" customFormat="false" ht="15" hidden="false" customHeight="true" outlineLevel="0" collapsed="false">
      <c r="A268" s="3" t="s">
        <v>3241</v>
      </c>
      <c r="B268" s="3" t="s">
        <v>1091</v>
      </c>
      <c r="C268" s="3" t="s">
        <v>3242</v>
      </c>
      <c r="D268" s="3" t="s">
        <v>2212</v>
      </c>
      <c r="E268" s="3" t="s">
        <v>258</v>
      </c>
      <c r="F268" s="4" t="s">
        <v>86</v>
      </c>
      <c r="G268" s="3" t="s">
        <v>3243</v>
      </c>
      <c r="H268" s="3" t="s">
        <v>3244</v>
      </c>
      <c r="I268" s="3" t="s">
        <v>3245</v>
      </c>
      <c r="J268" s="3" t="s">
        <v>3246</v>
      </c>
      <c r="K268" s="3" t="s">
        <v>3247</v>
      </c>
      <c r="L268" s="3" t="s">
        <v>348</v>
      </c>
      <c r="M268" s="3"/>
      <c r="N268" s="3"/>
      <c r="O268" s="4"/>
      <c r="P268" s="3" t="s">
        <v>1166</v>
      </c>
      <c r="Q268" s="3" t="s">
        <v>3054</v>
      </c>
      <c r="R268" s="3" t="s">
        <v>285</v>
      </c>
      <c r="S268" s="3"/>
      <c r="T268" s="4" t="s">
        <v>412</v>
      </c>
      <c r="U268" s="3"/>
      <c r="V268" s="5" t="n">
        <v>9.3</v>
      </c>
      <c r="W268" s="3" t="s">
        <v>3248</v>
      </c>
      <c r="X268" s="3" t="s">
        <v>3249</v>
      </c>
      <c r="Y268" s="3" t="s">
        <v>3250</v>
      </c>
      <c r="Z268" s="3" t="s">
        <v>3251</v>
      </c>
      <c r="AA268" s="3" t="s">
        <v>3252</v>
      </c>
      <c r="AB268" s="3" t="s">
        <v>1135</v>
      </c>
      <c r="AC268" s="3" t="s">
        <v>3253</v>
      </c>
      <c r="AD268" s="3" t="s">
        <v>3254</v>
      </c>
      <c r="AE268" s="4" t="s">
        <v>53</v>
      </c>
    </row>
    <row r="269" customFormat="false" ht="15" hidden="false" customHeight="true" outlineLevel="0" collapsed="false">
      <c r="A269" s="3" t="s">
        <v>3255</v>
      </c>
      <c r="B269" s="3" t="s">
        <v>1091</v>
      </c>
      <c r="C269" s="3" t="s">
        <v>3256</v>
      </c>
      <c r="D269" s="3" t="s">
        <v>2212</v>
      </c>
      <c r="E269" s="3" t="s">
        <v>258</v>
      </c>
      <c r="F269" s="4" t="s">
        <v>86</v>
      </c>
      <c r="G269" s="3" t="s">
        <v>3257</v>
      </c>
      <c r="H269" s="3" t="s">
        <v>3258</v>
      </c>
      <c r="I269" s="3" t="s">
        <v>3259</v>
      </c>
      <c r="J269" s="3" t="s">
        <v>3260</v>
      </c>
      <c r="K269" s="3" t="s">
        <v>3261</v>
      </c>
      <c r="L269" s="3" t="s">
        <v>2759</v>
      </c>
      <c r="M269" s="3"/>
      <c r="N269" s="3"/>
      <c r="O269" s="4"/>
      <c r="P269" s="3" t="s">
        <v>170</v>
      </c>
      <c r="Q269" s="3" t="s">
        <v>133</v>
      </c>
      <c r="R269" s="3" t="s">
        <v>134</v>
      </c>
      <c r="S269" s="3" t="s">
        <v>1067</v>
      </c>
      <c r="T269" s="4" t="s">
        <v>412</v>
      </c>
      <c r="U269" s="3"/>
      <c r="V269" s="5" t="n">
        <v>9.1</v>
      </c>
      <c r="W269" s="3" t="s">
        <v>3262</v>
      </c>
      <c r="X269" s="3" t="s">
        <v>3263</v>
      </c>
      <c r="Y269" s="3" t="s">
        <v>3264</v>
      </c>
      <c r="Z269" s="3" t="s">
        <v>2224</v>
      </c>
      <c r="AA269" s="3" t="s">
        <v>2497</v>
      </c>
      <c r="AB269" s="3" t="s">
        <v>3265</v>
      </c>
      <c r="AC269" s="3" t="s">
        <v>2765</v>
      </c>
      <c r="AD269" s="3" t="s">
        <v>3266</v>
      </c>
      <c r="AE269" s="4" t="s">
        <v>53</v>
      </c>
    </row>
    <row r="270" customFormat="false" ht="15" hidden="false" customHeight="true" outlineLevel="0" collapsed="false">
      <c r="A270" s="3" t="s">
        <v>3267</v>
      </c>
      <c r="B270" s="3" t="s">
        <v>1091</v>
      </c>
      <c r="C270" s="3" t="s">
        <v>3268</v>
      </c>
      <c r="D270" s="3" t="s">
        <v>2212</v>
      </c>
      <c r="E270" s="3" t="s">
        <v>258</v>
      </c>
      <c r="F270" s="4" t="s">
        <v>86</v>
      </c>
      <c r="G270" s="3" t="s">
        <v>3269</v>
      </c>
      <c r="H270" s="3" t="s">
        <v>3270</v>
      </c>
      <c r="I270" s="3" t="s">
        <v>3271</v>
      </c>
      <c r="J270" s="3" t="s">
        <v>3272</v>
      </c>
      <c r="K270" s="3" t="s">
        <v>3273</v>
      </c>
      <c r="L270" s="3" t="s">
        <v>2759</v>
      </c>
      <c r="M270" s="3"/>
      <c r="N270" s="3"/>
      <c r="O270" s="4"/>
      <c r="P270" s="3" t="s">
        <v>170</v>
      </c>
      <c r="Q270" s="3" t="s">
        <v>133</v>
      </c>
      <c r="R270" s="3" t="s">
        <v>134</v>
      </c>
      <c r="S270" s="3" t="s">
        <v>1067</v>
      </c>
      <c r="T270" s="4" t="s">
        <v>412</v>
      </c>
      <c r="U270" s="3"/>
      <c r="V270" s="5" t="n">
        <v>9.1</v>
      </c>
      <c r="W270" s="3" t="s">
        <v>3262</v>
      </c>
      <c r="X270" s="3" t="s">
        <v>3274</v>
      </c>
      <c r="Y270" s="3" t="s">
        <v>3275</v>
      </c>
      <c r="Z270" s="3" t="s">
        <v>2224</v>
      </c>
      <c r="AA270" s="3" t="s">
        <v>2497</v>
      </c>
      <c r="AB270" s="3" t="s">
        <v>3276</v>
      </c>
      <c r="AC270" s="3" t="s">
        <v>2765</v>
      </c>
      <c r="AD270" s="3" t="s">
        <v>3277</v>
      </c>
      <c r="AE270" s="4" t="s">
        <v>53</v>
      </c>
    </row>
    <row r="271" customFormat="false" ht="15" hidden="false" customHeight="true" outlineLevel="0" collapsed="false">
      <c r="A271" s="3" t="s">
        <v>3278</v>
      </c>
      <c r="B271" s="3" t="s">
        <v>1091</v>
      </c>
      <c r="C271" s="3" t="s">
        <v>3279</v>
      </c>
      <c r="D271" s="3" t="s">
        <v>2212</v>
      </c>
      <c r="E271" s="3" t="s">
        <v>258</v>
      </c>
      <c r="F271" s="4" t="s">
        <v>36</v>
      </c>
      <c r="G271" s="3" t="s">
        <v>3280</v>
      </c>
      <c r="H271" s="3" t="s">
        <v>3281</v>
      </c>
      <c r="I271" s="3" t="s">
        <v>3282</v>
      </c>
      <c r="J271" s="3" t="s">
        <v>3283</v>
      </c>
      <c r="K271" s="3" t="s">
        <v>3284</v>
      </c>
      <c r="L271" s="3" t="s">
        <v>2759</v>
      </c>
      <c r="M271" s="3"/>
      <c r="N271" s="3"/>
      <c r="O271" s="4"/>
      <c r="P271" s="3" t="s">
        <v>170</v>
      </c>
      <c r="Q271" s="3" t="s">
        <v>3285</v>
      </c>
      <c r="R271" s="3" t="s">
        <v>134</v>
      </c>
      <c r="S271" s="3" t="s">
        <v>1067</v>
      </c>
      <c r="T271" s="4" t="s">
        <v>412</v>
      </c>
      <c r="U271" s="3"/>
      <c r="V271" s="5" t="n">
        <v>8.8</v>
      </c>
      <c r="W271" s="3" t="s">
        <v>2255</v>
      </c>
      <c r="X271" s="3" t="s">
        <v>3286</v>
      </c>
      <c r="Y271" s="3" t="s">
        <v>3287</v>
      </c>
      <c r="Z271" s="3" t="s">
        <v>3288</v>
      </c>
      <c r="AA271" s="3" t="s">
        <v>2348</v>
      </c>
      <c r="AB271" s="3" t="s">
        <v>3267</v>
      </c>
      <c r="AC271" s="3" t="s">
        <v>3289</v>
      </c>
      <c r="AD271" s="3" t="s">
        <v>3290</v>
      </c>
      <c r="AE271" s="4" t="s">
        <v>53</v>
      </c>
    </row>
    <row r="272" customFormat="false" ht="15" hidden="false" customHeight="true" outlineLevel="0" collapsed="false">
      <c r="A272" s="3" t="s">
        <v>3291</v>
      </c>
      <c r="B272" s="3" t="s">
        <v>1091</v>
      </c>
      <c r="C272" s="3" t="s">
        <v>3292</v>
      </c>
      <c r="D272" s="3" t="s">
        <v>2212</v>
      </c>
      <c r="E272" s="3" t="s">
        <v>258</v>
      </c>
      <c r="F272" s="4" t="s">
        <v>86</v>
      </c>
      <c r="G272" s="3" t="s">
        <v>3293</v>
      </c>
      <c r="H272" s="3" t="s">
        <v>3294</v>
      </c>
      <c r="I272" s="3" t="s">
        <v>3295</v>
      </c>
      <c r="J272" s="3" t="s">
        <v>3296</v>
      </c>
      <c r="K272" s="3" t="s">
        <v>3297</v>
      </c>
      <c r="L272" s="3" t="s">
        <v>1602</v>
      </c>
      <c r="M272" s="3"/>
      <c r="N272" s="3"/>
      <c r="O272" s="4"/>
      <c r="P272" s="3" t="s">
        <v>3298</v>
      </c>
      <c r="Q272" s="3" t="s">
        <v>157</v>
      </c>
      <c r="R272" s="3" t="s">
        <v>158</v>
      </c>
      <c r="S272" s="3" t="s">
        <v>1067</v>
      </c>
      <c r="T272" s="4" t="s">
        <v>412</v>
      </c>
      <c r="U272" s="3"/>
      <c r="V272" s="5" t="n">
        <v>9.8</v>
      </c>
      <c r="W272" s="3" t="s">
        <v>2393</v>
      </c>
      <c r="X272" s="3" t="s">
        <v>3299</v>
      </c>
      <c r="Y272" s="3" t="s">
        <v>3300</v>
      </c>
      <c r="Z272" s="3" t="s">
        <v>3301</v>
      </c>
      <c r="AA272" s="3" t="s">
        <v>2871</v>
      </c>
      <c r="AB272" s="3" t="s">
        <v>3302</v>
      </c>
      <c r="AC272" s="3" t="s">
        <v>3303</v>
      </c>
      <c r="AD272" s="3" t="s">
        <v>3304</v>
      </c>
      <c r="AE272" s="4" t="s">
        <v>53</v>
      </c>
    </row>
    <row r="273" customFormat="false" ht="15" hidden="false" customHeight="true" outlineLevel="0" collapsed="false">
      <c r="A273" s="3" t="s">
        <v>3302</v>
      </c>
      <c r="B273" s="3" t="s">
        <v>1091</v>
      </c>
      <c r="C273" s="3" t="s">
        <v>3305</v>
      </c>
      <c r="D273" s="3" t="s">
        <v>2212</v>
      </c>
      <c r="E273" s="3" t="s">
        <v>258</v>
      </c>
      <c r="F273" s="4" t="s">
        <v>86</v>
      </c>
      <c r="G273" s="3" t="s">
        <v>3306</v>
      </c>
      <c r="H273" s="3" t="s">
        <v>3307</v>
      </c>
      <c r="I273" s="3" t="s">
        <v>3308</v>
      </c>
      <c r="J273" s="3" t="s">
        <v>3309</v>
      </c>
      <c r="K273" s="3" t="s">
        <v>3310</v>
      </c>
      <c r="L273" s="3" t="s">
        <v>1602</v>
      </c>
      <c r="M273" s="3"/>
      <c r="N273" s="3"/>
      <c r="O273" s="4"/>
      <c r="P273" s="3" t="s">
        <v>170</v>
      </c>
      <c r="Q273" s="3" t="s">
        <v>157</v>
      </c>
      <c r="R273" s="3" t="s">
        <v>158</v>
      </c>
      <c r="S273" s="3"/>
      <c r="T273" s="4" t="s">
        <v>412</v>
      </c>
      <c r="U273" s="3"/>
      <c r="V273" s="5" t="n">
        <v>9.8</v>
      </c>
      <c r="W273" s="3" t="s">
        <v>2393</v>
      </c>
      <c r="X273" s="3" t="s">
        <v>3311</v>
      </c>
      <c r="Y273" s="3" t="s">
        <v>3312</v>
      </c>
      <c r="Z273" s="3" t="s">
        <v>3313</v>
      </c>
      <c r="AA273" s="3" t="s">
        <v>3314</v>
      </c>
      <c r="AB273" s="3" t="s">
        <v>3291</v>
      </c>
      <c r="AC273" s="3" t="s">
        <v>3315</v>
      </c>
      <c r="AD273" s="3" t="s">
        <v>3316</v>
      </c>
      <c r="AE273" s="4" t="s">
        <v>53</v>
      </c>
    </row>
    <row r="274" customFormat="false" ht="15" hidden="false" customHeight="true" outlineLevel="0" collapsed="false">
      <c r="A274" s="3" t="s">
        <v>3317</v>
      </c>
      <c r="B274" s="3" t="s">
        <v>1091</v>
      </c>
      <c r="C274" s="3" t="s">
        <v>3318</v>
      </c>
      <c r="D274" s="3" t="s">
        <v>2212</v>
      </c>
      <c r="E274" s="3" t="s">
        <v>258</v>
      </c>
      <c r="F274" s="4" t="s">
        <v>86</v>
      </c>
      <c r="G274" s="3" t="s">
        <v>3319</v>
      </c>
      <c r="H274" s="3" t="s">
        <v>3320</v>
      </c>
      <c r="I274" s="3" t="s">
        <v>3321</v>
      </c>
      <c r="J274" s="3" t="s">
        <v>3322</v>
      </c>
      <c r="K274" s="3" t="s">
        <v>3323</v>
      </c>
      <c r="L274" s="3" t="s">
        <v>2596</v>
      </c>
      <c r="M274" s="3"/>
      <c r="N274" s="3"/>
      <c r="O274" s="4"/>
      <c r="P274" s="3" t="s">
        <v>3324</v>
      </c>
      <c r="Q274" s="3" t="s">
        <v>2774</v>
      </c>
      <c r="R274" s="3" t="s">
        <v>285</v>
      </c>
      <c r="S274" s="3" t="s">
        <v>1067</v>
      </c>
      <c r="T274" s="4" t="s">
        <v>412</v>
      </c>
      <c r="U274" s="3"/>
      <c r="V274" s="5" t="n">
        <v>10</v>
      </c>
      <c r="W274" s="3" t="s">
        <v>2221</v>
      </c>
      <c r="X274" s="3" t="s">
        <v>3325</v>
      </c>
      <c r="Y274" s="3" t="s">
        <v>3326</v>
      </c>
      <c r="Z274" s="3" t="s">
        <v>3327</v>
      </c>
      <c r="AA274" s="3" t="s">
        <v>2497</v>
      </c>
      <c r="AB274" s="3" t="s">
        <v>1014</v>
      </c>
      <c r="AC274" s="3" t="s">
        <v>3328</v>
      </c>
      <c r="AD274" s="3" t="s">
        <v>3329</v>
      </c>
      <c r="AE274" s="4" t="s">
        <v>53</v>
      </c>
    </row>
    <row r="275" customFormat="false" ht="15" hidden="false" customHeight="true" outlineLevel="0" collapsed="false">
      <c r="A275" s="3" t="s">
        <v>3330</v>
      </c>
      <c r="B275" s="3" t="s">
        <v>1091</v>
      </c>
      <c r="C275" s="3" t="s">
        <v>3331</v>
      </c>
      <c r="D275" s="3" t="s">
        <v>2212</v>
      </c>
      <c r="E275" s="3" t="s">
        <v>258</v>
      </c>
      <c r="F275" s="4" t="s">
        <v>86</v>
      </c>
      <c r="G275" s="3" t="s">
        <v>3332</v>
      </c>
      <c r="H275" s="3" t="s">
        <v>3333</v>
      </c>
      <c r="I275" s="3" t="s">
        <v>3334</v>
      </c>
      <c r="J275" s="3" t="s">
        <v>3335</v>
      </c>
      <c r="K275" s="3" t="s">
        <v>3336</v>
      </c>
      <c r="L275" s="3" t="s">
        <v>2698</v>
      </c>
      <c r="M275" s="3"/>
      <c r="N275" s="3"/>
      <c r="O275" s="4"/>
      <c r="P275" s="3" t="s">
        <v>2451</v>
      </c>
      <c r="Q275" s="3" t="s">
        <v>3337</v>
      </c>
      <c r="R275" s="3" t="s">
        <v>285</v>
      </c>
      <c r="S275" s="3"/>
      <c r="T275" s="4" t="s">
        <v>675</v>
      </c>
      <c r="U275" s="3"/>
      <c r="V275" s="5" t="n">
        <v>10</v>
      </c>
      <c r="W275" s="3" t="s">
        <v>3338</v>
      </c>
      <c r="X275" s="3" t="s">
        <v>3339</v>
      </c>
      <c r="Y275" s="3" t="s">
        <v>3340</v>
      </c>
      <c r="Z275" s="3" t="s">
        <v>3341</v>
      </c>
      <c r="AA275" s="3" t="s">
        <v>3342</v>
      </c>
      <c r="AB275" s="3" t="s">
        <v>3343</v>
      </c>
      <c r="AC275" s="3" t="s">
        <v>3344</v>
      </c>
      <c r="AD275" s="3" t="s">
        <v>3345</v>
      </c>
      <c r="AE275" s="4" t="s">
        <v>53</v>
      </c>
    </row>
    <row r="276" customFormat="false" ht="15" hidden="false" customHeight="true" outlineLevel="0" collapsed="false">
      <c r="A276" s="3" t="s">
        <v>3346</v>
      </c>
      <c r="B276" s="3" t="s">
        <v>1091</v>
      </c>
      <c r="C276" s="3" t="s">
        <v>3347</v>
      </c>
      <c r="D276" s="3" t="s">
        <v>2212</v>
      </c>
      <c r="E276" s="3" t="s">
        <v>258</v>
      </c>
      <c r="F276" s="4" t="s">
        <v>86</v>
      </c>
      <c r="G276" s="3" t="s">
        <v>3348</v>
      </c>
      <c r="H276" s="3" t="s">
        <v>3349</v>
      </c>
      <c r="I276" s="3" t="s">
        <v>3350</v>
      </c>
      <c r="J276" s="3" t="s">
        <v>3351</v>
      </c>
      <c r="K276" s="3" t="s">
        <v>3352</v>
      </c>
      <c r="L276" s="3" t="s">
        <v>2698</v>
      </c>
      <c r="M276" s="3"/>
      <c r="N276" s="3"/>
      <c r="O276" s="4"/>
      <c r="P276" s="3" t="s">
        <v>3353</v>
      </c>
      <c r="Q276" s="3" t="s">
        <v>95</v>
      </c>
      <c r="R276" s="3" t="s">
        <v>96</v>
      </c>
      <c r="S276" s="3"/>
      <c r="T276" s="4" t="s">
        <v>50</v>
      </c>
      <c r="U276" s="3"/>
      <c r="V276" s="5" t="n">
        <v>9.9</v>
      </c>
      <c r="W276" s="3" t="s">
        <v>3354</v>
      </c>
      <c r="X276" s="3" t="s">
        <v>3355</v>
      </c>
      <c r="Y276" s="3" t="s">
        <v>3356</v>
      </c>
      <c r="Z276" s="3" t="s">
        <v>3357</v>
      </c>
      <c r="AA276" s="3" t="s">
        <v>3358</v>
      </c>
      <c r="AB276" s="3" t="s">
        <v>1014</v>
      </c>
      <c r="AC276" s="3" t="s">
        <v>3359</v>
      </c>
      <c r="AD276" s="3" t="s">
        <v>3360</v>
      </c>
      <c r="AE276" s="4" t="s">
        <v>53</v>
      </c>
    </row>
    <row r="277" customFormat="false" ht="15" hidden="false" customHeight="true" outlineLevel="0" collapsed="false">
      <c r="A277" s="3" t="s">
        <v>3361</v>
      </c>
      <c r="B277" s="3" t="s">
        <v>1091</v>
      </c>
      <c r="C277" s="3" t="s">
        <v>3362</v>
      </c>
      <c r="D277" s="3" t="s">
        <v>2212</v>
      </c>
      <c r="E277" s="3" t="s">
        <v>258</v>
      </c>
      <c r="F277" s="4" t="s">
        <v>86</v>
      </c>
      <c r="G277" s="3" t="s">
        <v>3363</v>
      </c>
      <c r="H277" s="3" t="s">
        <v>3364</v>
      </c>
      <c r="I277" s="3" t="s">
        <v>3365</v>
      </c>
      <c r="J277" s="3" t="s">
        <v>3366</v>
      </c>
      <c r="K277" s="3" t="s">
        <v>3367</v>
      </c>
      <c r="L277" s="3" t="s">
        <v>1602</v>
      </c>
      <c r="M277" s="3"/>
      <c r="N277" s="3"/>
      <c r="O277" s="4"/>
      <c r="P277" s="3" t="s">
        <v>79</v>
      </c>
      <c r="Q277" s="3" t="s">
        <v>3368</v>
      </c>
      <c r="R277" s="3" t="s">
        <v>158</v>
      </c>
      <c r="S277" s="3"/>
      <c r="T277" s="4" t="s">
        <v>412</v>
      </c>
      <c r="U277" s="3"/>
      <c r="V277" s="5" t="n">
        <v>10</v>
      </c>
      <c r="W277" s="3" t="s">
        <v>2221</v>
      </c>
      <c r="X277" s="3" t="s">
        <v>3369</v>
      </c>
      <c r="Y277" s="3" t="s">
        <v>3370</v>
      </c>
      <c r="Z277" s="3" t="s">
        <v>2585</v>
      </c>
      <c r="AA277" s="3" t="s">
        <v>2586</v>
      </c>
      <c r="AB277" s="3" t="s">
        <v>3371</v>
      </c>
      <c r="AC277" s="3" t="s">
        <v>2261</v>
      </c>
      <c r="AD277" s="3" t="s">
        <v>3372</v>
      </c>
      <c r="AE277" s="4" t="s">
        <v>53</v>
      </c>
    </row>
    <row r="278" customFormat="false" ht="15" hidden="false" customHeight="true" outlineLevel="0" collapsed="false">
      <c r="A278" s="3" t="s">
        <v>3373</v>
      </c>
      <c r="B278" s="3" t="s">
        <v>1091</v>
      </c>
      <c r="C278" s="3" t="s">
        <v>3374</v>
      </c>
      <c r="D278" s="3" t="s">
        <v>2212</v>
      </c>
      <c r="E278" s="3" t="s">
        <v>258</v>
      </c>
      <c r="F278" s="4" t="s">
        <v>86</v>
      </c>
      <c r="G278" s="3" t="s">
        <v>3375</v>
      </c>
      <c r="H278" s="3" t="s">
        <v>3376</v>
      </c>
      <c r="I278" s="3" t="s">
        <v>3377</v>
      </c>
      <c r="J278" s="3" t="s">
        <v>3378</v>
      </c>
      <c r="K278" s="3" t="s">
        <v>3379</v>
      </c>
      <c r="L278" s="3" t="s">
        <v>2698</v>
      </c>
      <c r="M278" s="3"/>
      <c r="N278" s="3"/>
      <c r="O278" s="4"/>
      <c r="P278" s="3" t="s">
        <v>170</v>
      </c>
      <c r="Q278" s="3" t="s">
        <v>80</v>
      </c>
      <c r="R278" s="3" t="s">
        <v>81</v>
      </c>
      <c r="S278" s="3" t="s">
        <v>1067</v>
      </c>
      <c r="T278" s="4" t="s">
        <v>412</v>
      </c>
      <c r="U278" s="3"/>
      <c r="V278" s="5" t="n">
        <v>9.8</v>
      </c>
      <c r="W278" s="3" t="s">
        <v>2393</v>
      </c>
      <c r="X278" s="3" t="s">
        <v>3380</v>
      </c>
      <c r="Y278" s="3" t="s">
        <v>3381</v>
      </c>
      <c r="Z278" s="3" t="s">
        <v>3382</v>
      </c>
      <c r="AA278" s="3" t="s">
        <v>2497</v>
      </c>
      <c r="AB278" s="3" t="s">
        <v>3383</v>
      </c>
      <c r="AC278" s="3" t="s">
        <v>3384</v>
      </c>
      <c r="AD278" s="3" t="s">
        <v>3385</v>
      </c>
      <c r="AE278" s="4" t="s">
        <v>53</v>
      </c>
    </row>
    <row r="279" customFormat="false" ht="15" hidden="false" customHeight="true" outlineLevel="0" collapsed="false">
      <c r="A279" s="3" t="s">
        <v>3386</v>
      </c>
      <c r="B279" s="3" t="s">
        <v>1091</v>
      </c>
      <c r="C279" s="3" t="s">
        <v>3387</v>
      </c>
      <c r="D279" s="3" t="s">
        <v>2212</v>
      </c>
      <c r="E279" s="3" t="s">
        <v>258</v>
      </c>
      <c r="F279" s="4" t="s">
        <v>86</v>
      </c>
      <c r="G279" s="3" t="s">
        <v>3388</v>
      </c>
      <c r="H279" s="3" t="s">
        <v>3389</v>
      </c>
      <c r="I279" s="3" t="s">
        <v>3390</v>
      </c>
      <c r="J279" s="3" t="s">
        <v>3391</v>
      </c>
      <c r="K279" s="3" t="s">
        <v>3392</v>
      </c>
      <c r="L279" s="3" t="s">
        <v>2596</v>
      </c>
      <c r="M279" s="3"/>
      <c r="N279" s="3"/>
      <c r="O279" s="4"/>
      <c r="P279" s="3" t="s">
        <v>2597</v>
      </c>
      <c r="Q279" s="3" t="s">
        <v>3393</v>
      </c>
      <c r="R279" s="3" t="s">
        <v>285</v>
      </c>
      <c r="S279" s="3" t="s">
        <v>1067</v>
      </c>
      <c r="T279" s="4" t="s">
        <v>412</v>
      </c>
      <c r="U279" s="3"/>
      <c r="V279" s="5" t="n">
        <v>9.8</v>
      </c>
      <c r="W279" s="3" t="s">
        <v>2393</v>
      </c>
      <c r="X279" s="3" t="s">
        <v>3394</v>
      </c>
      <c r="Y279" s="3" t="s">
        <v>3395</v>
      </c>
      <c r="Z279" s="3" t="s">
        <v>3396</v>
      </c>
      <c r="AA279" s="3" t="s">
        <v>2887</v>
      </c>
      <c r="AB279" s="3" t="s">
        <v>3373</v>
      </c>
      <c r="AC279" s="3" t="s">
        <v>3397</v>
      </c>
      <c r="AD279" s="3" t="s">
        <v>3398</v>
      </c>
      <c r="AE279" s="4" t="s">
        <v>53</v>
      </c>
    </row>
    <row r="280" customFormat="false" ht="15" hidden="false" customHeight="true" outlineLevel="0" collapsed="false">
      <c r="A280" s="3" t="s">
        <v>3399</v>
      </c>
      <c r="B280" s="3" t="s">
        <v>32</v>
      </c>
      <c r="C280" s="3" t="s">
        <v>3400</v>
      </c>
      <c r="D280" s="3" t="s">
        <v>2212</v>
      </c>
      <c r="E280" s="3" t="s">
        <v>35</v>
      </c>
      <c r="F280" s="4" t="s">
        <v>36</v>
      </c>
      <c r="G280" s="3" t="s">
        <v>3401</v>
      </c>
      <c r="H280" s="3" t="s">
        <v>3402</v>
      </c>
      <c r="I280" s="3" t="s">
        <v>3403</v>
      </c>
      <c r="J280" s="3" t="s">
        <v>3404</v>
      </c>
      <c r="K280" s="3" t="s">
        <v>3405</v>
      </c>
      <c r="L280" s="3" t="s">
        <v>1602</v>
      </c>
      <c r="M280" s="3"/>
      <c r="N280" s="3"/>
      <c r="O280" s="4"/>
      <c r="P280" s="3" t="s">
        <v>3406</v>
      </c>
      <c r="Q280" s="3" t="s">
        <v>3407</v>
      </c>
      <c r="R280" s="3" t="s">
        <v>172</v>
      </c>
      <c r="S280" s="3" t="s">
        <v>1067</v>
      </c>
      <c r="T280" s="4" t="s">
        <v>82</v>
      </c>
      <c r="U280" s="3"/>
      <c r="V280" s="5" t="n">
        <v>7.2</v>
      </c>
      <c r="W280" s="3" t="s">
        <v>2285</v>
      </c>
      <c r="X280" s="3" t="s">
        <v>3408</v>
      </c>
      <c r="Y280" s="3" t="s">
        <v>3409</v>
      </c>
      <c r="Z280" s="3" t="s">
        <v>2274</v>
      </c>
      <c r="AA280" s="3" t="s">
        <v>3410</v>
      </c>
      <c r="AB280" s="3" t="s">
        <v>3411</v>
      </c>
      <c r="AC280" s="3" t="s">
        <v>3412</v>
      </c>
      <c r="AD280" s="3" t="s">
        <v>3413</v>
      </c>
      <c r="AE280" s="4" t="s">
        <v>53</v>
      </c>
    </row>
    <row r="281" customFormat="false" ht="15" hidden="false" customHeight="true" outlineLevel="0" collapsed="false">
      <c r="A281" s="3" t="s">
        <v>3414</v>
      </c>
      <c r="B281" s="3" t="s">
        <v>32</v>
      </c>
      <c r="C281" s="3" t="s">
        <v>3415</v>
      </c>
      <c r="D281" s="3" t="s">
        <v>2212</v>
      </c>
      <c r="E281" s="3" t="s">
        <v>258</v>
      </c>
      <c r="F281" s="4" t="s">
        <v>86</v>
      </c>
      <c r="G281" s="3" t="s">
        <v>3416</v>
      </c>
      <c r="H281" s="3" t="s">
        <v>3417</v>
      </c>
      <c r="I281" s="3" t="s">
        <v>3418</v>
      </c>
      <c r="J281" s="3" t="s">
        <v>3419</v>
      </c>
      <c r="K281" s="3" t="s">
        <v>3420</v>
      </c>
      <c r="L281" s="3" t="s">
        <v>2596</v>
      </c>
      <c r="M281" s="3"/>
      <c r="N281" s="3"/>
      <c r="O281" s="4"/>
      <c r="P281" s="3" t="s">
        <v>170</v>
      </c>
      <c r="Q281" s="3" t="s">
        <v>3421</v>
      </c>
      <c r="R281" s="3" t="s">
        <v>285</v>
      </c>
      <c r="S281" s="3" t="s">
        <v>1067</v>
      </c>
      <c r="T281" s="4" t="s">
        <v>50</v>
      </c>
      <c r="U281" s="3"/>
      <c r="V281" s="5" t="n">
        <v>9.8</v>
      </c>
      <c r="W281" s="3" t="s">
        <v>2393</v>
      </c>
      <c r="X281" s="3" t="s">
        <v>3422</v>
      </c>
      <c r="Y281" s="3" t="s">
        <v>3423</v>
      </c>
      <c r="Z281" s="3" t="s">
        <v>2224</v>
      </c>
      <c r="AA281" s="3" t="s">
        <v>2497</v>
      </c>
      <c r="AB281" s="3" t="s">
        <v>3424</v>
      </c>
      <c r="AC281" s="3" t="s">
        <v>2430</v>
      </c>
      <c r="AD281" s="3" t="s">
        <v>3425</v>
      </c>
      <c r="AE281" s="4" t="s">
        <v>53</v>
      </c>
    </row>
    <row r="282" customFormat="false" ht="15" hidden="false" customHeight="true" outlineLevel="0" collapsed="false">
      <c r="A282" s="3" t="s">
        <v>451</v>
      </c>
      <c r="B282" s="3" t="s">
        <v>32</v>
      </c>
      <c r="C282" s="3" t="s">
        <v>3426</v>
      </c>
      <c r="D282" s="3" t="s">
        <v>2212</v>
      </c>
      <c r="E282" s="3" t="s">
        <v>258</v>
      </c>
      <c r="F282" s="4" t="s">
        <v>86</v>
      </c>
      <c r="G282" s="3" t="s">
        <v>3427</v>
      </c>
      <c r="H282" s="3" t="s">
        <v>3428</v>
      </c>
      <c r="I282" s="3" t="s">
        <v>3429</v>
      </c>
      <c r="J282" s="3" t="s">
        <v>3430</v>
      </c>
      <c r="K282" s="3" t="s">
        <v>3431</v>
      </c>
      <c r="L282" s="3" t="s">
        <v>2698</v>
      </c>
      <c r="M282" s="3"/>
      <c r="N282" s="3"/>
      <c r="O282" s="4"/>
      <c r="P282" s="3" t="s">
        <v>79</v>
      </c>
      <c r="Q282" s="3" t="s">
        <v>3432</v>
      </c>
      <c r="R282" s="3" t="s">
        <v>450</v>
      </c>
      <c r="S282" s="3" t="s">
        <v>1067</v>
      </c>
      <c r="T282" s="4" t="s">
        <v>50</v>
      </c>
      <c r="U282" s="3"/>
      <c r="V282" s="5" t="n">
        <v>9.8</v>
      </c>
      <c r="W282" s="3" t="s">
        <v>2393</v>
      </c>
      <c r="X282" s="3" t="s">
        <v>3433</v>
      </c>
      <c r="Y282" s="3" t="s">
        <v>3434</v>
      </c>
      <c r="Z282" s="3" t="s">
        <v>3435</v>
      </c>
      <c r="AA282" s="3" t="s">
        <v>2497</v>
      </c>
      <c r="AB282" s="3" t="s">
        <v>3436</v>
      </c>
      <c r="AC282" s="3" t="s">
        <v>3437</v>
      </c>
      <c r="AD282" s="3" t="s">
        <v>3438</v>
      </c>
      <c r="AE282" s="4" t="s">
        <v>53</v>
      </c>
    </row>
    <row r="283" customFormat="false" ht="15" hidden="false" customHeight="true" outlineLevel="0" collapsed="false">
      <c r="A283" s="3" t="s">
        <v>3439</v>
      </c>
      <c r="B283" s="3" t="s">
        <v>32</v>
      </c>
      <c r="C283" s="3" t="s">
        <v>3440</v>
      </c>
      <c r="D283" s="3" t="s">
        <v>2212</v>
      </c>
      <c r="E283" s="3" t="s">
        <v>258</v>
      </c>
      <c r="F283" s="4" t="s">
        <v>86</v>
      </c>
      <c r="G283" s="3" t="s">
        <v>3441</v>
      </c>
      <c r="H283" s="3" t="s">
        <v>3442</v>
      </c>
      <c r="I283" s="3" t="s">
        <v>3443</v>
      </c>
      <c r="J283" s="3" t="s">
        <v>3444</v>
      </c>
      <c r="K283" s="3" t="s">
        <v>3445</v>
      </c>
      <c r="L283" s="3" t="s">
        <v>2698</v>
      </c>
      <c r="M283" s="3"/>
      <c r="N283" s="3"/>
      <c r="O283" s="4"/>
      <c r="P283" s="3" t="s">
        <v>94</v>
      </c>
      <c r="Q283" s="3" t="s">
        <v>3446</v>
      </c>
      <c r="R283" s="3" t="s">
        <v>3447</v>
      </c>
      <c r="S283" s="3" t="s">
        <v>1067</v>
      </c>
      <c r="T283" s="4" t="s">
        <v>82</v>
      </c>
      <c r="U283" s="3"/>
      <c r="V283" s="5" t="n">
        <v>10</v>
      </c>
      <c r="W283" s="3" t="s">
        <v>2221</v>
      </c>
      <c r="X283" s="3" t="s">
        <v>3448</v>
      </c>
      <c r="Y283" s="3" t="s">
        <v>3449</v>
      </c>
      <c r="Z283" s="3" t="s">
        <v>3450</v>
      </c>
      <c r="AA283" s="3" t="s">
        <v>3451</v>
      </c>
      <c r="AB283" s="3" t="s">
        <v>3452</v>
      </c>
      <c r="AC283" s="3" t="s">
        <v>3453</v>
      </c>
      <c r="AD283" s="3" t="s">
        <v>3454</v>
      </c>
      <c r="AE283" s="4" t="s">
        <v>53</v>
      </c>
    </row>
    <row r="284" customFormat="false" ht="15" hidden="false" customHeight="true" outlineLevel="0" collapsed="false">
      <c r="A284" s="3" t="s">
        <v>3455</v>
      </c>
      <c r="B284" s="3" t="s">
        <v>32</v>
      </c>
      <c r="C284" s="3" t="s">
        <v>3456</v>
      </c>
      <c r="D284" s="3" t="s">
        <v>2212</v>
      </c>
      <c r="E284" s="3" t="s">
        <v>258</v>
      </c>
      <c r="F284" s="4" t="s">
        <v>86</v>
      </c>
      <c r="G284" s="3" t="s">
        <v>3457</v>
      </c>
      <c r="H284" s="3" t="s">
        <v>3458</v>
      </c>
      <c r="I284" s="3" t="s">
        <v>3459</v>
      </c>
      <c r="J284" s="3" t="s">
        <v>3460</v>
      </c>
      <c r="K284" s="3" t="s">
        <v>3461</v>
      </c>
      <c r="L284" s="3" t="s">
        <v>2698</v>
      </c>
      <c r="M284" s="3"/>
      <c r="N284" s="3"/>
      <c r="O284" s="4"/>
      <c r="P284" s="3" t="s">
        <v>170</v>
      </c>
      <c r="Q284" s="3" t="s">
        <v>542</v>
      </c>
      <c r="R284" s="3" t="s">
        <v>285</v>
      </c>
      <c r="S284" s="3" t="s">
        <v>1067</v>
      </c>
      <c r="T284" s="4" t="s">
        <v>82</v>
      </c>
      <c r="U284" s="3"/>
      <c r="V284" s="5" t="n">
        <v>9.8</v>
      </c>
      <c r="W284" s="3" t="s">
        <v>2393</v>
      </c>
      <c r="X284" s="3" t="s">
        <v>3462</v>
      </c>
      <c r="Y284" s="3" t="s">
        <v>3463</v>
      </c>
      <c r="Z284" s="3" t="s">
        <v>3464</v>
      </c>
      <c r="AA284" s="3" t="s">
        <v>2764</v>
      </c>
      <c r="AB284" s="3" t="s">
        <v>3465</v>
      </c>
      <c r="AC284" s="3" t="s">
        <v>3466</v>
      </c>
      <c r="AD284" s="3" t="s">
        <v>3467</v>
      </c>
      <c r="AE284" s="4" t="s">
        <v>53</v>
      </c>
    </row>
    <row r="285" customFormat="false" ht="15" hidden="false" customHeight="true" outlineLevel="0" collapsed="false">
      <c r="A285" s="3" t="s">
        <v>3468</v>
      </c>
      <c r="B285" s="3" t="s">
        <v>32</v>
      </c>
      <c r="C285" s="3" t="s">
        <v>3469</v>
      </c>
      <c r="D285" s="3" t="s">
        <v>2212</v>
      </c>
      <c r="E285" s="3" t="s">
        <v>258</v>
      </c>
      <c r="F285" s="4" t="s">
        <v>86</v>
      </c>
      <c r="G285" s="3" t="s">
        <v>3470</v>
      </c>
      <c r="H285" s="3" t="s">
        <v>3471</v>
      </c>
      <c r="I285" s="3" t="s">
        <v>3472</v>
      </c>
      <c r="J285" s="3" t="s">
        <v>3473</v>
      </c>
      <c r="K285" s="3" t="s">
        <v>3474</v>
      </c>
      <c r="L285" s="3" t="s">
        <v>2698</v>
      </c>
      <c r="M285" s="3"/>
      <c r="N285" s="3"/>
      <c r="O285" s="4"/>
      <c r="P285" s="3" t="s">
        <v>79</v>
      </c>
      <c r="Q285" s="3" t="s">
        <v>3475</v>
      </c>
      <c r="R285" s="3" t="s">
        <v>285</v>
      </c>
      <c r="S285" s="3" t="s">
        <v>1067</v>
      </c>
      <c r="T285" s="4" t="s">
        <v>82</v>
      </c>
      <c r="U285" s="3"/>
      <c r="V285" s="5" t="n">
        <v>9.8</v>
      </c>
      <c r="W285" s="3" t="s">
        <v>2393</v>
      </c>
      <c r="X285" s="3" t="s">
        <v>3476</v>
      </c>
      <c r="Y285" s="3" t="s">
        <v>3477</v>
      </c>
      <c r="Z285" s="3" t="s">
        <v>2224</v>
      </c>
      <c r="AA285" s="3" t="s">
        <v>2497</v>
      </c>
      <c r="AB285" s="3" t="s">
        <v>3478</v>
      </c>
      <c r="AC285" s="3" t="s">
        <v>2430</v>
      </c>
      <c r="AD285" s="3" t="s">
        <v>3479</v>
      </c>
      <c r="AE285" s="4" t="s">
        <v>53</v>
      </c>
    </row>
    <row r="286" customFormat="false" ht="15" hidden="false" customHeight="true" outlineLevel="0" collapsed="false">
      <c r="A286" s="3" t="s">
        <v>3480</v>
      </c>
      <c r="B286" s="3" t="s">
        <v>32</v>
      </c>
      <c r="C286" s="3" t="s">
        <v>3481</v>
      </c>
      <c r="D286" s="3" t="s">
        <v>2212</v>
      </c>
      <c r="E286" s="3" t="s">
        <v>258</v>
      </c>
      <c r="F286" s="4" t="s">
        <v>86</v>
      </c>
      <c r="G286" s="3" t="s">
        <v>3482</v>
      </c>
      <c r="H286" s="3" t="s">
        <v>3483</v>
      </c>
      <c r="I286" s="3" t="s">
        <v>3484</v>
      </c>
      <c r="J286" s="3" t="s">
        <v>3485</v>
      </c>
      <c r="K286" s="3" t="s">
        <v>3486</v>
      </c>
      <c r="L286" s="3" t="s">
        <v>2759</v>
      </c>
      <c r="M286" s="3"/>
      <c r="N286" s="3"/>
      <c r="O286" s="4"/>
      <c r="P286" s="3" t="s">
        <v>79</v>
      </c>
      <c r="Q286" s="3" t="s">
        <v>2538</v>
      </c>
      <c r="R286" s="3" t="s">
        <v>2539</v>
      </c>
      <c r="S286" s="3" t="s">
        <v>1067</v>
      </c>
      <c r="T286" s="4" t="s">
        <v>82</v>
      </c>
      <c r="U286" s="3"/>
      <c r="V286" s="5" t="n">
        <v>7.5</v>
      </c>
      <c r="W286" s="3" t="s">
        <v>2300</v>
      </c>
      <c r="X286" s="3" t="s">
        <v>3487</v>
      </c>
      <c r="Y286" s="3" t="s">
        <v>3488</v>
      </c>
      <c r="Z286" s="3" t="s">
        <v>2224</v>
      </c>
      <c r="AA286" s="3" t="s">
        <v>2764</v>
      </c>
      <c r="AB286" s="3" t="s">
        <v>174</v>
      </c>
      <c r="AC286" s="3" t="s">
        <v>3489</v>
      </c>
      <c r="AD286" s="3" t="s">
        <v>3490</v>
      </c>
      <c r="AE286" s="4" t="s">
        <v>53</v>
      </c>
    </row>
    <row r="287" customFormat="false" ht="15" hidden="false" customHeight="true" outlineLevel="0" collapsed="false">
      <c r="A287" s="3" t="s">
        <v>3491</v>
      </c>
      <c r="B287" s="3" t="s">
        <v>32</v>
      </c>
      <c r="C287" s="3" t="s">
        <v>3492</v>
      </c>
      <c r="D287" s="3" t="s">
        <v>2212</v>
      </c>
      <c r="E287" s="3" t="s">
        <v>258</v>
      </c>
      <c r="F287" s="4" t="s">
        <v>86</v>
      </c>
      <c r="G287" s="3" t="s">
        <v>3493</v>
      </c>
      <c r="H287" s="3" t="s">
        <v>3494</v>
      </c>
      <c r="I287" s="3" t="s">
        <v>3495</v>
      </c>
      <c r="J287" s="3" t="s">
        <v>3496</v>
      </c>
      <c r="K287" s="3" t="s">
        <v>3497</v>
      </c>
      <c r="L287" s="3" t="s">
        <v>2698</v>
      </c>
      <c r="M287" s="3"/>
      <c r="N287" s="3"/>
      <c r="O287" s="4"/>
      <c r="P287" s="3" t="s">
        <v>170</v>
      </c>
      <c r="Q287" s="3" t="s">
        <v>3498</v>
      </c>
      <c r="R287" s="3" t="s">
        <v>285</v>
      </c>
      <c r="S287" s="3" t="s">
        <v>1067</v>
      </c>
      <c r="T287" s="4" t="s">
        <v>82</v>
      </c>
      <c r="U287" s="3"/>
      <c r="V287" s="5" t="n">
        <v>9.8</v>
      </c>
      <c r="W287" s="3" t="s">
        <v>2393</v>
      </c>
      <c r="X287" s="3" t="s">
        <v>3499</v>
      </c>
      <c r="Y287" s="3" t="s">
        <v>3500</v>
      </c>
      <c r="Z287" s="3" t="s">
        <v>3501</v>
      </c>
      <c r="AA287" s="3" t="s">
        <v>2497</v>
      </c>
      <c r="AB287" s="3" t="s">
        <v>3502</v>
      </c>
      <c r="AC287" s="3" t="s">
        <v>3503</v>
      </c>
      <c r="AD287" s="3" t="s">
        <v>3504</v>
      </c>
      <c r="AE287" s="4" t="s">
        <v>53</v>
      </c>
    </row>
    <row r="288" customFormat="false" ht="15" hidden="false" customHeight="true" outlineLevel="0" collapsed="false">
      <c r="A288" s="3" t="s">
        <v>3505</v>
      </c>
      <c r="B288" s="3" t="s">
        <v>32</v>
      </c>
      <c r="C288" s="3" t="s">
        <v>3506</v>
      </c>
      <c r="D288" s="3" t="s">
        <v>2212</v>
      </c>
      <c r="E288" s="3" t="s">
        <v>258</v>
      </c>
      <c r="F288" s="4" t="s">
        <v>86</v>
      </c>
      <c r="G288" s="3" t="s">
        <v>3507</v>
      </c>
      <c r="H288" s="3" t="s">
        <v>3508</v>
      </c>
      <c r="I288" s="3" t="s">
        <v>3509</v>
      </c>
      <c r="J288" s="3" t="s">
        <v>3510</v>
      </c>
      <c r="K288" s="3" t="s">
        <v>3511</v>
      </c>
      <c r="L288" s="3" t="s">
        <v>2759</v>
      </c>
      <c r="M288" s="3"/>
      <c r="N288" s="3"/>
      <c r="O288" s="4"/>
      <c r="P288" s="3" t="s">
        <v>2816</v>
      </c>
      <c r="Q288" s="3" t="s">
        <v>3512</v>
      </c>
      <c r="R288" s="3" t="s">
        <v>285</v>
      </c>
      <c r="S288" s="3" t="s">
        <v>1067</v>
      </c>
      <c r="T288" s="4" t="s">
        <v>50</v>
      </c>
      <c r="U288" s="3"/>
      <c r="V288" s="5" t="n">
        <v>10</v>
      </c>
      <c r="W288" s="3" t="s">
        <v>3513</v>
      </c>
      <c r="X288" s="3" t="s">
        <v>3514</v>
      </c>
      <c r="Y288" s="3" t="s">
        <v>3515</v>
      </c>
      <c r="Z288" s="3" t="s">
        <v>3516</v>
      </c>
      <c r="AA288" s="3" t="s">
        <v>2764</v>
      </c>
      <c r="AB288" s="3" t="s">
        <v>3517</v>
      </c>
      <c r="AC288" s="3" t="s">
        <v>3518</v>
      </c>
      <c r="AD288" s="3" t="s">
        <v>3519</v>
      </c>
      <c r="AE288" s="4" t="s">
        <v>53</v>
      </c>
    </row>
    <row r="289" customFormat="false" ht="15" hidden="false" customHeight="true" outlineLevel="0" collapsed="false">
      <c r="A289" s="3" t="s">
        <v>3520</v>
      </c>
      <c r="B289" s="3" t="s">
        <v>32</v>
      </c>
      <c r="C289" s="3" t="s">
        <v>3521</v>
      </c>
      <c r="D289" s="3" t="s">
        <v>2212</v>
      </c>
      <c r="E289" s="3" t="s">
        <v>258</v>
      </c>
      <c r="F289" s="4" t="s">
        <v>86</v>
      </c>
      <c r="G289" s="3" t="s">
        <v>3522</v>
      </c>
      <c r="H289" s="3" t="s">
        <v>3523</v>
      </c>
      <c r="I289" s="3" t="s">
        <v>3524</v>
      </c>
      <c r="J289" s="3" t="s">
        <v>3525</v>
      </c>
      <c r="K289" s="3" t="s">
        <v>3526</v>
      </c>
      <c r="L289" s="3" t="s">
        <v>2698</v>
      </c>
      <c r="M289" s="3"/>
      <c r="N289" s="3"/>
      <c r="O289" s="4"/>
      <c r="P289" s="3" t="s">
        <v>79</v>
      </c>
      <c r="Q289" s="3" t="s">
        <v>3527</v>
      </c>
      <c r="R289" s="3" t="s">
        <v>253</v>
      </c>
      <c r="S289" s="3" t="s">
        <v>1067</v>
      </c>
      <c r="T289" s="4" t="s">
        <v>82</v>
      </c>
      <c r="U289" s="3"/>
      <c r="V289" s="5" t="n">
        <v>10</v>
      </c>
      <c r="W289" s="3" t="s">
        <v>3513</v>
      </c>
      <c r="X289" s="3" t="s">
        <v>3528</v>
      </c>
      <c r="Y289" s="3" t="s">
        <v>3529</v>
      </c>
      <c r="Z289" s="3" t="s">
        <v>3530</v>
      </c>
      <c r="AA289" s="3" t="s">
        <v>2764</v>
      </c>
      <c r="AB289" s="3" t="s">
        <v>3531</v>
      </c>
      <c r="AC289" s="3" t="s">
        <v>3532</v>
      </c>
      <c r="AD289" s="3" t="s">
        <v>3533</v>
      </c>
      <c r="AE289" s="4" t="s">
        <v>53</v>
      </c>
    </row>
    <row r="290" customFormat="false" ht="15" hidden="false" customHeight="true" outlineLevel="0" collapsed="false">
      <c r="A290" s="3" t="s">
        <v>3534</v>
      </c>
      <c r="B290" s="3" t="s">
        <v>32</v>
      </c>
      <c r="C290" s="3" t="s">
        <v>3535</v>
      </c>
      <c r="D290" s="3" t="s">
        <v>2212</v>
      </c>
      <c r="E290" s="3" t="s">
        <v>258</v>
      </c>
      <c r="F290" s="4" t="s">
        <v>86</v>
      </c>
      <c r="G290" s="3" t="s">
        <v>3536</v>
      </c>
      <c r="H290" s="3" t="s">
        <v>3537</v>
      </c>
      <c r="I290" s="3" t="s">
        <v>3538</v>
      </c>
      <c r="J290" s="3" t="s">
        <v>3539</v>
      </c>
      <c r="K290" s="3" t="s">
        <v>3540</v>
      </c>
      <c r="L290" s="3" t="s">
        <v>2698</v>
      </c>
      <c r="M290" s="3"/>
      <c r="N290" s="3"/>
      <c r="O290" s="4"/>
      <c r="P290" s="3" t="s">
        <v>79</v>
      </c>
      <c r="Q290" s="3" t="s">
        <v>3541</v>
      </c>
      <c r="R290" s="3" t="s">
        <v>96</v>
      </c>
      <c r="S290" s="3" t="s">
        <v>1067</v>
      </c>
      <c r="T290" s="4" t="s">
        <v>82</v>
      </c>
      <c r="U290" s="3"/>
      <c r="V290" s="5" t="n">
        <v>9.8</v>
      </c>
      <c r="W290" s="3" t="s">
        <v>2393</v>
      </c>
      <c r="X290" s="3" t="s">
        <v>3542</v>
      </c>
      <c r="Y290" s="3" t="s">
        <v>3543</v>
      </c>
      <c r="Z290" s="3" t="s">
        <v>3544</v>
      </c>
      <c r="AA290" s="3" t="s">
        <v>2764</v>
      </c>
      <c r="AB290" s="3" t="s">
        <v>3545</v>
      </c>
      <c r="AC290" s="3" t="s">
        <v>3546</v>
      </c>
      <c r="AD290" s="3" t="s">
        <v>3547</v>
      </c>
      <c r="AE290" s="4" t="s">
        <v>53</v>
      </c>
    </row>
    <row r="291" customFormat="false" ht="15" hidden="false" customHeight="true" outlineLevel="0" collapsed="false">
      <c r="A291" s="3" t="s">
        <v>3548</v>
      </c>
      <c r="B291" s="3" t="s">
        <v>32</v>
      </c>
      <c r="C291" s="3" t="s">
        <v>3549</v>
      </c>
      <c r="D291" s="3" t="s">
        <v>2212</v>
      </c>
      <c r="E291" s="3" t="s">
        <v>258</v>
      </c>
      <c r="F291" s="4" t="s">
        <v>86</v>
      </c>
      <c r="G291" s="3" t="s">
        <v>3550</v>
      </c>
      <c r="H291" s="3" t="s">
        <v>3551</v>
      </c>
      <c r="I291" s="3" t="s">
        <v>3552</v>
      </c>
      <c r="J291" s="3" t="s">
        <v>3553</v>
      </c>
      <c r="K291" s="3" t="s">
        <v>3554</v>
      </c>
      <c r="L291" s="3" t="s">
        <v>1602</v>
      </c>
      <c r="M291" s="3"/>
      <c r="N291" s="3"/>
      <c r="O291" s="4"/>
      <c r="P291" s="3" t="s">
        <v>170</v>
      </c>
      <c r="Q291" s="3" t="s">
        <v>157</v>
      </c>
      <c r="R291" s="3" t="s">
        <v>158</v>
      </c>
      <c r="S291" s="3" t="s">
        <v>1067</v>
      </c>
      <c r="T291" s="4" t="s">
        <v>82</v>
      </c>
      <c r="U291" s="3"/>
      <c r="V291" s="5" t="n">
        <v>9.8</v>
      </c>
      <c r="W291" s="3" t="s">
        <v>2393</v>
      </c>
      <c r="X291" s="3" t="s">
        <v>3555</v>
      </c>
      <c r="Y291" s="3" t="s">
        <v>3556</v>
      </c>
      <c r="Z291" s="3" t="s">
        <v>2224</v>
      </c>
      <c r="AA291" s="3" t="s">
        <v>2348</v>
      </c>
      <c r="AB291" s="3" t="s">
        <v>3557</v>
      </c>
      <c r="AC291" s="3" t="s">
        <v>2430</v>
      </c>
      <c r="AD291" s="3" t="s">
        <v>3558</v>
      </c>
      <c r="AE291" s="4" t="s">
        <v>53</v>
      </c>
    </row>
    <row r="292" customFormat="false" ht="15" hidden="false" customHeight="true" outlineLevel="0" collapsed="false">
      <c r="A292" s="3" t="s">
        <v>3559</v>
      </c>
      <c r="B292" s="3" t="s">
        <v>32</v>
      </c>
      <c r="C292" s="3" t="s">
        <v>3560</v>
      </c>
      <c r="D292" s="3" t="s">
        <v>2212</v>
      </c>
      <c r="E292" s="3" t="s">
        <v>189</v>
      </c>
      <c r="F292" s="4" t="s">
        <v>101</v>
      </c>
      <c r="G292" s="3" t="s">
        <v>3561</v>
      </c>
      <c r="H292" s="3" t="s">
        <v>3562</v>
      </c>
      <c r="I292" s="3" t="s">
        <v>3563</v>
      </c>
      <c r="J292" s="3" t="s">
        <v>3564</v>
      </c>
      <c r="K292" s="3" t="s">
        <v>3565</v>
      </c>
      <c r="L292" s="3" t="s">
        <v>2759</v>
      </c>
      <c r="M292" s="3"/>
      <c r="N292" s="3"/>
      <c r="O292" s="4"/>
      <c r="P292" s="3" t="s">
        <v>2205</v>
      </c>
      <c r="Q292" s="3" t="s">
        <v>410</v>
      </c>
      <c r="R292" s="3" t="s">
        <v>285</v>
      </c>
      <c r="S292" s="3" t="s">
        <v>1067</v>
      </c>
      <c r="T292" s="4" t="s">
        <v>82</v>
      </c>
      <c r="U292" s="3"/>
      <c r="V292" s="5" t="n">
        <v>5.3</v>
      </c>
      <c r="W292" s="3" t="s">
        <v>3566</v>
      </c>
      <c r="X292" s="3" t="s">
        <v>3567</v>
      </c>
      <c r="Y292" s="3" t="s">
        <v>3568</v>
      </c>
      <c r="Z292" s="3" t="s">
        <v>3569</v>
      </c>
      <c r="AA292" s="3" t="s">
        <v>2764</v>
      </c>
      <c r="AB292" s="3" t="s">
        <v>3570</v>
      </c>
      <c r="AC292" s="3" t="s">
        <v>3571</v>
      </c>
      <c r="AD292" s="3" t="s">
        <v>3572</v>
      </c>
      <c r="AE292" s="4" t="s">
        <v>53</v>
      </c>
    </row>
    <row r="293" customFormat="false" ht="15" hidden="false" customHeight="true" outlineLevel="0" collapsed="false">
      <c r="A293" s="3" t="s">
        <v>3573</v>
      </c>
      <c r="B293" s="3" t="s">
        <v>32</v>
      </c>
      <c r="C293" s="3" t="s">
        <v>3574</v>
      </c>
      <c r="D293" s="3" t="s">
        <v>2212</v>
      </c>
      <c r="E293" s="3" t="s">
        <v>258</v>
      </c>
      <c r="F293" s="4" t="s">
        <v>86</v>
      </c>
      <c r="G293" s="3" t="s">
        <v>3575</v>
      </c>
      <c r="H293" s="3" t="s">
        <v>3576</v>
      </c>
      <c r="I293" s="3" t="s">
        <v>3577</v>
      </c>
      <c r="J293" s="3" t="s">
        <v>3578</v>
      </c>
      <c r="K293" s="3" t="s">
        <v>3579</v>
      </c>
      <c r="L293" s="3" t="s">
        <v>2759</v>
      </c>
      <c r="M293" s="3"/>
      <c r="N293" s="3"/>
      <c r="O293" s="4"/>
      <c r="P293" s="3" t="s">
        <v>170</v>
      </c>
      <c r="Q293" s="3" t="s">
        <v>3580</v>
      </c>
      <c r="R293" s="3" t="s">
        <v>172</v>
      </c>
      <c r="S293" s="3"/>
      <c r="T293" s="4" t="s">
        <v>82</v>
      </c>
      <c r="U293" s="3"/>
      <c r="V293" s="5" t="n">
        <v>10</v>
      </c>
      <c r="W293" s="3" t="s">
        <v>3338</v>
      </c>
      <c r="X293" s="3" t="s">
        <v>3581</v>
      </c>
      <c r="Y293" s="3" t="s">
        <v>3582</v>
      </c>
      <c r="Z293" s="3" t="s">
        <v>3583</v>
      </c>
      <c r="AA293" s="3" t="s">
        <v>3584</v>
      </c>
      <c r="AB293" s="3" t="s">
        <v>3585</v>
      </c>
      <c r="AC293" s="3" t="s">
        <v>3586</v>
      </c>
      <c r="AD293" s="3" t="s">
        <v>3587</v>
      </c>
      <c r="AE293" s="4" t="s">
        <v>53</v>
      </c>
    </row>
    <row r="294" customFormat="false" ht="15" hidden="false" customHeight="true" outlineLevel="0" collapsed="false">
      <c r="A294" s="3" t="s">
        <v>3588</v>
      </c>
      <c r="B294" s="3" t="s">
        <v>32</v>
      </c>
      <c r="C294" s="3" t="s">
        <v>3589</v>
      </c>
      <c r="D294" s="3" t="s">
        <v>2212</v>
      </c>
      <c r="E294" s="3" t="s">
        <v>258</v>
      </c>
      <c r="F294" s="4" t="s">
        <v>86</v>
      </c>
      <c r="G294" s="3" t="s">
        <v>3590</v>
      </c>
      <c r="H294" s="3" t="s">
        <v>3591</v>
      </c>
      <c r="I294" s="3" t="s">
        <v>3592</v>
      </c>
      <c r="J294" s="3" t="s">
        <v>3593</v>
      </c>
      <c r="K294" s="3" t="s">
        <v>3594</v>
      </c>
      <c r="L294" s="3" t="s">
        <v>2698</v>
      </c>
      <c r="M294" s="3"/>
      <c r="N294" s="3"/>
      <c r="O294" s="4"/>
      <c r="P294" s="3" t="s">
        <v>170</v>
      </c>
      <c r="Q294" s="3" t="s">
        <v>3595</v>
      </c>
      <c r="R294" s="3" t="s">
        <v>285</v>
      </c>
      <c r="S294" s="3" t="s">
        <v>1067</v>
      </c>
      <c r="T294" s="4" t="s">
        <v>82</v>
      </c>
      <c r="U294" s="3"/>
      <c r="V294" s="5" t="n">
        <v>9.8</v>
      </c>
      <c r="W294" s="3" t="s">
        <v>2393</v>
      </c>
      <c r="X294" s="3" t="s">
        <v>3596</v>
      </c>
      <c r="Y294" s="3" t="s">
        <v>3597</v>
      </c>
      <c r="Z294" s="3" t="s">
        <v>2224</v>
      </c>
      <c r="AA294" s="3" t="s">
        <v>2497</v>
      </c>
      <c r="AB294" s="3" t="s">
        <v>3598</v>
      </c>
      <c r="AC294" s="3" t="s">
        <v>2430</v>
      </c>
      <c r="AD294" s="3" t="s">
        <v>3599</v>
      </c>
      <c r="AE294" s="4" t="s">
        <v>53</v>
      </c>
    </row>
    <row r="295" customFormat="false" ht="15" hidden="false" customHeight="true" outlineLevel="0" collapsed="false">
      <c r="A295" s="3" t="s">
        <v>3600</v>
      </c>
      <c r="B295" s="3" t="s">
        <v>32</v>
      </c>
      <c r="C295" s="3" t="s">
        <v>3601</v>
      </c>
      <c r="D295" s="3" t="s">
        <v>2212</v>
      </c>
      <c r="E295" s="3" t="s">
        <v>258</v>
      </c>
      <c r="F295" s="4" t="s">
        <v>86</v>
      </c>
      <c r="G295" s="3" t="s">
        <v>3602</v>
      </c>
      <c r="H295" s="3" t="s">
        <v>3603</v>
      </c>
      <c r="I295" s="3" t="s">
        <v>3604</v>
      </c>
      <c r="J295" s="3" t="s">
        <v>3605</v>
      </c>
      <c r="K295" s="3" t="s">
        <v>3606</v>
      </c>
      <c r="L295" s="3" t="s">
        <v>2698</v>
      </c>
      <c r="M295" s="3"/>
      <c r="N295" s="3"/>
      <c r="O295" s="4"/>
      <c r="P295" s="3" t="s">
        <v>79</v>
      </c>
      <c r="Q295" s="3" t="s">
        <v>80</v>
      </c>
      <c r="R295" s="3" t="s">
        <v>81</v>
      </c>
      <c r="S295" s="3"/>
      <c r="T295" s="4" t="s">
        <v>82</v>
      </c>
      <c r="U295" s="3"/>
      <c r="V295" s="5" t="n">
        <v>9.8</v>
      </c>
      <c r="W295" s="3" t="s">
        <v>2393</v>
      </c>
      <c r="X295" s="3" t="s">
        <v>3607</v>
      </c>
      <c r="Y295" s="3" t="s">
        <v>3608</v>
      </c>
      <c r="Z295" s="3" t="s">
        <v>3609</v>
      </c>
      <c r="AA295" s="3" t="s">
        <v>3610</v>
      </c>
      <c r="AB295" s="3" t="s">
        <v>3611</v>
      </c>
      <c r="AC295" s="3" t="s">
        <v>2261</v>
      </c>
      <c r="AD295" s="3" t="s">
        <v>3612</v>
      </c>
      <c r="AE295" s="4" t="s">
        <v>53</v>
      </c>
    </row>
    <row r="296" customFormat="false" ht="15" hidden="false" customHeight="true" outlineLevel="0" collapsed="false">
      <c r="A296" s="3" t="s">
        <v>3613</v>
      </c>
      <c r="B296" s="3" t="s">
        <v>32</v>
      </c>
      <c r="C296" s="3" t="s">
        <v>3614</v>
      </c>
      <c r="D296" s="3" t="s">
        <v>2212</v>
      </c>
      <c r="E296" s="3" t="s">
        <v>258</v>
      </c>
      <c r="F296" s="4" t="s">
        <v>86</v>
      </c>
      <c r="G296" s="3" t="s">
        <v>3615</v>
      </c>
      <c r="H296" s="3" t="s">
        <v>3616</v>
      </c>
      <c r="I296" s="3" t="s">
        <v>3617</v>
      </c>
      <c r="J296" s="3" t="s">
        <v>3618</v>
      </c>
      <c r="K296" s="3" t="s">
        <v>3619</v>
      </c>
      <c r="L296" s="3" t="s">
        <v>2698</v>
      </c>
      <c r="M296" s="3"/>
      <c r="N296" s="3"/>
      <c r="O296" s="4"/>
      <c r="P296" s="3" t="s">
        <v>170</v>
      </c>
      <c r="Q296" s="3" t="s">
        <v>3620</v>
      </c>
      <c r="R296" s="3" t="s">
        <v>81</v>
      </c>
      <c r="S296" s="3"/>
      <c r="T296" s="4" t="s">
        <v>82</v>
      </c>
      <c r="U296" s="3"/>
      <c r="V296" s="5" t="n">
        <v>9.8</v>
      </c>
      <c r="W296" s="3" t="s">
        <v>2393</v>
      </c>
      <c r="X296" s="3" t="s">
        <v>3621</v>
      </c>
      <c r="Y296" s="3" t="s">
        <v>3622</v>
      </c>
      <c r="Z296" s="3" t="s">
        <v>3623</v>
      </c>
      <c r="AA296" s="3" t="s">
        <v>3624</v>
      </c>
      <c r="AB296" s="3" t="s">
        <v>3625</v>
      </c>
      <c r="AC296" s="3" t="s">
        <v>3626</v>
      </c>
      <c r="AD296" s="3" t="s">
        <v>3627</v>
      </c>
      <c r="AE296" s="4" t="s">
        <v>53</v>
      </c>
    </row>
    <row r="297" customFormat="false" ht="15" hidden="false" customHeight="true" outlineLevel="0" collapsed="false">
      <c r="A297" s="3" t="s">
        <v>3628</v>
      </c>
      <c r="B297" s="3" t="s">
        <v>32</v>
      </c>
      <c r="C297" s="3" t="s">
        <v>3629</v>
      </c>
      <c r="D297" s="3" t="s">
        <v>2212</v>
      </c>
      <c r="E297" s="3" t="s">
        <v>258</v>
      </c>
      <c r="F297" s="4" t="s">
        <v>86</v>
      </c>
      <c r="G297" s="3" t="s">
        <v>3630</v>
      </c>
      <c r="H297" s="3" t="s">
        <v>3631</v>
      </c>
      <c r="I297" s="3" t="s">
        <v>3632</v>
      </c>
      <c r="J297" s="3" t="s">
        <v>3633</v>
      </c>
      <c r="K297" s="3" t="s">
        <v>3634</v>
      </c>
      <c r="L297" s="3" t="s">
        <v>1602</v>
      </c>
      <c r="M297" s="3"/>
      <c r="N297" s="3"/>
      <c r="O297" s="4"/>
      <c r="P297" s="3" t="s">
        <v>79</v>
      </c>
      <c r="Q297" s="3" t="s">
        <v>157</v>
      </c>
      <c r="R297" s="3" t="s">
        <v>158</v>
      </c>
      <c r="S297" s="3" t="s">
        <v>1067</v>
      </c>
      <c r="T297" s="4" t="s">
        <v>82</v>
      </c>
      <c r="U297" s="3"/>
      <c r="V297" s="5" t="n">
        <v>10</v>
      </c>
      <c r="W297" s="3" t="s">
        <v>3635</v>
      </c>
      <c r="X297" s="3" t="s">
        <v>3636</v>
      </c>
      <c r="Y297" s="3" t="s">
        <v>3637</v>
      </c>
      <c r="Z297" s="3" t="s">
        <v>3638</v>
      </c>
      <c r="AA297" s="3" t="s">
        <v>2497</v>
      </c>
      <c r="AB297" s="3" t="s">
        <v>3639</v>
      </c>
      <c r="AC297" s="3" t="s">
        <v>3640</v>
      </c>
      <c r="AD297" s="3" t="s">
        <v>3641</v>
      </c>
      <c r="AE297" s="4" t="s">
        <v>53</v>
      </c>
    </row>
    <row r="298" customFormat="false" ht="15" hidden="false" customHeight="true" outlineLevel="0" collapsed="false">
      <c r="A298" s="3" t="s">
        <v>3642</v>
      </c>
      <c r="B298" s="3" t="s">
        <v>32</v>
      </c>
      <c r="C298" s="3" t="s">
        <v>3643</v>
      </c>
      <c r="D298" s="3" t="s">
        <v>2212</v>
      </c>
      <c r="E298" s="3" t="s">
        <v>258</v>
      </c>
      <c r="F298" s="4" t="s">
        <v>86</v>
      </c>
      <c r="G298" s="3" t="s">
        <v>3644</v>
      </c>
      <c r="H298" s="3" t="s">
        <v>3645</v>
      </c>
      <c r="I298" s="3" t="s">
        <v>3646</v>
      </c>
      <c r="J298" s="3" t="s">
        <v>3647</v>
      </c>
      <c r="K298" s="3" t="s">
        <v>3648</v>
      </c>
      <c r="L298" s="3" t="s">
        <v>42</v>
      </c>
      <c r="M298" s="3"/>
      <c r="N298" s="3"/>
      <c r="O298" s="4"/>
      <c r="P298" s="3" t="s">
        <v>79</v>
      </c>
      <c r="Q298" s="3" t="s">
        <v>764</v>
      </c>
      <c r="R298" s="3" t="s">
        <v>285</v>
      </c>
      <c r="S298" s="3" t="s">
        <v>49</v>
      </c>
      <c r="T298" s="4" t="s">
        <v>82</v>
      </c>
      <c r="U298" s="3"/>
      <c r="V298" s="5" t="n">
        <v>9.1</v>
      </c>
      <c r="W298" s="3" t="s">
        <v>3262</v>
      </c>
      <c r="X298" s="3" t="s">
        <v>3649</v>
      </c>
      <c r="Y298" s="3" t="s">
        <v>3650</v>
      </c>
      <c r="Z298" s="3" t="s">
        <v>2274</v>
      </c>
      <c r="AA298" s="3" t="s">
        <v>3651</v>
      </c>
      <c r="AB298" s="3" t="s">
        <v>3652</v>
      </c>
      <c r="AC298" s="3" t="s">
        <v>3653</v>
      </c>
      <c r="AD298" s="3" t="s">
        <v>3654</v>
      </c>
      <c r="AE298" s="4" t="s">
        <v>53</v>
      </c>
    </row>
    <row r="299" customFormat="false" ht="15" hidden="false" customHeight="true" outlineLevel="0" collapsed="false">
      <c r="A299" s="3" t="s">
        <v>3655</v>
      </c>
      <c r="B299" s="3" t="s">
        <v>32</v>
      </c>
      <c r="C299" s="3" t="s">
        <v>3656</v>
      </c>
      <c r="D299" s="3" t="s">
        <v>2212</v>
      </c>
      <c r="E299" s="3" t="s">
        <v>258</v>
      </c>
      <c r="F299" s="4" t="s">
        <v>86</v>
      </c>
      <c r="G299" s="3" t="s">
        <v>3657</v>
      </c>
      <c r="H299" s="3" t="s">
        <v>3658</v>
      </c>
      <c r="I299" s="3" t="s">
        <v>3659</v>
      </c>
      <c r="J299" s="3" t="s">
        <v>3660</v>
      </c>
      <c r="K299" s="3" t="s">
        <v>3661</v>
      </c>
      <c r="L299" s="3" t="s">
        <v>1602</v>
      </c>
      <c r="M299" s="3"/>
      <c r="N299" s="3"/>
      <c r="O299" s="4"/>
      <c r="P299" s="3" t="s">
        <v>79</v>
      </c>
      <c r="Q299" s="3" t="s">
        <v>157</v>
      </c>
      <c r="R299" s="3" t="s">
        <v>158</v>
      </c>
      <c r="S299" s="3" t="s">
        <v>1067</v>
      </c>
      <c r="T299" s="4" t="s">
        <v>82</v>
      </c>
      <c r="U299" s="3"/>
      <c r="V299" s="5" t="n">
        <v>10</v>
      </c>
      <c r="W299" s="3" t="s">
        <v>2221</v>
      </c>
      <c r="X299" s="3" t="s">
        <v>3662</v>
      </c>
      <c r="Y299" s="3" t="s">
        <v>3663</v>
      </c>
      <c r="Z299" s="3" t="s">
        <v>3664</v>
      </c>
      <c r="AA299" s="3" t="s">
        <v>2871</v>
      </c>
      <c r="AB299" s="3" t="s">
        <v>3665</v>
      </c>
      <c r="AC299" s="3" t="s">
        <v>3666</v>
      </c>
      <c r="AD299" s="3" t="s">
        <v>3667</v>
      </c>
      <c r="AE299" s="4" t="s">
        <v>53</v>
      </c>
    </row>
    <row r="300" customFormat="false" ht="15" hidden="false" customHeight="true" outlineLevel="0" collapsed="false">
      <c r="A300" s="3" t="s">
        <v>3668</v>
      </c>
      <c r="B300" s="3" t="s">
        <v>32</v>
      </c>
      <c r="C300" s="3" t="s">
        <v>3669</v>
      </c>
      <c r="D300" s="3" t="s">
        <v>2212</v>
      </c>
      <c r="E300" s="3" t="s">
        <v>189</v>
      </c>
      <c r="F300" s="4" t="s">
        <v>36</v>
      </c>
      <c r="G300" s="3" t="s">
        <v>3670</v>
      </c>
      <c r="H300" s="3" t="s">
        <v>3671</v>
      </c>
      <c r="I300" s="3" t="s">
        <v>3672</v>
      </c>
      <c r="J300" s="3" t="s">
        <v>3673</v>
      </c>
      <c r="K300" s="3" t="s">
        <v>3674</v>
      </c>
      <c r="L300" s="3" t="s">
        <v>2759</v>
      </c>
      <c r="M300" s="3"/>
      <c r="N300" s="3"/>
      <c r="O300" s="4"/>
      <c r="P300" s="3" t="s">
        <v>2205</v>
      </c>
      <c r="Q300" s="3" t="s">
        <v>2538</v>
      </c>
      <c r="R300" s="3" t="s">
        <v>2539</v>
      </c>
      <c r="S300" s="3" t="s">
        <v>1067</v>
      </c>
      <c r="T300" s="4" t="s">
        <v>82</v>
      </c>
      <c r="U300" s="3"/>
      <c r="V300" s="5" t="n">
        <v>7.5</v>
      </c>
      <c r="W300" s="3" t="s">
        <v>2300</v>
      </c>
      <c r="X300" s="3" t="s">
        <v>3675</v>
      </c>
      <c r="Y300" s="3" t="s">
        <v>3676</v>
      </c>
      <c r="Z300" s="3" t="s">
        <v>3677</v>
      </c>
      <c r="AA300" s="3" t="s">
        <v>2764</v>
      </c>
      <c r="AB300" s="3" t="s">
        <v>3678</v>
      </c>
      <c r="AC300" s="3" t="s">
        <v>3679</v>
      </c>
      <c r="AD300" s="3" t="s">
        <v>3680</v>
      </c>
      <c r="AE300" s="4" t="s">
        <v>53</v>
      </c>
    </row>
    <row r="301" customFormat="false" ht="15" hidden="false" customHeight="true" outlineLevel="0" collapsed="false">
      <c r="A301" s="3" t="s">
        <v>3681</v>
      </c>
      <c r="B301" s="3" t="s">
        <v>32</v>
      </c>
      <c r="C301" s="3" t="s">
        <v>3682</v>
      </c>
      <c r="D301" s="3" t="s">
        <v>2212</v>
      </c>
      <c r="E301" s="3" t="s">
        <v>258</v>
      </c>
      <c r="F301" s="4" t="s">
        <v>86</v>
      </c>
      <c r="G301" s="3" t="s">
        <v>3683</v>
      </c>
      <c r="H301" s="3" t="s">
        <v>3684</v>
      </c>
      <c r="I301" s="3" t="s">
        <v>3685</v>
      </c>
      <c r="J301" s="3" t="s">
        <v>3686</v>
      </c>
      <c r="K301" s="3" t="s">
        <v>3687</v>
      </c>
      <c r="L301" s="3" t="s">
        <v>1602</v>
      </c>
      <c r="M301" s="3"/>
      <c r="N301" s="3"/>
      <c r="O301" s="4"/>
      <c r="P301" s="3" t="s">
        <v>79</v>
      </c>
      <c r="Q301" s="3" t="s">
        <v>3688</v>
      </c>
      <c r="R301" s="3" t="s">
        <v>158</v>
      </c>
      <c r="S301" s="3" t="s">
        <v>1067</v>
      </c>
      <c r="T301" s="4" t="s">
        <v>82</v>
      </c>
      <c r="U301" s="3"/>
      <c r="V301" s="5" t="n">
        <v>10</v>
      </c>
      <c r="W301" s="3" t="s">
        <v>2221</v>
      </c>
      <c r="X301" s="3" t="s">
        <v>3689</v>
      </c>
      <c r="Y301" s="3" t="s">
        <v>3690</v>
      </c>
      <c r="Z301" s="3" t="s">
        <v>3691</v>
      </c>
      <c r="AA301" s="3" t="s">
        <v>2348</v>
      </c>
      <c r="AB301" s="3" t="s">
        <v>3692</v>
      </c>
      <c r="AC301" s="3" t="s">
        <v>3693</v>
      </c>
      <c r="AD301" s="3" t="s">
        <v>3694</v>
      </c>
      <c r="AE301" s="4" t="s">
        <v>53</v>
      </c>
    </row>
    <row r="302" customFormat="false" ht="15" hidden="false" customHeight="true" outlineLevel="0" collapsed="false">
      <c r="A302" s="3" t="s">
        <v>3695</v>
      </c>
      <c r="B302" s="3" t="s">
        <v>32</v>
      </c>
      <c r="C302" s="3" t="s">
        <v>3696</v>
      </c>
      <c r="D302" s="3" t="s">
        <v>2212</v>
      </c>
      <c r="E302" s="3" t="s">
        <v>258</v>
      </c>
      <c r="F302" s="4" t="s">
        <v>86</v>
      </c>
      <c r="G302" s="3" t="s">
        <v>3697</v>
      </c>
      <c r="H302" s="3" t="s">
        <v>3698</v>
      </c>
      <c r="I302" s="3" t="s">
        <v>3699</v>
      </c>
      <c r="J302" s="3" t="s">
        <v>3700</v>
      </c>
      <c r="K302" s="3" t="s">
        <v>3701</v>
      </c>
      <c r="L302" s="3" t="s">
        <v>2596</v>
      </c>
      <c r="M302" s="3"/>
      <c r="N302" s="3"/>
      <c r="O302" s="4"/>
      <c r="P302" s="3" t="s">
        <v>79</v>
      </c>
      <c r="Q302" s="3" t="s">
        <v>3702</v>
      </c>
      <c r="R302" s="3" t="s">
        <v>285</v>
      </c>
      <c r="S302" s="3" t="s">
        <v>1067</v>
      </c>
      <c r="T302" s="4" t="s">
        <v>82</v>
      </c>
      <c r="U302" s="3"/>
      <c r="V302" s="5" t="n">
        <v>9.8</v>
      </c>
      <c r="W302" s="3" t="s">
        <v>2393</v>
      </c>
      <c r="X302" s="3" t="s">
        <v>3703</v>
      </c>
      <c r="Y302" s="3" t="s">
        <v>3704</v>
      </c>
      <c r="Z302" s="3" t="s">
        <v>2224</v>
      </c>
      <c r="AA302" s="3" t="s">
        <v>2497</v>
      </c>
      <c r="AB302" s="3" t="s">
        <v>3705</v>
      </c>
      <c r="AC302" s="3" t="s">
        <v>3706</v>
      </c>
      <c r="AD302" s="3" t="s">
        <v>3707</v>
      </c>
      <c r="AE302" s="4" t="s">
        <v>53</v>
      </c>
    </row>
    <row r="303" customFormat="false" ht="15" hidden="false" customHeight="true" outlineLevel="0" collapsed="false">
      <c r="A303" s="3" t="s">
        <v>3708</v>
      </c>
      <c r="B303" s="3" t="s">
        <v>32</v>
      </c>
      <c r="C303" s="3" t="s">
        <v>3709</v>
      </c>
      <c r="D303" s="3" t="s">
        <v>2212</v>
      </c>
      <c r="E303" s="3" t="s">
        <v>258</v>
      </c>
      <c r="F303" s="4" t="s">
        <v>86</v>
      </c>
      <c r="G303" s="3" t="s">
        <v>3710</v>
      </c>
      <c r="H303" s="3" t="s">
        <v>3711</v>
      </c>
      <c r="I303" s="3" t="s">
        <v>3712</v>
      </c>
      <c r="J303" s="3" t="s">
        <v>3713</v>
      </c>
      <c r="K303" s="3" t="s">
        <v>3714</v>
      </c>
      <c r="L303" s="3" t="s">
        <v>2759</v>
      </c>
      <c r="M303" s="3"/>
      <c r="N303" s="3"/>
      <c r="O303" s="4"/>
      <c r="P303" s="3" t="s">
        <v>79</v>
      </c>
      <c r="Q303" s="3" t="s">
        <v>410</v>
      </c>
      <c r="R303" s="3" t="s">
        <v>285</v>
      </c>
      <c r="S303" s="3"/>
      <c r="T303" s="4" t="s">
        <v>82</v>
      </c>
      <c r="U303" s="3"/>
      <c r="V303" s="5" t="n">
        <v>10</v>
      </c>
      <c r="W303" s="3" t="s">
        <v>3715</v>
      </c>
      <c r="X303" s="3" t="s">
        <v>3716</v>
      </c>
      <c r="Y303" s="3" t="s">
        <v>3717</v>
      </c>
      <c r="Z303" s="3" t="s">
        <v>3718</v>
      </c>
      <c r="AA303" s="3" t="s">
        <v>3719</v>
      </c>
      <c r="AB303" s="3" t="s">
        <v>3695</v>
      </c>
      <c r="AC303" s="3" t="s">
        <v>2261</v>
      </c>
      <c r="AD303" s="3" t="s">
        <v>3720</v>
      </c>
      <c r="AE303" s="4" t="s">
        <v>53</v>
      </c>
    </row>
    <row r="304" customFormat="false" ht="15" hidden="false" customHeight="true" outlineLevel="0" collapsed="false">
      <c r="A304" s="3" t="s">
        <v>3721</v>
      </c>
      <c r="B304" s="3" t="s">
        <v>32</v>
      </c>
      <c r="C304" s="3" t="s">
        <v>3722</v>
      </c>
      <c r="D304" s="3" t="s">
        <v>2212</v>
      </c>
      <c r="E304" s="3" t="s">
        <v>258</v>
      </c>
      <c r="F304" s="4" t="s">
        <v>86</v>
      </c>
      <c r="G304" s="3" t="s">
        <v>3723</v>
      </c>
      <c r="H304" s="3" t="s">
        <v>3724</v>
      </c>
      <c r="I304" s="3" t="s">
        <v>3725</v>
      </c>
      <c r="J304" s="3" t="s">
        <v>3726</v>
      </c>
      <c r="K304" s="3" t="s">
        <v>3727</v>
      </c>
      <c r="L304" s="3" t="s">
        <v>348</v>
      </c>
      <c r="M304" s="3"/>
      <c r="N304" s="3"/>
      <c r="O304" s="4"/>
      <c r="P304" s="3" t="s">
        <v>3728</v>
      </c>
      <c r="Q304" s="3" t="s">
        <v>3729</v>
      </c>
      <c r="R304" s="3" t="s">
        <v>285</v>
      </c>
      <c r="S304" s="3"/>
      <c r="T304" s="4" t="s">
        <v>82</v>
      </c>
      <c r="U304" s="3"/>
      <c r="V304" s="5" t="n">
        <v>9.8</v>
      </c>
      <c r="W304" s="3" t="s">
        <v>2393</v>
      </c>
      <c r="X304" s="3" t="s">
        <v>3730</v>
      </c>
      <c r="Y304" s="3" t="s">
        <v>3731</v>
      </c>
      <c r="Z304" s="3" t="s">
        <v>3732</v>
      </c>
      <c r="AA304" s="3" t="s">
        <v>3733</v>
      </c>
      <c r="AB304" s="3" t="s">
        <v>1158</v>
      </c>
      <c r="AC304" s="3" t="s">
        <v>3734</v>
      </c>
      <c r="AD304" s="3" t="s">
        <v>3735</v>
      </c>
      <c r="AE304" s="4" t="s">
        <v>53</v>
      </c>
    </row>
    <row r="305" customFormat="false" ht="15" hidden="false" customHeight="true" outlineLevel="0" collapsed="false">
      <c r="A305" s="3" t="s">
        <v>3736</v>
      </c>
      <c r="B305" s="3" t="s">
        <v>32</v>
      </c>
      <c r="C305" s="3" t="s">
        <v>3737</v>
      </c>
      <c r="D305" s="3" t="s">
        <v>2212</v>
      </c>
      <c r="E305" s="3" t="s">
        <v>258</v>
      </c>
      <c r="F305" s="4" t="s">
        <v>86</v>
      </c>
      <c r="G305" s="3" t="s">
        <v>3738</v>
      </c>
      <c r="H305" s="3" t="s">
        <v>3739</v>
      </c>
      <c r="I305" s="3" t="s">
        <v>3740</v>
      </c>
      <c r="J305" s="3" t="s">
        <v>3741</v>
      </c>
      <c r="K305" s="3" t="s">
        <v>3742</v>
      </c>
      <c r="L305" s="3" t="s">
        <v>2759</v>
      </c>
      <c r="M305" s="3"/>
      <c r="N305" s="3"/>
      <c r="O305" s="4"/>
      <c r="P305" s="3" t="s">
        <v>170</v>
      </c>
      <c r="Q305" s="3" t="s">
        <v>3743</v>
      </c>
      <c r="R305" s="3" t="s">
        <v>172</v>
      </c>
      <c r="S305" s="3" t="s">
        <v>1067</v>
      </c>
      <c r="T305" s="4" t="s">
        <v>82</v>
      </c>
      <c r="U305" s="3"/>
      <c r="V305" s="5" t="n">
        <v>10</v>
      </c>
      <c r="W305" s="3" t="s">
        <v>2221</v>
      </c>
      <c r="X305" s="3" t="s">
        <v>3744</v>
      </c>
      <c r="Y305" s="3" t="s">
        <v>3745</v>
      </c>
      <c r="Z305" s="3" t="s">
        <v>3746</v>
      </c>
      <c r="AA305" s="3" t="s">
        <v>2871</v>
      </c>
      <c r="AB305" s="3" t="s">
        <v>160</v>
      </c>
      <c r="AC305" s="3" t="s">
        <v>3747</v>
      </c>
      <c r="AD305" s="3" t="s">
        <v>3748</v>
      </c>
      <c r="AE305" s="4" t="s">
        <v>53</v>
      </c>
    </row>
    <row r="306" customFormat="false" ht="15" hidden="false" customHeight="true" outlineLevel="0" collapsed="false">
      <c r="A306" s="3" t="s">
        <v>3749</v>
      </c>
      <c r="B306" s="3" t="s">
        <v>32</v>
      </c>
      <c r="C306" s="3" t="s">
        <v>3750</v>
      </c>
      <c r="D306" s="3" t="s">
        <v>2212</v>
      </c>
      <c r="E306" s="3" t="s">
        <v>70</v>
      </c>
      <c r="F306" s="4" t="s">
        <v>86</v>
      </c>
      <c r="G306" s="3" t="s">
        <v>3751</v>
      </c>
      <c r="H306" s="3" t="s">
        <v>3752</v>
      </c>
      <c r="I306" s="3" t="s">
        <v>3753</v>
      </c>
      <c r="J306" s="3" t="s">
        <v>3754</v>
      </c>
      <c r="K306" s="3" t="s">
        <v>3755</v>
      </c>
      <c r="L306" s="3" t="s">
        <v>1602</v>
      </c>
      <c r="M306" s="3"/>
      <c r="N306" s="3"/>
      <c r="O306" s="4"/>
      <c r="P306" s="3" t="s">
        <v>3756</v>
      </c>
      <c r="Q306" s="3" t="s">
        <v>157</v>
      </c>
      <c r="R306" s="3" t="s">
        <v>158</v>
      </c>
      <c r="S306" s="3" t="s">
        <v>1067</v>
      </c>
      <c r="T306" s="4" t="s">
        <v>82</v>
      </c>
      <c r="U306" s="3"/>
      <c r="V306" s="5" t="n">
        <v>9.9</v>
      </c>
      <c r="W306" s="3" t="s">
        <v>2654</v>
      </c>
      <c r="X306" s="3" t="s">
        <v>3757</v>
      </c>
      <c r="Y306" s="3" t="s">
        <v>3758</v>
      </c>
      <c r="Z306" s="3" t="s">
        <v>3759</v>
      </c>
      <c r="AA306" s="3" t="s">
        <v>2887</v>
      </c>
      <c r="AB306" s="3" t="s">
        <v>3760</v>
      </c>
      <c r="AC306" s="3" t="s">
        <v>3761</v>
      </c>
      <c r="AD306" s="3" t="s">
        <v>3762</v>
      </c>
      <c r="AE306" s="4" t="s">
        <v>53</v>
      </c>
    </row>
    <row r="307" customFormat="false" ht="15" hidden="false" customHeight="true" outlineLevel="0" collapsed="false">
      <c r="A307" s="3" t="s">
        <v>3763</v>
      </c>
      <c r="B307" s="3" t="s">
        <v>32</v>
      </c>
      <c r="C307" s="3" t="s">
        <v>3764</v>
      </c>
      <c r="D307" s="3" t="s">
        <v>2212</v>
      </c>
      <c r="E307" s="3" t="s">
        <v>258</v>
      </c>
      <c r="F307" s="4" t="s">
        <v>86</v>
      </c>
      <c r="G307" s="3" t="s">
        <v>3765</v>
      </c>
      <c r="H307" s="3" t="s">
        <v>3766</v>
      </c>
      <c r="I307" s="3" t="s">
        <v>3767</v>
      </c>
      <c r="J307" s="3" t="s">
        <v>3768</v>
      </c>
      <c r="K307" s="3" t="s">
        <v>3769</v>
      </c>
      <c r="L307" s="3" t="s">
        <v>3770</v>
      </c>
      <c r="M307" s="3"/>
      <c r="N307" s="3"/>
      <c r="O307" s="4"/>
      <c r="P307" s="3" t="s">
        <v>79</v>
      </c>
      <c r="Q307" s="3" t="s">
        <v>3771</v>
      </c>
      <c r="R307" s="3" t="s">
        <v>285</v>
      </c>
      <c r="S307" s="3"/>
      <c r="T307" s="4" t="s">
        <v>82</v>
      </c>
      <c r="U307" s="3"/>
      <c r="V307" s="5" t="n">
        <v>10</v>
      </c>
      <c r="W307" s="3" t="s">
        <v>2221</v>
      </c>
      <c r="X307" s="3" t="s">
        <v>3772</v>
      </c>
      <c r="Y307" s="3" t="s">
        <v>3773</v>
      </c>
      <c r="Z307" s="3" t="s">
        <v>3774</v>
      </c>
      <c r="AA307" s="3" t="s">
        <v>3775</v>
      </c>
      <c r="AB307" s="3" t="s">
        <v>271</v>
      </c>
      <c r="AC307" s="3" t="s">
        <v>3776</v>
      </c>
      <c r="AD307" s="3" t="s">
        <v>3777</v>
      </c>
      <c r="AE307" s="4" t="s">
        <v>53</v>
      </c>
    </row>
    <row r="308" customFormat="false" ht="15" hidden="false" customHeight="true" outlineLevel="0" collapsed="false">
      <c r="A308" s="3" t="s">
        <v>3778</v>
      </c>
      <c r="B308" s="3" t="s">
        <v>32</v>
      </c>
      <c r="C308" s="3" t="s">
        <v>3779</v>
      </c>
      <c r="D308" s="3" t="s">
        <v>2212</v>
      </c>
      <c r="E308" s="3" t="s">
        <v>258</v>
      </c>
      <c r="F308" s="4" t="s">
        <v>86</v>
      </c>
      <c r="G308" s="3" t="s">
        <v>3780</v>
      </c>
      <c r="H308" s="3" t="s">
        <v>3781</v>
      </c>
      <c r="I308" s="3" t="s">
        <v>3782</v>
      </c>
      <c r="J308" s="3" t="s">
        <v>3783</v>
      </c>
      <c r="K308" s="3" t="s">
        <v>3784</v>
      </c>
      <c r="L308" s="3" t="s">
        <v>2698</v>
      </c>
      <c r="M308" s="3"/>
      <c r="N308" s="3"/>
      <c r="O308" s="4"/>
      <c r="P308" s="3" t="s">
        <v>170</v>
      </c>
      <c r="Q308" s="3" t="s">
        <v>3785</v>
      </c>
      <c r="R308" s="3" t="s">
        <v>253</v>
      </c>
      <c r="S308" s="3"/>
      <c r="T308" s="4" t="s">
        <v>82</v>
      </c>
      <c r="U308" s="3"/>
      <c r="V308" s="5" t="n">
        <v>10</v>
      </c>
      <c r="W308" s="3" t="s">
        <v>2221</v>
      </c>
      <c r="X308" s="3" t="s">
        <v>3786</v>
      </c>
      <c r="Y308" s="3" t="s">
        <v>3787</v>
      </c>
      <c r="Z308" s="3" t="s">
        <v>3341</v>
      </c>
      <c r="AA308" s="3" t="s">
        <v>3788</v>
      </c>
      <c r="AB308" s="3" t="s">
        <v>244</v>
      </c>
      <c r="AC308" s="3" t="s">
        <v>3789</v>
      </c>
      <c r="AD308" s="3" t="s">
        <v>3790</v>
      </c>
      <c r="AE308" s="4" t="s">
        <v>53</v>
      </c>
    </row>
    <row r="309" customFormat="false" ht="15" hidden="false" customHeight="true" outlineLevel="0" collapsed="false">
      <c r="A309" s="3" t="s">
        <v>3791</v>
      </c>
      <c r="B309" s="3" t="s">
        <v>32</v>
      </c>
      <c r="C309" s="3" t="s">
        <v>3792</v>
      </c>
      <c r="D309" s="3" t="s">
        <v>2212</v>
      </c>
      <c r="E309" s="3" t="s">
        <v>258</v>
      </c>
      <c r="F309" s="4" t="s">
        <v>86</v>
      </c>
      <c r="G309" s="3" t="s">
        <v>3793</v>
      </c>
      <c r="H309" s="3" t="s">
        <v>3794</v>
      </c>
      <c r="I309" s="3" t="s">
        <v>3795</v>
      </c>
      <c r="J309" s="3" t="s">
        <v>3796</v>
      </c>
      <c r="K309" s="3" t="s">
        <v>3797</v>
      </c>
      <c r="L309" s="3" t="s">
        <v>1602</v>
      </c>
      <c r="M309" s="3"/>
      <c r="N309" s="3"/>
      <c r="O309" s="4"/>
      <c r="P309" s="3" t="s">
        <v>170</v>
      </c>
      <c r="Q309" s="3" t="s">
        <v>3798</v>
      </c>
      <c r="R309" s="3" t="s">
        <v>158</v>
      </c>
      <c r="S309" s="3" t="s">
        <v>1067</v>
      </c>
      <c r="T309" s="4" t="s">
        <v>82</v>
      </c>
      <c r="U309" s="3"/>
      <c r="V309" s="5" t="n">
        <v>9</v>
      </c>
      <c r="W309" s="3" t="s">
        <v>2957</v>
      </c>
      <c r="X309" s="3" t="s">
        <v>3799</v>
      </c>
      <c r="Y309" s="3" t="s">
        <v>3800</v>
      </c>
      <c r="Z309" s="3" t="s">
        <v>3801</v>
      </c>
      <c r="AA309" s="3" t="s">
        <v>3802</v>
      </c>
      <c r="AB309" s="3" t="s">
        <v>3803</v>
      </c>
      <c r="AC309" s="3" t="s">
        <v>2261</v>
      </c>
      <c r="AD309" s="3" t="s">
        <v>3804</v>
      </c>
      <c r="AE309" s="4" t="s">
        <v>53</v>
      </c>
    </row>
    <row r="310" customFormat="false" ht="15" hidden="false" customHeight="true" outlineLevel="0" collapsed="false">
      <c r="A310" s="3" t="s">
        <v>3805</v>
      </c>
      <c r="B310" s="3" t="s">
        <v>32</v>
      </c>
      <c r="C310" s="3" t="s">
        <v>3806</v>
      </c>
      <c r="D310" s="3" t="s">
        <v>2212</v>
      </c>
      <c r="E310" s="3" t="s">
        <v>258</v>
      </c>
      <c r="F310" s="4" t="s">
        <v>86</v>
      </c>
      <c r="G310" s="3" t="s">
        <v>3807</v>
      </c>
      <c r="H310" s="3" t="s">
        <v>3808</v>
      </c>
      <c r="I310" s="3" t="s">
        <v>3809</v>
      </c>
      <c r="J310" s="3" t="s">
        <v>3810</v>
      </c>
      <c r="K310" s="3" t="s">
        <v>3811</v>
      </c>
      <c r="L310" s="3" t="s">
        <v>2698</v>
      </c>
      <c r="M310" s="3"/>
      <c r="N310" s="3"/>
      <c r="O310" s="4"/>
      <c r="P310" s="3" t="s">
        <v>79</v>
      </c>
      <c r="Q310" s="3" t="s">
        <v>2998</v>
      </c>
      <c r="R310" s="3" t="s">
        <v>285</v>
      </c>
      <c r="S310" s="3" t="s">
        <v>1067</v>
      </c>
      <c r="T310" s="4" t="s">
        <v>82</v>
      </c>
      <c r="U310" s="3"/>
      <c r="V310" s="5" t="n">
        <v>10</v>
      </c>
      <c r="W310" s="3" t="s">
        <v>3812</v>
      </c>
      <c r="X310" s="3" t="s">
        <v>3813</v>
      </c>
      <c r="Y310" s="3" t="s">
        <v>3814</v>
      </c>
      <c r="Z310" s="3" t="s">
        <v>3815</v>
      </c>
      <c r="AA310" s="3" t="s">
        <v>2887</v>
      </c>
      <c r="AB310" s="3" t="s">
        <v>340</v>
      </c>
      <c r="AC310" s="3" t="s">
        <v>3816</v>
      </c>
      <c r="AD310" s="3" t="s">
        <v>3817</v>
      </c>
      <c r="AE310" s="4" t="s">
        <v>53</v>
      </c>
    </row>
    <row r="311" customFormat="false" ht="15" hidden="false" customHeight="true" outlineLevel="0" collapsed="false">
      <c r="A311" s="3" t="s">
        <v>3818</v>
      </c>
      <c r="B311" s="3" t="s">
        <v>32</v>
      </c>
      <c r="C311" s="3" t="s">
        <v>3819</v>
      </c>
      <c r="D311" s="3" t="s">
        <v>2212</v>
      </c>
      <c r="E311" s="3" t="s">
        <v>258</v>
      </c>
      <c r="F311" s="4" t="s">
        <v>86</v>
      </c>
      <c r="G311" s="3" t="s">
        <v>3820</v>
      </c>
      <c r="H311" s="3" t="s">
        <v>3821</v>
      </c>
      <c r="I311" s="3" t="s">
        <v>3822</v>
      </c>
      <c r="J311" s="3" t="s">
        <v>3823</v>
      </c>
      <c r="K311" s="3" t="s">
        <v>3824</v>
      </c>
      <c r="L311" s="3" t="s">
        <v>2596</v>
      </c>
      <c r="M311" s="3"/>
      <c r="N311" s="3"/>
      <c r="O311" s="4"/>
      <c r="P311" s="3" t="s">
        <v>3825</v>
      </c>
      <c r="Q311" s="3" t="s">
        <v>228</v>
      </c>
      <c r="R311" s="3" t="s">
        <v>229</v>
      </c>
      <c r="S311" s="3"/>
      <c r="T311" s="4" t="s">
        <v>50</v>
      </c>
      <c r="U311" s="3"/>
      <c r="V311" s="5" t="n">
        <v>10</v>
      </c>
      <c r="W311" s="3" t="s">
        <v>2221</v>
      </c>
      <c r="X311" s="3" t="s">
        <v>3826</v>
      </c>
      <c r="Y311" s="3" t="s">
        <v>3827</v>
      </c>
      <c r="Z311" s="3" t="s">
        <v>3828</v>
      </c>
      <c r="AA311" s="3" t="s">
        <v>3829</v>
      </c>
      <c r="AB311" s="3" t="s">
        <v>3830</v>
      </c>
      <c r="AC311" s="3" t="s">
        <v>2261</v>
      </c>
      <c r="AD311" s="3" t="s">
        <v>3831</v>
      </c>
      <c r="AE311" s="4" t="s">
        <v>53</v>
      </c>
    </row>
    <row r="312" customFormat="false" ht="15" hidden="false" customHeight="true" outlineLevel="0" collapsed="false">
      <c r="A312" s="3" t="s">
        <v>3832</v>
      </c>
      <c r="B312" s="3" t="s">
        <v>32</v>
      </c>
      <c r="C312" s="3" t="s">
        <v>3833</v>
      </c>
      <c r="D312" s="3" t="s">
        <v>2212</v>
      </c>
      <c r="E312" s="3" t="s">
        <v>258</v>
      </c>
      <c r="F312" s="4" t="s">
        <v>86</v>
      </c>
      <c r="G312" s="3" t="s">
        <v>3834</v>
      </c>
      <c r="H312" s="3" t="s">
        <v>3835</v>
      </c>
      <c r="I312" s="3" t="s">
        <v>3836</v>
      </c>
      <c r="J312" s="3" t="s">
        <v>3837</v>
      </c>
      <c r="K312" s="3" t="s">
        <v>3838</v>
      </c>
      <c r="L312" s="3" t="s">
        <v>2759</v>
      </c>
      <c r="M312" s="3"/>
      <c r="N312" s="3"/>
      <c r="O312" s="4"/>
      <c r="P312" s="3" t="s">
        <v>2205</v>
      </c>
      <c r="Q312" s="3" t="s">
        <v>3839</v>
      </c>
      <c r="R312" s="3" t="s">
        <v>1605</v>
      </c>
      <c r="S312" s="3" t="s">
        <v>1067</v>
      </c>
      <c r="T312" s="4" t="s">
        <v>82</v>
      </c>
      <c r="U312" s="3"/>
      <c r="V312" s="5" t="n">
        <v>9.8</v>
      </c>
      <c r="W312" s="3" t="s">
        <v>2393</v>
      </c>
      <c r="X312" s="3" t="s">
        <v>3840</v>
      </c>
      <c r="Y312" s="3" t="s">
        <v>3841</v>
      </c>
      <c r="Z312" s="3" t="s">
        <v>3842</v>
      </c>
      <c r="AA312" s="3" t="s">
        <v>2764</v>
      </c>
      <c r="AB312" s="3" t="s">
        <v>3843</v>
      </c>
      <c r="AC312" s="3" t="s">
        <v>3844</v>
      </c>
      <c r="AD312" s="3" t="s">
        <v>3845</v>
      </c>
      <c r="AE312" s="4" t="s">
        <v>53</v>
      </c>
    </row>
    <row r="313" customFormat="false" ht="15" hidden="false" customHeight="true" outlineLevel="0" collapsed="false">
      <c r="A313" s="3" t="s">
        <v>3846</v>
      </c>
      <c r="B313" s="3" t="s">
        <v>32</v>
      </c>
      <c r="C313" s="3" t="s">
        <v>3847</v>
      </c>
      <c r="D313" s="3" t="s">
        <v>2212</v>
      </c>
      <c r="E313" s="3" t="s">
        <v>189</v>
      </c>
      <c r="F313" s="4" t="s">
        <v>86</v>
      </c>
      <c r="G313" s="3" t="s">
        <v>3848</v>
      </c>
      <c r="H313" s="3" t="s">
        <v>3849</v>
      </c>
      <c r="I313" s="3" t="s">
        <v>3850</v>
      </c>
      <c r="J313" s="3" t="s">
        <v>3851</v>
      </c>
      <c r="K313" s="3" t="s">
        <v>3852</v>
      </c>
      <c r="L313" s="3" t="s">
        <v>2596</v>
      </c>
      <c r="M313" s="3"/>
      <c r="N313" s="3"/>
      <c r="O313" s="4"/>
      <c r="P313" s="3" t="s">
        <v>3853</v>
      </c>
      <c r="Q313" s="3" t="s">
        <v>611</v>
      </c>
      <c r="R313" s="3" t="s">
        <v>201</v>
      </c>
      <c r="S313" s="3" t="s">
        <v>1067</v>
      </c>
      <c r="T313" s="4" t="s">
        <v>50</v>
      </c>
      <c r="U313" s="3"/>
      <c r="V313" s="5" t="n">
        <v>10</v>
      </c>
      <c r="W313" s="3" t="s">
        <v>3715</v>
      </c>
      <c r="X313" s="3" t="s">
        <v>3854</v>
      </c>
      <c r="Y313" s="3" t="s">
        <v>3855</v>
      </c>
      <c r="Z313" s="3" t="s">
        <v>3856</v>
      </c>
      <c r="AA313" s="3" t="s">
        <v>3651</v>
      </c>
      <c r="AB313" s="3" t="s">
        <v>3857</v>
      </c>
      <c r="AC313" s="3" t="s">
        <v>3858</v>
      </c>
      <c r="AD313" s="3" t="s">
        <v>3859</v>
      </c>
      <c r="AE313" s="4" t="s">
        <v>53</v>
      </c>
    </row>
    <row r="314" customFormat="false" ht="15" hidden="false" customHeight="true" outlineLevel="0" collapsed="false">
      <c r="A314" s="3" t="s">
        <v>3860</v>
      </c>
      <c r="B314" s="3" t="s">
        <v>32</v>
      </c>
      <c r="C314" s="3" t="s">
        <v>3861</v>
      </c>
      <c r="D314" s="3" t="s">
        <v>2212</v>
      </c>
      <c r="E314" s="3" t="s">
        <v>189</v>
      </c>
      <c r="F314" s="4" t="s">
        <v>86</v>
      </c>
      <c r="G314" s="3" t="s">
        <v>3862</v>
      </c>
      <c r="H314" s="3" t="s">
        <v>3863</v>
      </c>
      <c r="I314" s="3" t="s">
        <v>3864</v>
      </c>
      <c r="J314" s="3" t="s">
        <v>3865</v>
      </c>
      <c r="K314" s="3" t="s">
        <v>3866</v>
      </c>
      <c r="L314" s="3" t="s">
        <v>2759</v>
      </c>
      <c r="M314" s="3"/>
      <c r="N314" s="3"/>
      <c r="O314" s="4"/>
      <c r="P314" s="3" t="s">
        <v>2205</v>
      </c>
      <c r="Q314" s="3" t="s">
        <v>2538</v>
      </c>
      <c r="R314" s="3" t="s">
        <v>2539</v>
      </c>
      <c r="S314" s="3"/>
      <c r="T314" s="4" t="s">
        <v>82</v>
      </c>
      <c r="U314" s="3"/>
      <c r="V314" s="5" t="n">
        <v>10</v>
      </c>
      <c r="W314" s="3" t="s">
        <v>3715</v>
      </c>
      <c r="X314" s="3" t="s">
        <v>3867</v>
      </c>
      <c r="Y314" s="3" t="s">
        <v>3868</v>
      </c>
      <c r="Z314" s="3" t="s">
        <v>3869</v>
      </c>
      <c r="AA314" s="3" t="s">
        <v>3870</v>
      </c>
      <c r="AB314" s="3" t="s">
        <v>3871</v>
      </c>
      <c r="AC314" s="3" t="s">
        <v>2261</v>
      </c>
      <c r="AD314" s="3" t="s">
        <v>3872</v>
      </c>
      <c r="AE314" s="4" t="s">
        <v>53</v>
      </c>
    </row>
    <row r="315" customFormat="false" ht="15" hidden="false" customHeight="true" outlineLevel="0" collapsed="false">
      <c r="A315" s="3" t="s">
        <v>3873</v>
      </c>
      <c r="B315" s="3" t="s">
        <v>32</v>
      </c>
      <c r="C315" s="3" t="s">
        <v>3874</v>
      </c>
      <c r="D315" s="3" t="s">
        <v>2212</v>
      </c>
      <c r="E315" s="3" t="s">
        <v>258</v>
      </c>
      <c r="F315" s="4" t="s">
        <v>86</v>
      </c>
      <c r="G315" s="3" t="s">
        <v>3875</v>
      </c>
      <c r="H315" s="3" t="s">
        <v>3876</v>
      </c>
      <c r="I315" s="3" t="s">
        <v>3877</v>
      </c>
      <c r="J315" s="3" t="s">
        <v>3878</v>
      </c>
      <c r="K315" s="3" t="s">
        <v>3879</v>
      </c>
      <c r="L315" s="3" t="s">
        <v>1602</v>
      </c>
      <c r="M315" s="3"/>
      <c r="N315" s="3"/>
      <c r="O315" s="4"/>
      <c r="P315" s="3" t="s">
        <v>3880</v>
      </c>
      <c r="Q315" s="3" t="s">
        <v>157</v>
      </c>
      <c r="R315" s="3" t="s">
        <v>158</v>
      </c>
      <c r="S315" s="3"/>
      <c r="T315" s="4" t="s">
        <v>82</v>
      </c>
      <c r="U315" s="3"/>
      <c r="V315" s="5" t="n">
        <v>9.8</v>
      </c>
      <c r="W315" s="3" t="s">
        <v>2393</v>
      </c>
      <c r="X315" s="3" t="s">
        <v>3881</v>
      </c>
      <c r="Y315" s="3" t="s">
        <v>3882</v>
      </c>
      <c r="Z315" s="3" t="s">
        <v>3883</v>
      </c>
      <c r="AA315" s="3" t="s">
        <v>3884</v>
      </c>
      <c r="AB315" s="3" t="s">
        <v>3885</v>
      </c>
      <c r="AC315" s="3" t="s">
        <v>3886</v>
      </c>
      <c r="AD315" s="3" t="s">
        <v>3887</v>
      </c>
      <c r="AE315" s="4" t="s">
        <v>53</v>
      </c>
    </row>
    <row r="316" customFormat="false" ht="15" hidden="false" customHeight="true" outlineLevel="0" collapsed="false">
      <c r="A316" s="3" t="s">
        <v>3888</v>
      </c>
      <c r="B316" s="3" t="s">
        <v>32</v>
      </c>
      <c r="C316" s="3" t="s">
        <v>3889</v>
      </c>
      <c r="D316" s="3" t="s">
        <v>2212</v>
      </c>
      <c r="E316" s="3" t="s">
        <v>258</v>
      </c>
      <c r="F316" s="4" t="s">
        <v>86</v>
      </c>
      <c r="G316" s="3" t="s">
        <v>3890</v>
      </c>
      <c r="H316" s="3" t="s">
        <v>3891</v>
      </c>
      <c r="I316" s="3" t="s">
        <v>3892</v>
      </c>
      <c r="J316" s="3" t="s">
        <v>3893</v>
      </c>
      <c r="K316" s="3" t="s">
        <v>3894</v>
      </c>
      <c r="L316" s="3" t="s">
        <v>2596</v>
      </c>
      <c r="M316" s="3"/>
      <c r="N316" s="3"/>
      <c r="O316" s="4"/>
      <c r="P316" s="3" t="s">
        <v>3895</v>
      </c>
      <c r="Q316" s="3" t="s">
        <v>732</v>
      </c>
      <c r="R316" s="3" t="s">
        <v>1605</v>
      </c>
      <c r="S316" s="3"/>
      <c r="T316" s="4" t="s">
        <v>82</v>
      </c>
      <c r="U316" s="3"/>
      <c r="V316" s="5" t="n">
        <v>9.8</v>
      </c>
      <c r="W316" s="3" t="s">
        <v>2393</v>
      </c>
      <c r="X316" s="3" t="s">
        <v>3896</v>
      </c>
      <c r="Y316" s="3" t="s">
        <v>3897</v>
      </c>
      <c r="Z316" s="3" t="s">
        <v>3200</v>
      </c>
      <c r="AA316" s="3" t="s">
        <v>3201</v>
      </c>
      <c r="AB316" s="3" t="s">
        <v>3898</v>
      </c>
      <c r="AC316" s="3" t="s">
        <v>3899</v>
      </c>
      <c r="AD316" s="3" t="s">
        <v>3900</v>
      </c>
      <c r="AE316" s="4" t="s">
        <v>53</v>
      </c>
    </row>
    <row r="317" customFormat="false" ht="15" hidden="false" customHeight="true" outlineLevel="0" collapsed="false">
      <c r="A317" s="3" t="s">
        <v>3901</v>
      </c>
      <c r="B317" s="3" t="s">
        <v>32</v>
      </c>
      <c r="C317" s="3" t="s">
        <v>3902</v>
      </c>
      <c r="D317" s="3" t="s">
        <v>2212</v>
      </c>
      <c r="E317" s="3" t="s">
        <v>258</v>
      </c>
      <c r="F317" s="4" t="s">
        <v>86</v>
      </c>
      <c r="G317" s="3" t="s">
        <v>3903</v>
      </c>
      <c r="H317" s="3" t="s">
        <v>3904</v>
      </c>
      <c r="I317" s="3" t="s">
        <v>3905</v>
      </c>
      <c r="J317" s="3" t="s">
        <v>3906</v>
      </c>
      <c r="K317" s="3" t="s">
        <v>3907</v>
      </c>
      <c r="L317" s="3" t="s">
        <v>2698</v>
      </c>
      <c r="M317" s="3"/>
      <c r="N317" s="3"/>
      <c r="O317" s="4"/>
      <c r="P317" s="3" t="s">
        <v>79</v>
      </c>
      <c r="Q317" s="3" t="s">
        <v>80</v>
      </c>
      <c r="R317" s="3" t="s">
        <v>81</v>
      </c>
      <c r="S317" s="3"/>
      <c r="T317" s="4" t="s">
        <v>82</v>
      </c>
      <c r="U317" s="3"/>
      <c r="V317" s="5" t="n">
        <v>10</v>
      </c>
      <c r="W317" s="3" t="s">
        <v>2221</v>
      </c>
      <c r="X317" s="3" t="s">
        <v>3908</v>
      </c>
      <c r="Y317" s="3" t="s">
        <v>3909</v>
      </c>
      <c r="Z317" s="3" t="s">
        <v>3910</v>
      </c>
      <c r="AA317" s="3" t="s">
        <v>3911</v>
      </c>
      <c r="AB317" s="3" t="s">
        <v>3912</v>
      </c>
      <c r="AC317" s="3" t="s">
        <v>2261</v>
      </c>
      <c r="AD317" s="3" t="s">
        <v>3913</v>
      </c>
      <c r="AE317" s="4" t="s">
        <v>53</v>
      </c>
    </row>
    <row r="318" customFormat="false" ht="15" hidden="false" customHeight="true" outlineLevel="0" collapsed="false">
      <c r="A318" s="3" t="s">
        <v>3914</v>
      </c>
      <c r="B318" s="3" t="s">
        <v>2046</v>
      </c>
      <c r="C318" s="3" t="s">
        <v>3915</v>
      </c>
      <c r="D318" s="3" t="s">
        <v>2212</v>
      </c>
      <c r="E318" s="3" t="s">
        <v>35</v>
      </c>
      <c r="F318" s="4" t="s">
        <v>36</v>
      </c>
      <c r="G318" s="3" t="s">
        <v>3916</v>
      </c>
      <c r="H318" s="3" t="s">
        <v>3917</v>
      </c>
      <c r="I318" s="3" t="s">
        <v>3918</v>
      </c>
      <c r="J318" s="3" t="s">
        <v>3919</v>
      </c>
      <c r="K318" s="3" t="s">
        <v>3920</v>
      </c>
      <c r="L318" s="3"/>
      <c r="M318" s="3"/>
      <c r="N318" s="3"/>
      <c r="O318" s="4"/>
      <c r="P318" s="3" t="s">
        <v>3921</v>
      </c>
      <c r="Q318" s="3" t="s">
        <v>1489</v>
      </c>
      <c r="R318" s="3" t="s">
        <v>2055</v>
      </c>
      <c r="S318" s="3" t="s">
        <v>2056</v>
      </c>
      <c r="T318" s="4" t="s">
        <v>675</v>
      </c>
      <c r="U318" s="3"/>
      <c r="V318" s="5" t="n">
        <v>7.8</v>
      </c>
      <c r="W318" s="3" t="s">
        <v>2271</v>
      </c>
      <c r="X318" s="3" t="s">
        <v>3922</v>
      </c>
      <c r="Y318" s="3" t="s">
        <v>3923</v>
      </c>
      <c r="Z318" s="3" t="s">
        <v>2412</v>
      </c>
      <c r="AA318" s="3" t="s">
        <v>2348</v>
      </c>
      <c r="AB318" s="3" t="s">
        <v>3924</v>
      </c>
      <c r="AC318" s="3" t="s">
        <v>3925</v>
      </c>
      <c r="AD318" s="3" t="s">
        <v>3926</v>
      </c>
      <c r="AE318" s="4" t="s">
        <v>53</v>
      </c>
    </row>
    <row r="319" customFormat="false" ht="15" hidden="false" customHeight="true" outlineLevel="0" collapsed="false">
      <c r="A319" s="3" t="s">
        <v>3927</v>
      </c>
      <c r="B319" s="3" t="s">
        <v>2046</v>
      </c>
      <c r="C319" s="3" t="s">
        <v>3928</v>
      </c>
      <c r="D319" s="3" t="s">
        <v>2212</v>
      </c>
      <c r="E319" s="3" t="s">
        <v>35</v>
      </c>
      <c r="F319" s="4" t="s">
        <v>36</v>
      </c>
      <c r="G319" s="3" t="s">
        <v>3929</v>
      </c>
      <c r="H319" s="3" t="s">
        <v>3930</v>
      </c>
      <c r="I319" s="3" t="s">
        <v>3931</v>
      </c>
      <c r="J319" s="3" t="s">
        <v>3932</v>
      </c>
      <c r="K319" s="3" t="s">
        <v>3933</v>
      </c>
      <c r="L319" s="3"/>
      <c r="M319" s="3"/>
      <c r="N319" s="3"/>
      <c r="O319" s="4"/>
      <c r="P319" s="3" t="s">
        <v>2126</v>
      </c>
      <c r="Q319" s="3" t="s">
        <v>2425</v>
      </c>
      <c r="R319" s="3" t="s">
        <v>2055</v>
      </c>
      <c r="S319" s="3" t="s">
        <v>2056</v>
      </c>
      <c r="T319" s="4" t="s">
        <v>675</v>
      </c>
      <c r="U319" s="3"/>
      <c r="V319" s="5" t="n">
        <v>7.8</v>
      </c>
      <c r="W319" s="3" t="s">
        <v>2271</v>
      </c>
      <c r="X319" s="3" t="s">
        <v>3934</v>
      </c>
      <c r="Y319" s="3" t="s">
        <v>3935</v>
      </c>
      <c r="Z319" s="3" t="s">
        <v>3936</v>
      </c>
      <c r="AA319" s="3" t="s">
        <v>3937</v>
      </c>
      <c r="AB319" s="3" t="s">
        <v>2119</v>
      </c>
      <c r="AC319" s="3" t="s">
        <v>3938</v>
      </c>
      <c r="AD319" s="3" t="s">
        <v>3939</v>
      </c>
      <c r="AE319" s="4" t="s">
        <v>53</v>
      </c>
    </row>
    <row r="320" customFormat="false" ht="15" hidden="false" customHeight="true" outlineLevel="0" collapsed="false">
      <c r="A320" s="3" t="s">
        <v>3940</v>
      </c>
      <c r="B320" s="3" t="s">
        <v>2046</v>
      </c>
      <c r="C320" s="3" t="s">
        <v>3941</v>
      </c>
      <c r="D320" s="3" t="s">
        <v>2212</v>
      </c>
      <c r="E320" s="3" t="s">
        <v>35</v>
      </c>
      <c r="F320" s="4" t="s">
        <v>36</v>
      </c>
      <c r="G320" s="3" t="s">
        <v>3942</v>
      </c>
      <c r="H320" s="3" t="s">
        <v>3943</v>
      </c>
      <c r="I320" s="3" t="s">
        <v>3944</v>
      </c>
      <c r="J320" s="3" t="s">
        <v>3945</v>
      </c>
      <c r="K320" s="3" t="s">
        <v>3946</v>
      </c>
      <c r="L320" s="3"/>
      <c r="M320" s="3"/>
      <c r="N320" s="3"/>
      <c r="O320" s="4"/>
      <c r="P320" s="3" t="s">
        <v>2126</v>
      </c>
      <c r="Q320" s="3" t="s">
        <v>3947</v>
      </c>
      <c r="R320" s="3" t="s">
        <v>2055</v>
      </c>
      <c r="S320" s="3" t="s">
        <v>2056</v>
      </c>
      <c r="T320" s="4" t="s">
        <v>675</v>
      </c>
      <c r="U320" s="3"/>
      <c r="V320" s="5" t="n">
        <v>7.8</v>
      </c>
      <c r="W320" s="3" t="s">
        <v>2271</v>
      </c>
      <c r="X320" s="3" t="s">
        <v>3948</v>
      </c>
      <c r="Y320" s="3" t="s">
        <v>3949</v>
      </c>
      <c r="Z320" s="3" t="s">
        <v>3341</v>
      </c>
      <c r="AA320" s="3" t="s">
        <v>3342</v>
      </c>
      <c r="AB320" s="3" t="s">
        <v>3950</v>
      </c>
      <c r="AC320" s="3" t="s">
        <v>2261</v>
      </c>
      <c r="AD320" s="3" t="s">
        <v>3951</v>
      </c>
      <c r="AE320" s="4" t="s">
        <v>53</v>
      </c>
    </row>
    <row r="321" customFormat="false" ht="15" hidden="false" customHeight="true" outlineLevel="0" collapsed="false">
      <c r="A321" s="3" t="s">
        <v>3952</v>
      </c>
      <c r="B321" s="3" t="s">
        <v>2046</v>
      </c>
      <c r="C321" s="3" t="s">
        <v>3953</v>
      </c>
      <c r="D321" s="3" t="s">
        <v>2212</v>
      </c>
      <c r="E321" s="3" t="s">
        <v>35</v>
      </c>
      <c r="F321" s="4" t="s">
        <v>36</v>
      </c>
      <c r="G321" s="3" t="s">
        <v>3954</v>
      </c>
      <c r="H321" s="3" t="s">
        <v>3955</v>
      </c>
      <c r="I321" s="3" t="s">
        <v>3956</v>
      </c>
      <c r="J321" s="3" t="s">
        <v>3957</v>
      </c>
      <c r="K321" s="3" t="s">
        <v>3958</v>
      </c>
      <c r="L321" s="3"/>
      <c r="M321" s="3"/>
      <c r="N321" s="3"/>
      <c r="O321" s="4"/>
      <c r="P321" s="3" t="s">
        <v>3959</v>
      </c>
      <c r="Q321" s="3" t="s">
        <v>3054</v>
      </c>
      <c r="R321" s="3" t="s">
        <v>2079</v>
      </c>
      <c r="S321" s="3" t="s">
        <v>2080</v>
      </c>
      <c r="T321" s="4" t="s">
        <v>675</v>
      </c>
      <c r="U321" s="3"/>
      <c r="V321" s="5" t="n">
        <v>7.8</v>
      </c>
      <c r="W321" s="3" t="s">
        <v>2271</v>
      </c>
      <c r="X321" s="3" t="s">
        <v>3960</v>
      </c>
      <c r="Y321" s="3" t="s">
        <v>3961</v>
      </c>
      <c r="Z321" s="3" t="s">
        <v>3962</v>
      </c>
      <c r="AA321" s="3" t="s">
        <v>2764</v>
      </c>
      <c r="AB321" s="3" t="s">
        <v>2070</v>
      </c>
      <c r="AC321" s="3" t="s">
        <v>3963</v>
      </c>
      <c r="AD321" s="3" t="s">
        <v>3964</v>
      </c>
      <c r="AE321" s="4" t="s">
        <v>53</v>
      </c>
    </row>
    <row r="322" customFormat="false" ht="15" hidden="false" customHeight="true" outlineLevel="0" collapsed="false">
      <c r="A322" s="3" t="s">
        <v>3965</v>
      </c>
      <c r="B322" s="3" t="s">
        <v>2046</v>
      </c>
      <c r="C322" s="3" t="s">
        <v>3966</v>
      </c>
      <c r="D322" s="3" t="s">
        <v>2212</v>
      </c>
      <c r="E322" s="3" t="s">
        <v>35</v>
      </c>
      <c r="F322" s="4" t="s">
        <v>36</v>
      </c>
      <c r="G322" s="3" t="s">
        <v>3967</v>
      </c>
      <c r="H322" s="3" t="s">
        <v>3968</v>
      </c>
      <c r="I322" s="3" t="s">
        <v>3969</v>
      </c>
      <c r="J322" s="3" t="s">
        <v>3970</v>
      </c>
      <c r="K322" s="3" t="s">
        <v>3971</v>
      </c>
      <c r="L322" s="3"/>
      <c r="M322" s="3"/>
      <c r="N322" s="3"/>
      <c r="O322" s="4"/>
      <c r="P322" s="3" t="s">
        <v>2126</v>
      </c>
      <c r="Q322" s="3" t="s">
        <v>3972</v>
      </c>
      <c r="R322" s="3" t="s">
        <v>2079</v>
      </c>
      <c r="S322" s="3" t="s">
        <v>2080</v>
      </c>
      <c r="T322" s="4" t="s">
        <v>675</v>
      </c>
      <c r="U322" s="3"/>
      <c r="V322" s="5" t="n">
        <v>7.8</v>
      </c>
      <c r="W322" s="3" t="s">
        <v>2271</v>
      </c>
      <c r="X322" s="3" t="s">
        <v>3973</v>
      </c>
      <c r="Y322" s="3" t="s">
        <v>3974</v>
      </c>
      <c r="Z322" s="3" t="s">
        <v>3975</v>
      </c>
      <c r="AA322" s="3" t="s">
        <v>2348</v>
      </c>
      <c r="AB322" s="3" t="s">
        <v>3976</v>
      </c>
      <c r="AC322" s="3" t="s">
        <v>3977</v>
      </c>
      <c r="AD322" s="3" t="s">
        <v>3978</v>
      </c>
      <c r="AE322" s="4" t="s">
        <v>53</v>
      </c>
    </row>
    <row r="323" customFormat="false" ht="15" hidden="false" customHeight="true" outlineLevel="0" collapsed="false">
      <c r="A323" s="3" t="s">
        <v>3979</v>
      </c>
      <c r="B323" s="3" t="s">
        <v>2046</v>
      </c>
      <c r="C323" s="3" t="s">
        <v>3980</v>
      </c>
      <c r="D323" s="3" t="s">
        <v>2212</v>
      </c>
      <c r="E323" s="3" t="s">
        <v>35</v>
      </c>
      <c r="F323" s="4" t="s">
        <v>36</v>
      </c>
      <c r="G323" s="3" t="s">
        <v>3981</v>
      </c>
      <c r="H323" s="3" t="s">
        <v>3982</v>
      </c>
      <c r="I323" s="3" t="s">
        <v>3983</v>
      </c>
      <c r="J323" s="3" t="s">
        <v>3984</v>
      </c>
      <c r="K323" s="3" t="s">
        <v>3985</v>
      </c>
      <c r="L323" s="3"/>
      <c r="M323" s="3"/>
      <c r="N323" s="3"/>
      <c r="O323" s="4"/>
      <c r="P323" s="3" t="s">
        <v>2126</v>
      </c>
      <c r="Q323" s="3" t="s">
        <v>3235</v>
      </c>
      <c r="R323" s="3" t="s">
        <v>2079</v>
      </c>
      <c r="S323" s="3" t="s">
        <v>2080</v>
      </c>
      <c r="T323" s="4" t="s">
        <v>675</v>
      </c>
      <c r="U323" s="3"/>
      <c r="V323" s="5" t="n">
        <v>7.8</v>
      </c>
      <c r="W323" s="3" t="s">
        <v>2271</v>
      </c>
      <c r="X323" s="3" t="s">
        <v>3986</v>
      </c>
      <c r="Y323" s="3" t="s">
        <v>3987</v>
      </c>
      <c r="Z323" s="3" t="s">
        <v>3988</v>
      </c>
      <c r="AA323" s="3" t="s">
        <v>2348</v>
      </c>
      <c r="AB323" s="3" t="s">
        <v>2070</v>
      </c>
      <c r="AC323" s="3" t="s">
        <v>3989</v>
      </c>
      <c r="AD323" s="3" t="s">
        <v>3990</v>
      </c>
      <c r="AE323" s="4" t="s">
        <v>53</v>
      </c>
    </row>
    <row r="324" customFormat="false" ht="15" hidden="false" customHeight="true" outlineLevel="0" collapsed="false">
      <c r="A324" s="3" t="s">
        <v>3991</v>
      </c>
      <c r="B324" s="3" t="s">
        <v>2046</v>
      </c>
      <c r="C324" s="3" t="s">
        <v>3992</v>
      </c>
      <c r="D324" s="3" t="s">
        <v>2212</v>
      </c>
      <c r="E324" s="3" t="s">
        <v>35</v>
      </c>
      <c r="F324" s="4" t="s">
        <v>36</v>
      </c>
      <c r="G324" s="3" t="s">
        <v>3993</v>
      </c>
      <c r="H324" s="3" t="s">
        <v>3994</v>
      </c>
      <c r="I324" s="3" t="s">
        <v>3995</v>
      </c>
      <c r="J324" s="3" t="s">
        <v>3996</v>
      </c>
      <c r="K324" s="3" t="s">
        <v>3997</v>
      </c>
      <c r="L324" s="3"/>
      <c r="M324" s="3"/>
      <c r="N324" s="3"/>
      <c r="O324" s="4"/>
      <c r="P324" s="3" t="s">
        <v>2126</v>
      </c>
      <c r="Q324" s="3" t="s">
        <v>2425</v>
      </c>
      <c r="R324" s="3" t="s">
        <v>2079</v>
      </c>
      <c r="S324" s="3" t="s">
        <v>2080</v>
      </c>
      <c r="T324" s="4" t="s">
        <v>675</v>
      </c>
      <c r="U324" s="3"/>
      <c r="V324" s="5" t="n">
        <v>7.8</v>
      </c>
      <c r="W324" s="3" t="s">
        <v>2271</v>
      </c>
      <c r="X324" s="3" t="s">
        <v>3998</v>
      </c>
      <c r="Y324" s="3" t="s">
        <v>3999</v>
      </c>
      <c r="Z324" s="3" t="s">
        <v>3158</v>
      </c>
      <c r="AA324" s="3" t="s">
        <v>4000</v>
      </c>
      <c r="AB324" s="3" t="s">
        <v>3976</v>
      </c>
      <c r="AC324" s="3" t="s">
        <v>3159</v>
      </c>
      <c r="AD324" s="3" t="s">
        <v>4001</v>
      </c>
      <c r="AE324" s="4" t="s">
        <v>53</v>
      </c>
    </row>
    <row r="325" customFormat="false" ht="15" hidden="false" customHeight="true" outlineLevel="0" collapsed="false">
      <c r="A325" s="3" t="s">
        <v>4002</v>
      </c>
      <c r="B325" s="3" t="s">
        <v>2046</v>
      </c>
      <c r="C325" s="3" t="s">
        <v>4003</v>
      </c>
      <c r="D325" s="3" t="s">
        <v>2212</v>
      </c>
      <c r="E325" s="3" t="s">
        <v>35</v>
      </c>
      <c r="F325" s="4" t="s">
        <v>36</v>
      </c>
      <c r="G325" s="3" t="s">
        <v>4004</v>
      </c>
      <c r="H325" s="3" t="s">
        <v>4005</v>
      </c>
      <c r="I325" s="3" t="s">
        <v>4006</v>
      </c>
      <c r="J325" s="3" t="s">
        <v>4007</v>
      </c>
      <c r="K325" s="3" t="s">
        <v>4008</v>
      </c>
      <c r="L325" s="3"/>
      <c r="M325" s="3"/>
      <c r="N325" s="3"/>
      <c r="O325" s="4"/>
      <c r="P325" s="3" t="s">
        <v>4009</v>
      </c>
      <c r="Q325" s="3" t="s">
        <v>4010</v>
      </c>
      <c r="R325" s="3" t="s">
        <v>2079</v>
      </c>
      <c r="S325" s="3" t="s">
        <v>2080</v>
      </c>
      <c r="T325" s="4" t="s">
        <v>675</v>
      </c>
      <c r="U325" s="3"/>
      <c r="V325" s="5" t="n">
        <v>7.8</v>
      </c>
      <c r="W325" s="3" t="s">
        <v>2271</v>
      </c>
      <c r="X325" s="3" t="s">
        <v>4011</v>
      </c>
      <c r="Y325" s="3" t="s">
        <v>4012</v>
      </c>
      <c r="Z325" s="3" t="s">
        <v>4013</v>
      </c>
      <c r="AA325" s="3" t="s">
        <v>2764</v>
      </c>
      <c r="AB325" s="3" t="s">
        <v>4014</v>
      </c>
      <c r="AC325" s="3" t="s">
        <v>4015</v>
      </c>
      <c r="AD325" s="3" t="s">
        <v>4016</v>
      </c>
      <c r="AE325" s="4" t="s">
        <v>53</v>
      </c>
    </row>
    <row r="326" customFormat="false" ht="15" hidden="false" customHeight="true" outlineLevel="0" collapsed="false">
      <c r="A326" s="3" t="s">
        <v>4017</v>
      </c>
      <c r="B326" s="3" t="s">
        <v>2046</v>
      </c>
      <c r="C326" s="3" t="s">
        <v>4018</v>
      </c>
      <c r="D326" s="3" t="s">
        <v>2212</v>
      </c>
      <c r="E326" s="3" t="s">
        <v>35</v>
      </c>
      <c r="F326" s="4" t="s">
        <v>86</v>
      </c>
      <c r="G326" s="3" t="s">
        <v>4019</v>
      </c>
      <c r="H326" s="3" t="s">
        <v>4020</v>
      </c>
      <c r="I326" s="3" t="s">
        <v>4021</v>
      </c>
      <c r="J326" s="3" t="s">
        <v>4022</v>
      </c>
      <c r="K326" s="3" t="s">
        <v>4023</v>
      </c>
      <c r="L326" s="3"/>
      <c r="M326" s="3"/>
      <c r="N326" s="3"/>
      <c r="O326" s="4"/>
      <c r="P326" s="3" t="s">
        <v>4009</v>
      </c>
      <c r="Q326" s="3" t="s">
        <v>4024</v>
      </c>
      <c r="R326" s="3" t="s">
        <v>2079</v>
      </c>
      <c r="S326" s="3" t="s">
        <v>2080</v>
      </c>
      <c r="T326" s="4" t="s">
        <v>675</v>
      </c>
      <c r="U326" s="3"/>
      <c r="V326" s="5" t="n">
        <v>9.3</v>
      </c>
      <c r="W326" s="3" t="s">
        <v>2524</v>
      </c>
      <c r="X326" s="3" t="s">
        <v>4025</v>
      </c>
      <c r="Y326" s="3" t="s">
        <v>4026</v>
      </c>
      <c r="Z326" s="3" t="s">
        <v>2585</v>
      </c>
      <c r="AA326" s="3" t="s">
        <v>2887</v>
      </c>
      <c r="AB326" s="3" t="s">
        <v>4027</v>
      </c>
      <c r="AC326" s="3" t="s">
        <v>4028</v>
      </c>
      <c r="AD326" s="3" t="s">
        <v>4029</v>
      </c>
      <c r="AE326" s="4" t="s">
        <v>53</v>
      </c>
    </row>
    <row r="327" customFormat="false" ht="15" hidden="false" customHeight="true" outlineLevel="0" collapsed="false">
      <c r="A327" s="3" t="s">
        <v>4030</v>
      </c>
      <c r="B327" s="3" t="s">
        <v>2046</v>
      </c>
      <c r="C327" s="3" t="s">
        <v>4031</v>
      </c>
      <c r="D327" s="3" t="s">
        <v>2212</v>
      </c>
      <c r="E327" s="3" t="s">
        <v>35</v>
      </c>
      <c r="F327" s="4" t="s">
        <v>36</v>
      </c>
      <c r="G327" s="3" t="s">
        <v>4032</v>
      </c>
      <c r="H327" s="3" t="s">
        <v>4033</v>
      </c>
      <c r="I327" s="3" t="s">
        <v>4034</v>
      </c>
      <c r="J327" s="3" t="s">
        <v>4035</v>
      </c>
      <c r="K327" s="3" t="s">
        <v>4036</v>
      </c>
      <c r="L327" s="3"/>
      <c r="M327" s="3"/>
      <c r="N327" s="3"/>
      <c r="O327" s="4"/>
      <c r="P327" s="3" t="s">
        <v>2126</v>
      </c>
      <c r="Q327" s="3" t="s">
        <v>4037</v>
      </c>
      <c r="R327" s="3" t="s">
        <v>2079</v>
      </c>
      <c r="S327" s="3" t="s">
        <v>2080</v>
      </c>
      <c r="T327" s="4" t="s">
        <v>675</v>
      </c>
      <c r="U327" s="3"/>
      <c r="V327" s="5" t="n">
        <v>7.8</v>
      </c>
      <c r="W327" s="3" t="s">
        <v>2271</v>
      </c>
      <c r="X327" s="3" t="s">
        <v>4038</v>
      </c>
      <c r="Y327" s="3" t="s">
        <v>4039</v>
      </c>
      <c r="Z327" s="3" t="s">
        <v>4040</v>
      </c>
      <c r="AA327" s="3" t="s">
        <v>4041</v>
      </c>
      <c r="AB327" s="3" t="s">
        <v>4042</v>
      </c>
      <c r="AC327" s="3" t="s">
        <v>2261</v>
      </c>
      <c r="AD327" s="3" t="s">
        <v>4043</v>
      </c>
      <c r="AE327" s="4" t="s">
        <v>53</v>
      </c>
    </row>
    <row r="328" customFormat="false" ht="15" hidden="false" customHeight="true" outlineLevel="0" collapsed="false">
      <c r="A328" s="3" t="s">
        <v>4044</v>
      </c>
      <c r="B328" s="3" t="s">
        <v>1859</v>
      </c>
      <c r="C328" s="3" t="s">
        <v>4045</v>
      </c>
      <c r="D328" s="3" t="s">
        <v>2212</v>
      </c>
      <c r="E328" s="3" t="s">
        <v>70</v>
      </c>
      <c r="F328" s="4" t="s">
        <v>36</v>
      </c>
      <c r="G328" s="3" t="s">
        <v>4046</v>
      </c>
      <c r="H328" s="3" t="s">
        <v>4047</v>
      </c>
      <c r="I328" s="3" t="s">
        <v>4048</v>
      </c>
      <c r="J328" s="3" t="s">
        <v>4049</v>
      </c>
      <c r="K328" s="3" t="s">
        <v>4050</v>
      </c>
      <c r="L328" s="3"/>
      <c r="M328" s="3"/>
      <c r="N328" s="3"/>
      <c r="O328" s="4"/>
      <c r="P328" s="3" t="s">
        <v>4051</v>
      </c>
      <c r="Q328" s="3" t="s">
        <v>4052</v>
      </c>
      <c r="R328" s="3" t="s">
        <v>1122</v>
      </c>
      <c r="S328" s="3" t="s">
        <v>1922</v>
      </c>
      <c r="T328" s="4" t="s">
        <v>675</v>
      </c>
      <c r="U328" s="3"/>
      <c r="V328" s="5" t="n">
        <v>7.8</v>
      </c>
      <c r="W328" s="3" t="s">
        <v>4053</v>
      </c>
      <c r="X328" s="3" t="s">
        <v>4054</v>
      </c>
      <c r="Y328" s="3" t="s">
        <v>4055</v>
      </c>
      <c r="Z328" s="3" t="s">
        <v>4056</v>
      </c>
      <c r="AA328" s="3" t="s">
        <v>2764</v>
      </c>
      <c r="AB328" s="3" t="s">
        <v>4057</v>
      </c>
      <c r="AC328" s="3" t="s">
        <v>4058</v>
      </c>
      <c r="AD328" s="3" t="s">
        <v>4059</v>
      </c>
      <c r="AE328" s="4" t="s">
        <v>53</v>
      </c>
    </row>
    <row r="329" customFormat="false" ht="15" hidden="false" customHeight="true" outlineLevel="0" collapsed="false">
      <c r="A329" s="3" t="s">
        <v>4060</v>
      </c>
      <c r="B329" s="3" t="s">
        <v>1859</v>
      </c>
      <c r="C329" s="3" t="s">
        <v>4061</v>
      </c>
      <c r="D329" s="3" t="s">
        <v>2212</v>
      </c>
      <c r="E329" s="3" t="s">
        <v>189</v>
      </c>
      <c r="F329" s="4" t="s">
        <v>86</v>
      </c>
      <c r="G329" s="3" t="s">
        <v>4062</v>
      </c>
      <c r="H329" s="3" t="s">
        <v>4063</v>
      </c>
      <c r="I329" s="3" t="s">
        <v>4064</v>
      </c>
      <c r="J329" s="3" t="s">
        <v>4065</v>
      </c>
      <c r="K329" s="3" t="s">
        <v>4066</v>
      </c>
      <c r="L329" s="3"/>
      <c r="M329" s="3"/>
      <c r="N329" s="3"/>
      <c r="O329" s="4"/>
      <c r="P329" s="3" t="s">
        <v>4067</v>
      </c>
      <c r="Q329" s="3" t="s">
        <v>4068</v>
      </c>
      <c r="R329" s="3" t="s">
        <v>1122</v>
      </c>
      <c r="S329" s="3" t="s">
        <v>1922</v>
      </c>
      <c r="T329" s="4" t="s">
        <v>50</v>
      </c>
      <c r="U329" s="3"/>
      <c r="V329" s="5" t="n">
        <v>9.8</v>
      </c>
      <c r="W329" s="3" t="s">
        <v>2393</v>
      </c>
      <c r="X329" s="3" t="s">
        <v>4069</v>
      </c>
      <c r="Y329" s="3" t="s">
        <v>4070</v>
      </c>
      <c r="Z329" s="3" t="s">
        <v>4071</v>
      </c>
      <c r="AA329" s="3" t="s">
        <v>2887</v>
      </c>
      <c r="AB329" s="3" t="s">
        <v>4072</v>
      </c>
      <c r="AC329" s="3" t="s">
        <v>4073</v>
      </c>
      <c r="AD329" s="3" t="s">
        <v>4074</v>
      </c>
      <c r="AE329" s="4" t="s">
        <v>53</v>
      </c>
    </row>
    <row r="330" customFormat="false" ht="15" hidden="false" customHeight="true" outlineLevel="0" collapsed="false">
      <c r="A330" s="3" t="s">
        <v>4075</v>
      </c>
      <c r="B330" s="3" t="s">
        <v>1859</v>
      </c>
      <c r="C330" s="3" t="s">
        <v>4076</v>
      </c>
      <c r="D330" s="3" t="s">
        <v>2212</v>
      </c>
      <c r="E330" s="3" t="s">
        <v>70</v>
      </c>
      <c r="F330" s="4" t="s">
        <v>36</v>
      </c>
      <c r="G330" s="3" t="s">
        <v>4077</v>
      </c>
      <c r="H330" s="3" t="s">
        <v>4078</v>
      </c>
      <c r="I330" s="3" t="s">
        <v>4079</v>
      </c>
      <c r="J330" s="3" t="s">
        <v>4080</v>
      </c>
      <c r="K330" s="3" t="s">
        <v>4081</v>
      </c>
      <c r="L330" s="3"/>
      <c r="M330" s="3"/>
      <c r="N330" s="3"/>
      <c r="O330" s="4"/>
      <c r="P330" s="3" t="s">
        <v>4082</v>
      </c>
      <c r="Q330" s="3" t="s">
        <v>4083</v>
      </c>
      <c r="R330" s="3" t="s">
        <v>1122</v>
      </c>
      <c r="S330" s="3" t="s">
        <v>1922</v>
      </c>
      <c r="T330" s="4" t="s">
        <v>675</v>
      </c>
      <c r="U330" s="3"/>
      <c r="V330" s="5" t="n">
        <v>8.4</v>
      </c>
      <c r="W330" s="3" t="s">
        <v>4084</v>
      </c>
      <c r="X330" s="3" t="s">
        <v>4085</v>
      </c>
      <c r="Y330" s="3" t="s">
        <v>4086</v>
      </c>
      <c r="Z330" s="3" t="s">
        <v>4087</v>
      </c>
      <c r="AA330" s="3" t="s">
        <v>4088</v>
      </c>
      <c r="AB330" s="3" t="s">
        <v>4089</v>
      </c>
      <c r="AC330" s="3" t="s">
        <v>4090</v>
      </c>
      <c r="AD330" s="3" t="s">
        <v>4091</v>
      </c>
      <c r="AE330" s="4" t="s">
        <v>53</v>
      </c>
    </row>
    <row r="331" customFormat="false" ht="15" hidden="false" customHeight="true" outlineLevel="0" collapsed="false">
      <c r="A331" s="3" t="s">
        <v>4092</v>
      </c>
      <c r="B331" s="3" t="s">
        <v>1859</v>
      </c>
      <c r="C331" s="3" t="s">
        <v>4093</v>
      </c>
      <c r="D331" s="3" t="s">
        <v>2212</v>
      </c>
      <c r="E331" s="3" t="s">
        <v>70</v>
      </c>
      <c r="F331" s="4" t="s">
        <v>36</v>
      </c>
      <c r="G331" s="3" t="s">
        <v>4094</v>
      </c>
      <c r="H331" s="3" t="s">
        <v>4095</v>
      </c>
      <c r="I331" s="3" t="s">
        <v>4096</v>
      </c>
      <c r="J331" s="3" t="s">
        <v>4097</v>
      </c>
      <c r="K331" s="3" t="s">
        <v>4098</v>
      </c>
      <c r="L331" s="3"/>
      <c r="M331" s="3"/>
      <c r="N331" s="3"/>
      <c r="O331" s="4"/>
      <c r="P331" s="3" t="s">
        <v>4099</v>
      </c>
      <c r="Q331" s="3" t="s">
        <v>297</v>
      </c>
      <c r="R331" s="3" t="s">
        <v>1122</v>
      </c>
      <c r="S331" s="3" t="s">
        <v>1922</v>
      </c>
      <c r="T331" s="4" t="s">
        <v>675</v>
      </c>
      <c r="U331" s="3"/>
      <c r="V331" s="5" t="n">
        <v>7</v>
      </c>
      <c r="W331" s="3" t="s">
        <v>4100</v>
      </c>
      <c r="X331" s="3" t="s">
        <v>4101</v>
      </c>
      <c r="Y331" s="3" t="s">
        <v>4102</v>
      </c>
      <c r="Z331" s="3" t="s">
        <v>4103</v>
      </c>
      <c r="AA331" s="3" t="s">
        <v>4104</v>
      </c>
      <c r="AB331" s="3" t="s">
        <v>4105</v>
      </c>
      <c r="AC331" s="3" t="s">
        <v>4106</v>
      </c>
      <c r="AD331" s="3" t="s">
        <v>4107</v>
      </c>
      <c r="AE331" s="4" t="s">
        <v>53</v>
      </c>
    </row>
    <row r="332" customFormat="false" ht="15" hidden="false" customHeight="true" outlineLevel="0" collapsed="false">
      <c r="A332" s="3" t="s">
        <v>4108</v>
      </c>
      <c r="B332" s="3" t="s">
        <v>1859</v>
      </c>
      <c r="C332" s="3" t="s">
        <v>4109</v>
      </c>
      <c r="D332" s="3" t="s">
        <v>2212</v>
      </c>
      <c r="E332" s="3" t="s">
        <v>70</v>
      </c>
      <c r="F332" s="4" t="s">
        <v>36</v>
      </c>
      <c r="G332" s="3" t="s">
        <v>4110</v>
      </c>
      <c r="H332" s="3" t="s">
        <v>4111</v>
      </c>
      <c r="I332" s="3" t="s">
        <v>4112</v>
      </c>
      <c r="J332" s="3" t="s">
        <v>4113</v>
      </c>
      <c r="K332" s="3" t="s">
        <v>4114</v>
      </c>
      <c r="L332" s="3"/>
      <c r="M332" s="3"/>
      <c r="N332" s="3"/>
      <c r="O332" s="4"/>
      <c r="P332" s="3" t="s">
        <v>4115</v>
      </c>
      <c r="Q332" s="3" t="s">
        <v>297</v>
      </c>
      <c r="R332" s="3" t="s">
        <v>1122</v>
      </c>
      <c r="S332" s="3" t="s">
        <v>1922</v>
      </c>
      <c r="T332" s="4" t="s">
        <v>675</v>
      </c>
      <c r="U332" s="3"/>
      <c r="V332" s="5" t="n">
        <v>8.8</v>
      </c>
      <c r="W332" s="3" t="s">
        <v>4116</v>
      </c>
      <c r="X332" s="3" t="s">
        <v>4117</v>
      </c>
      <c r="Y332" s="3" t="s">
        <v>4118</v>
      </c>
      <c r="Z332" s="3" t="s">
        <v>4119</v>
      </c>
      <c r="AA332" s="3" t="s">
        <v>4120</v>
      </c>
      <c r="AB332" s="3" t="s">
        <v>4121</v>
      </c>
      <c r="AC332" s="3" t="s">
        <v>4122</v>
      </c>
      <c r="AD332" s="3" t="s">
        <v>4123</v>
      </c>
      <c r="AE332" s="4" t="s">
        <v>53</v>
      </c>
    </row>
    <row r="333" customFormat="false" ht="15" hidden="false" customHeight="true" outlineLevel="0" collapsed="false">
      <c r="A333" s="3" t="s">
        <v>4124</v>
      </c>
      <c r="B333" s="3" t="s">
        <v>1459</v>
      </c>
      <c r="C333" s="3" t="s">
        <v>4125</v>
      </c>
      <c r="D333" s="3" t="s">
        <v>2212</v>
      </c>
      <c r="E333" s="3" t="s">
        <v>35</v>
      </c>
      <c r="F333" s="4" t="s">
        <v>86</v>
      </c>
      <c r="G333" s="3" t="s">
        <v>4126</v>
      </c>
      <c r="H333" s="3" t="s">
        <v>4127</v>
      </c>
      <c r="I333" s="3" t="s">
        <v>4128</v>
      </c>
      <c r="J333" s="3" t="s">
        <v>4129</v>
      </c>
      <c r="K333" s="3" t="s">
        <v>4130</v>
      </c>
      <c r="L333" s="3"/>
      <c r="M333" s="3"/>
      <c r="N333" s="3"/>
      <c r="O333" s="4"/>
      <c r="P333" s="3" t="s">
        <v>4131</v>
      </c>
      <c r="Q333" s="3" t="s">
        <v>732</v>
      </c>
      <c r="R333" s="3" t="s">
        <v>1550</v>
      </c>
      <c r="S333" s="3"/>
      <c r="T333" s="4" t="s">
        <v>50</v>
      </c>
      <c r="U333" s="3"/>
      <c r="V333" s="5" t="n">
        <v>10</v>
      </c>
      <c r="W333" s="3" t="s">
        <v>2221</v>
      </c>
      <c r="X333" s="3" t="s">
        <v>4132</v>
      </c>
      <c r="Y333" s="3" t="s">
        <v>4133</v>
      </c>
      <c r="Z333" s="3" t="s">
        <v>2274</v>
      </c>
      <c r="AA333" s="3" t="s">
        <v>4134</v>
      </c>
      <c r="AB333" s="3" t="s">
        <v>4135</v>
      </c>
      <c r="AC333" s="3" t="s">
        <v>4136</v>
      </c>
      <c r="AD333" s="3" t="s">
        <v>4137</v>
      </c>
      <c r="AE333" s="4" t="s">
        <v>53</v>
      </c>
    </row>
    <row r="334" customFormat="false" ht="15" hidden="false" customHeight="true" outlineLevel="0" collapsed="false">
      <c r="A334" s="3" t="s">
        <v>4138</v>
      </c>
      <c r="B334" s="3" t="s">
        <v>1459</v>
      </c>
      <c r="C334" s="3" t="s">
        <v>4139</v>
      </c>
      <c r="D334" s="3" t="s">
        <v>2212</v>
      </c>
      <c r="E334" s="3" t="s">
        <v>35</v>
      </c>
      <c r="F334" s="4" t="s">
        <v>36</v>
      </c>
      <c r="G334" s="3" t="s">
        <v>4140</v>
      </c>
      <c r="H334" s="3" t="s">
        <v>4141</v>
      </c>
      <c r="I334" s="3" t="s">
        <v>4142</v>
      </c>
      <c r="J334" s="3" t="s">
        <v>4143</v>
      </c>
      <c r="K334" s="3" t="s">
        <v>4144</v>
      </c>
      <c r="L334" s="3"/>
      <c r="M334" s="3"/>
      <c r="N334" s="3"/>
      <c r="O334" s="4"/>
      <c r="P334" s="3" t="s">
        <v>4145</v>
      </c>
      <c r="Q334" s="3" t="s">
        <v>732</v>
      </c>
      <c r="R334" s="3" t="s">
        <v>1550</v>
      </c>
      <c r="S334" s="3"/>
      <c r="T334" s="4" t="s">
        <v>50</v>
      </c>
      <c r="U334" s="3"/>
      <c r="V334" s="5" t="n">
        <v>8</v>
      </c>
      <c r="W334" s="3" t="s">
        <v>4146</v>
      </c>
      <c r="X334" s="3" t="s">
        <v>4147</v>
      </c>
      <c r="Y334" s="3" t="s">
        <v>4148</v>
      </c>
      <c r="Z334" s="3" t="s">
        <v>2274</v>
      </c>
      <c r="AA334" s="3" t="s">
        <v>4149</v>
      </c>
      <c r="AB334" s="3" t="s">
        <v>4150</v>
      </c>
      <c r="AC334" s="3" t="s">
        <v>4151</v>
      </c>
      <c r="AD334" s="3" t="s">
        <v>4152</v>
      </c>
      <c r="AE334" s="4" t="s">
        <v>53</v>
      </c>
    </row>
    <row r="335" customFormat="false" ht="15" hidden="false" customHeight="true" outlineLevel="0" collapsed="false">
      <c r="A335" s="3" t="s">
        <v>4153</v>
      </c>
      <c r="B335" s="3" t="s">
        <v>1459</v>
      </c>
      <c r="C335" s="3" t="s">
        <v>4154</v>
      </c>
      <c r="D335" s="3" t="s">
        <v>2212</v>
      </c>
      <c r="E335" s="3" t="s">
        <v>258</v>
      </c>
      <c r="F335" s="4" t="s">
        <v>86</v>
      </c>
      <c r="G335" s="3" t="s">
        <v>4155</v>
      </c>
      <c r="H335" s="3" t="s">
        <v>4156</v>
      </c>
      <c r="I335" s="3" t="s">
        <v>4157</v>
      </c>
      <c r="J335" s="3" t="s">
        <v>4158</v>
      </c>
      <c r="K335" s="3" t="s">
        <v>4159</v>
      </c>
      <c r="L335" s="3"/>
      <c r="M335" s="3"/>
      <c r="N335" s="3"/>
      <c r="O335" s="4"/>
      <c r="P335" s="3" t="s">
        <v>4160</v>
      </c>
      <c r="Q335" s="3" t="s">
        <v>732</v>
      </c>
      <c r="R335" s="3" t="s">
        <v>1550</v>
      </c>
      <c r="S335" s="3" t="s">
        <v>1067</v>
      </c>
      <c r="T335" s="4" t="s">
        <v>287</v>
      </c>
      <c r="U335" s="3"/>
      <c r="V335" s="5" t="n">
        <v>9.8</v>
      </c>
      <c r="W335" s="3" t="s">
        <v>2393</v>
      </c>
      <c r="X335" s="3" t="s">
        <v>4161</v>
      </c>
      <c r="Y335" s="3" t="s">
        <v>4162</v>
      </c>
      <c r="Z335" s="3" t="s">
        <v>2224</v>
      </c>
      <c r="AA335" s="3" t="s">
        <v>2764</v>
      </c>
      <c r="AB335" s="3" t="s">
        <v>4163</v>
      </c>
      <c r="AC335" s="3" t="s">
        <v>4164</v>
      </c>
      <c r="AD335" s="3" t="s">
        <v>4165</v>
      </c>
      <c r="AE335" s="4" t="s">
        <v>53</v>
      </c>
    </row>
    <row r="336" customFormat="false" ht="15" hidden="false" customHeight="true" outlineLevel="0" collapsed="false">
      <c r="A336" s="3" t="s">
        <v>4166</v>
      </c>
      <c r="B336" s="3" t="s">
        <v>1459</v>
      </c>
      <c r="C336" s="3" t="s">
        <v>4167</v>
      </c>
      <c r="D336" s="3" t="s">
        <v>2212</v>
      </c>
      <c r="E336" s="3" t="s">
        <v>258</v>
      </c>
      <c r="F336" s="4" t="s">
        <v>86</v>
      </c>
      <c r="G336" s="3" t="s">
        <v>4168</v>
      </c>
      <c r="H336" s="3" t="s">
        <v>4169</v>
      </c>
      <c r="I336" s="3" t="s">
        <v>4170</v>
      </c>
      <c r="J336" s="3" t="s">
        <v>4171</v>
      </c>
      <c r="K336" s="3" t="s">
        <v>4172</v>
      </c>
      <c r="L336" s="3" t="s">
        <v>348</v>
      </c>
      <c r="M336" s="3"/>
      <c r="N336" s="3"/>
      <c r="O336" s="4"/>
      <c r="P336" s="3" t="s">
        <v>4173</v>
      </c>
      <c r="Q336" s="3" t="s">
        <v>4174</v>
      </c>
      <c r="R336" s="3" t="s">
        <v>1618</v>
      </c>
      <c r="S336" s="3" t="s">
        <v>1067</v>
      </c>
      <c r="T336" s="4" t="s">
        <v>287</v>
      </c>
      <c r="U336" s="3"/>
      <c r="V336" s="5" t="n">
        <v>9.8</v>
      </c>
      <c r="W336" s="3" t="s">
        <v>2393</v>
      </c>
      <c r="X336" s="3" t="s">
        <v>4175</v>
      </c>
      <c r="Y336" s="3" t="s">
        <v>4176</v>
      </c>
      <c r="Z336" s="3" t="s">
        <v>2274</v>
      </c>
      <c r="AA336" s="3" t="s">
        <v>2348</v>
      </c>
      <c r="AB336" s="3" t="s">
        <v>4177</v>
      </c>
      <c r="AC336" s="3" t="s">
        <v>4178</v>
      </c>
      <c r="AD336" s="3" t="s">
        <v>4179</v>
      </c>
      <c r="AE336" s="4" t="s">
        <v>53</v>
      </c>
    </row>
    <row r="337" customFormat="false" ht="15" hidden="false" customHeight="true" outlineLevel="0" collapsed="false">
      <c r="A337" s="3" t="s">
        <v>4180</v>
      </c>
      <c r="B337" s="3" t="s">
        <v>1459</v>
      </c>
      <c r="C337" s="3" t="s">
        <v>4181</v>
      </c>
      <c r="D337" s="3" t="s">
        <v>2212</v>
      </c>
      <c r="E337" s="3" t="s">
        <v>35</v>
      </c>
      <c r="F337" s="4" t="s">
        <v>36</v>
      </c>
      <c r="G337" s="3" t="s">
        <v>4182</v>
      </c>
      <c r="H337" s="3" t="s">
        <v>4183</v>
      </c>
      <c r="I337" s="3" t="s">
        <v>4184</v>
      </c>
      <c r="J337" s="3" t="s">
        <v>4185</v>
      </c>
      <c r="K337" s="3" t="s">
        <v>4186</v>
      </c>
      <c r="L337" s="3" t="s">
        <v>348</v>
      </c>
      <c r="M337" s="3"/>
      <c r="N337" s="3"/>
      <c r="O337" s="4"/>
      <c r="P337" s="3" t="s">
        <v>4187</v>
      </c>
      <c r="Q337" s="3" t="s">
        <v>4188</v>
      </c>
      <c r="R337" s="3" t="s">
        <v>4189</v>
      </c>
      <c r="S337" s="3"/>
      <c r="T337" s="4" t="s">
        <v>287</v>
      </c>
      <c r="U337" s="3"/>
      <c r="V337" s="5" t="n">
        <v>8.6</v>
      </c>
      <c r="W337" s="3" t="s">
        <v>4190</v>
      </c>
      <c r="X337" s="3" t="s">
        <v>4191</v>
      </c>
      <c r="Y337" s="3" t="s">
        <v>4192</v>
      </c>
      <c r="Z337" s="3" t="s">
        <v>2274</v>
      </c>
      <c r="AA337" s="3" t="s">
        <v>2348</v>
      </c>
      <c r="AB337" s="3" t="s">
        <v>4177</v>
      </c>
      <c r="AC337" s="3" t="s">
        <v>4193</v>
      </c>
      <c r="AD337" s="3" t="s">
        <v>4194</v>
      </c>
      <c r="AE337" s="4" t="s">
        <v>53</v>
      </c>
    </row>
    <row r="338" customFormat="false" ht="15" hidden="false" customHeight="true" outlineLevel="0" collapsed="false">
      <c r="A338" s="3" t="s">
        <v>4195</v>
      </c>
      <c r="B338" s="3" t="s">
        <v>1459</v>
      </c>
      <c r="C338" s="3" t="s">
        <v>4196</v>
      </c>
      <c r="D338" s="3" t="s">
        <v>2212</v>
      </c>
      <c r="E338" s="3" t="s">
        <v>189</v>
      </c>
      <c r="F338" s="4" t="s">
        <v>36</v>
      </c>
      <c r="G338" s="3" t="s">
        <v>4197</v>
      </c>
      <c r="H338" s="3" t="s">
        <v>4198</v>
      </c>
      <c r="I338" s="3" t="s">
        <v>4199</v>
      </c>
      <c r="J338" s="3" t="s">
        <v>4200</v>
      </c>
      <c r="K338" s="3" t="s">
        <v>4201</v>
      </c>
      <c r="L338" s="3" t="s">
        <v>348</v>
      </c>
      <c r="M338" s="3"/>
      <c r="N338" s="3"/>
      <c r="O338" s="4"/>
      <c r="P338" s="3" t="s">
        <v>4202</v>
      </c>
      <c r="Q338" s="3" t="s">
        <v>4203</v>
      </c>
      <c r="R338" s="3" t="s">
        <v>1605</v>
      </c>
      <c r="S338" s="3"/>
      <c r="T338" s="4" t="s">
        <v>82</v>
      </c>
      <c r="U338" s="3"/>
      <c r="V338" s="5" t="n">
        <v>8.6</v>
      </c>
      <c r="W338" s="3" t="s">
        <v>3155</v>
      </c>
      <c r="X338" s="3" t="s">
        <v>4204</v>
      </c>
      <c r="Y338" s="3" t="s">
        <v>4205</v>
      </c>
      <c r="Z338" s="3" t="s">
        <v>4206</v>
      </c>
      <c r="AA338" s="3" t="s">
        <v>4207</v>
      </c>
      <c r="AB338" s="3" t="s">
        <v>4208</v>
      </c>
      <c r="AC338" s="3" t="s">
        <v>4209</v>
      </c>
      <c r="AD338" s="3" t="s">
        <v>4210</v>
      </c>
      <c r="AE338" s="4" t="s">
        <v>53</v>
      </c>
    </row>
    <row r="339" customFormat="false" ht="15" hidden="false" customHeight="true" outlineLevel="0" collapsed="false">
      <c r="A339" s="3" t="s">
        <v>4211</v>
      </c>
      <c r="B339" s="3" t="s">
        <v>1459</v>
      </c>
      <c r="C339" s="3" t="s">
        <v>4212</v>
      </c>
      <c r="D339" s="3" t="s">
        <v>2212</v>
      </c>
      <c r="E339" s="3" t="s">
        <v>258</v>
      </c>
      <c r="F339" s="4" t="s">
        <v>86</v>
      </c>
      <c r="G339" s="3" t="s">
        <v>4213</v>
      </c>
      <c r="H339" s="3" t="s">
        <v>4214</v>
      </c>
      <c r="I339" s="3" t="s">
        <v>4215</v>
      </c>
      <c r="J339" s="3" t="s">
        <v>4216</v>
      </c>
      <c r="K339" s="3" t="s">
        <v>4217</v>
      </c>
      <c r="L339" s="3" t="s">
        <v>348</v>
      </c>
      <c r="M339" s="3"/>
      <c r="N339" s="3"/>
      <c r="O339" s="4"/>
      <c r="P339" s="3" t="s">
        <v>1603</v>
      </c>
      <c r="Q339" s="3" t="s">
        <v>4203</v>
      </c>
      <c r="R339" s="3" t="s">
        <v>1662</v>
      </c>
      <c r="S339" s="3"/>
      <c r="T339" s="4" t="s">
        <v>82</v>
      </c>
      <c r="U339" s="3"/>
      <c r="V339" s="5" t="n">
        <v>9.6</v>
      </c>
      <c r="W339" s="3" t="s">
        <v>4218</v>
      </c>
      <c r="X339" s="3" t="s">
        <v>4219</v>
      </c>
      <c r="Y339" s="3" t="s">
        <v>4220</v>
      </c>
      <c r="Z339" s="3" t="s">
        <v>4221</v>
      </c>
      <c r="AA339" s="3" t="s">
        <v>4222</v>
      </c>
      <c r="AB339" s="3" t="s">
        <v>4223</v>
      </c>
      <c r="AC339" s="3" t="s">
        <v>4224</v>
      </c>
      <c r="AD339" s="3" t="s">
        <v>4225</v>
      </c>
      <c r="AE339" s="4" t="s">
        <v>53</v>
      </c>
    </row>
    <row r="340" customFormat="false" ht="15" hidden="false" customHeight="true" outlineLevel="0" collapsed="false">
      <c r="A340" s="3" t="s">
        <v>4226</v>
      </c>
      <c r="B340" s="3" t="s">
        <v>2129</v>
      </c>
      <c r="C340" s="3" t="s">
        <v>4227</v>
      </c>
      <c r="D340" s="3" t="s">
        <v>2212</v>
      </c>
      <c r="E340" s="3" t="s">
        <v>316</v>
      </c>
      <c r="F340" s="4" t="s">
        <v>86</v>
      </c>
      <c r="G340" s="3" t="s">
        <v>4228</v>
      </c>
      <c r="H340" s="3" t="s">
        <v>4229</v>
      </c>
      <c r="I340" s="3" t="s">
        <v>4230</v>
      </c>
      <c r="J340" s="3" t="s">
        <v>4231</v>
      </c>
      <c r="K340" s="3" t="s">
        <v>4232</v>
      </c>
      <c r="L340" s="3"/>
      <c r="M340" s="3"/>
      <c r="N340" s="3"/>
      <c r="O340" s="4"/>
      <c r="P340" s="3"/>
      <c r="Q340" s="3" t="s">
        <v>4233</v>
      </c>
      <c r="R340" s="3" t="s">
        <v>2137</v>
      </c>
      <c r="S340" s="3"/>
      <c r="T340" s="4" t="s">
        <v>326</v>
      </c>
      <c r="U340" s="3"/>
      <c r="V340" s="5" t="n">
        <v>9.3</v>
      </c>
      <c r="W340" s="3" t="s">
        <v>4234</v>
      </c>
      <c r="X340" s="3" t="s">
        <v>4235</v>
      </c>
      <c r="Y340" s="3" t="s">
        <v>4236</v>
      </c>
      <c r="Z340" s="3" t="s">
        <v>2274</v>
      </c>
      <c r="AA340" s="3" t="s">
        <v>4237</v>
      </c>
      <c r="AB340" s="3" t="s">
        <v>4238</v>
      </c>
      <c r="AC340" s="3" t="s">
        <v>4239</v>
      </c>
      <c r="AD340" s="3" t="s">
        <v>4240</v>
      </c>
      <c r="AE340" s="4" t="s">
        <v>53</v>
      </c>
    </row>
    <row r="341" customFormat="false" ht="15" hidden="false" customHeight="true" outlineLevel="0" collapsed="false">
      <c r="A341" s="3" t="s">
        <v>4241</v>
      </c>
      <c r="B341" s="3" t="s">
        <v>2129</v>
      </c>
      <c r="C341" s="3" t="s">
        <v>4242</v>
      </c>
      <c r="D341" s="3" t="s">
        <v>2212</v>
      </c>
      <c r="E341" s="3" t="s">
        <v>258</v>
      </c>
      <c r="F341" s="4" t="s">
        <v>86</v>
      </c>
      <c r="G341" s="3" t="s">
        <v>4243</v>
      </c>
      <c r="H341" s="3" t="s">
        <v>4244</v>
      </c>
      <c r="I341" s="3" t="s">
        <v>4245</v>
      </c>
      <c r="J341" s="3" t="s">
        <v>4246</v>
      </c>
      <c r="K341" s="3" t="s">
        <v>4247</v>
      </c>
      <c r="L341" s="3" t="s">
        <v>2698</v>
      </c>
      <c r="M341" s="3"/>
      <c r="N341" s="3"/>
      <c r="O341" s="4"/>
      <c r="P341" s="3" t="s">
        <v>79</v>
      </c>
      <c r="Q341" s="3" t="s">
        <v>4248</v>
      </c>
      <c r="R341" s="3" t="s">
        <v>285</v>
      </c>
      <c r="S341" s="3" t="s">
        <v>1067</v>
      </c>
      <c r="T341" s="4" t="s">
        <v>82</v>
      </c>
      <c r="U341" s="3"/>
      <c r="V341" s="5" t="n">
        <v>9.8</v>
      </c>
      <c r="W341" s="3" t="s">
        <v>2393</v>
      </c>
      <c r="X341" s="3" t="s">
        <v>4249</v>
      </c>
      <c r="Y341" s="3" t="s">
        <v>4250</v>
      </c>
      <c r="Z341" s="3" t="s">
        <v>4251</v>
      </c>
      <c r="AA341" s="3" t="s">
        <v>2887</v>
      </c>
      <c r="AB341" s="3" t="s">
        <v>4252</v>
      </c>
      <c r="AC341" s="3" t="s">
        <v>4253</v>
      </c>
      <c r="AD341" s="3" t="s">
        <v>4254</v>
      </c>
      <c r="AE341" s="4" t="s">
        <v>53</v>
      </c>
    </row>
    <row r="342" customFormat="false" ht="15" hidden="false" customHeight="true" outlineLevel="0" collapsed="false">
      <c r="A342" s="3" t="s">
        <v>4255</v>
      </c>
      <c r="B342" s="3" t="s">
        <v>2129</v>
      </c>
      <c r="C342" s="3" t="s">
        <v>4256</v>
      </c>
      <c r="D342" s="3" t="s">
        <v>2212</v>
      </c>
      <c r="E342" s="3" t="s">
        <v>258</v>
      </c>
      <c r="F342" s="4" t="s">
        <v>86</v>
      </c>
      <c r="G342" s="3" t="s">
        <v>4257</v>
      </c>
      <c r="H342" s="3" t="s">
        <v>4258</v>
      </c>
      <c r="I342" s="3" t="s">
        <v>4259</v>
      </c>
      <c r="J342" s="3" t="s">
        <v>4260</v>
      </c>
      <c r="K342" s="3" t="s">
        <v>4261</v>
      </c>
      <c r="L342" s="3" t="s">
        <v>2698</v>
      </c>
      <c r="M342" s="3"/>
      <c r="N342" s="3"/>
      <c r="O342" s="4"/>
      <c r="P342" s="3" t="s">
        <v>79</v>
      </c>
      <c r="Q342" s="3" t="s">
        <v>4262</v>
      </c>
      <c r="R342" s="3" t="s">
        <v>285</v>
      </c>
      <c r="S342" s="3" t="s">
        <v>1067</v>
      </c>
      <c r="T342" s="4" t="s">
        <v>82</v>
      </c>
      <c r="U342" s="3"/>
      <c r="V342" s="5" t="n">
        <v>9.8</v>
      </c>
      <c r="W342" s="3" t="s">
        <v>2613</v>
      </c>
      <c r="X342" s="3" t="s">
        <v>4263</v>
      </c>
      <c r="Y342" s="3" t="s">
        <v>4264</v>
      </c>
      <c r="Z342" s="3" t="s">
        <v>3623</v>
      </c>
      <c r="AA342" s="3" t="s">
        <v>4265</v>
      </c>
      <c r="AB342" s="3" t="s">
        <v>4266</v>
      </c>
      <c r="AC342" s="3" t="s">
        <v>4267</v>
      </c>
      <c r="AD342" s="3" t="s">
        <v>4268</v>
      </c>
      <c r="AE342" s="4" t="s">
        <v>53</v>
      </c>
    </row>
    <row r="343" customFormat="false" ht="15" hidden="false" customHeight="true" outlineLevel="0" collapsed="false">
      <c r="A343" s="3" t="s">
        <v>4269</v>
      </c>
      <c r="B343" s="3" t="s">
        <v>2129</v>
      </c>
      <c r="C343" s="3" t="s">
        <v>4270</v>
      </c>
      <c r="D343" s="3" t="s">
        <v>2212</v>
      </c>
      <c r="E343" s="3" t="s">
        <v>70</v>
      </c>
      <c r="F343" s="4" t="s">
        <v>86</v>
      </c>
      <c r="G343" s="3" t="s">
        <v>4271</v>
      </c>
      <c r="H343" s="3" t="s">
        <v>4272</v>
      </c>
      <c r="I343" s="3" t="s">
        <v>4273</v>
      </c>
      <c r="J343" s="3" t="s">
        <v>4274</v>
      </c>
      <c r="K343" s="3" t="s">
        <v>4275</v>
      </c>
      <c r="L343" s="3"/>
      <c r="M343" s="3"/>
      <c r="N343" s="3"/>
      <c r="O343" s="4"/>
      <c r="P343" s="3" t="s">
        <v>4276</v>
      </c>
      <c r="Q343" s="3" t="s">
        <v>95</v>
      </c>
      <c r="R343" s="3" t="s">
        <v>2137</v>
      </c>
      <c r="S343" s="3" t="s">
        <v>1922</v>
      </c>
      <c r="T343" s="4" t="s">
        <v>82</v>
      </c>
      <c r="U343" s="3"/>
      <c r="V343" s="5" t="n">
        <v>9.6</v>
      </c>
      <c r="W343" s="3" t="s">
        <v>4218</v>
      </c>
      <c r="X343" s="3" t="s">
        <v>4277</v>
      </c>
      <c r="Y343" s="3" t="s">
        <v>4278</v>
      </c>
      <c r="Z343" s="3" t="s">
        <v>2274</v>
      </c>
      <c r="AA343" s="3" t="s">
        <v>4279</v>
      </c>
      <c r="AB343" s="3" t="s">
        <v>4280</v>
      </c>
      <c r="AC343" s="3" t="s">
        <v>4281</v>
      </c>
      <c r="AD343" s="3" t="s">
        <v>4282</v>
      </c>
      <c r="AE343" s="4" t="s">
        <v>53</v>
      </c>
    </row>
    <row r="344" customFormat="false" ht="15" hidden="false" customHeight="true" outlineLevel="0" collapsed="false">
      <c r="A344" s="3" t="s">
        <v>4283</v>
      </c>
      <c r="B344" s="3" t="s">
        <v>2129</v>
      </c>
      <c r="C344" s="3" t="s">
        <v>4284</v>
      </c>
      <c r="D344" s="3" t="s">
        <v>2212</v>
      </c>
      <c r="E344" s="3" t="s">
        <v>70</v>
      </c>
      <c r="F344" s="4" t="s">
        <v>86</v>
      </c>
      <c r="G344" s="3" t="s">
        <v>4285</v>
      </c>
      <c r="H344" s="3" t="s">
        <v>4286</v>
      </c>
      <c r="I344" s="3" t="s">
        <v>4287</v>
      </c>
      <c r="J344" s="3" t="s">
        <v>4288</v>
      </c>
      <c r="K344" s="3" t="s">
        <v>4289</v>
      </c>
      <c r="L344" s="3"/>
      <c r="M344" s="3"/>
      <c r="N344" s="3"/>
      <c r="O344" s="4"/>
      <c r="P344" s="3" t="s">
        <v>94</v>
      </c>
      <c r="Q344" s="3" t="s">
        <v>1056</v>
      </c>
      <c r="R344" s="3" t="s">
        <v>2137</v>
      </c>
      <c r="S344" s="3" t="s">
        <v>1922</v>
      </c>
      <c r="T344" s="4" t="s">
        <v>82</v>
      </c>
      <c r="U344" s="3"/>
      <c r="V344" s="5" t="n">
        <v>9.4</v>
      </c>
      <c r="W344" s="3" t="s">
        <v>4290</v>
      </c>
      <c r="X344" s="3" t="s">
        <v>4291</v>
      </c>
      <c r="Y344" s="3" t="s">
        <v>4292</v>
      </c>
      <c r="Z344" s="3" t="s">
        <v>2274</v>
      </c>
      <c r="AA344" s="3" t="s">
        <v>4293</v>
      </c>
      <c r="AB344" s="3" t="s">
        <v>4294</v>
      </c>
      <c r="AC344" s="3" t="s">
        <v>4295</v>
      </c>
      <c r="AD344" s="3" t="s">
        <v>4296</v>
      </c>
      <c r="AE344" s="4" t="s">
        <v>53</v>
      </c>
    </row>
    <row r="345" customFormat="false" ht="15" hidden="false" customHeight="true" outlineLevel="0" collapsed="false">
      <c r="A345" s="3" t="s">
        <v>4297</v>
      </c>
      <c r="B345" s="3" t="s">
        <v>2129</v>
      </c>
      <c r="C345" s="3" t="s">
        <v>4298</v>
      </c>
      <c r="D345" s="3" t="s">
        <v>2212</v>
      </c>
      <c r="E345" s="3" t="s">
        <v>258</v>
      </c>
      <c r="F345" s="4" t="s">
        <v>36</v>
      </c>
      <c r="G345" s="3" t="s">
        <v>4299</v>
      </c>
      <c r="H345" s="3" t="s">
        <v>4300</v>
      </c>
      <c r="I345" s="3" t="s">
        <v>4301</v>
      </c>
      <c r="J345" s="3" t="s">
        <v>4302</v>
      </c>
      <c r="K345" s="3" t="s">
        <v>4303</v>
      </c>
      <c r="L345" s="3" t="s">
        <v>348</v>
      </c>
      <c r="M345" s="3"/>
      <c r="N345" s="3"/>
      <c r="O345" s="4"/>
      <c r="P345" s="3" t="s">
        <v>79</v>
      </c>
      <c r="Q345" s="3" t="s">
        <v>2538</v>
      </c>
      <c r="R345" s="3" t="s">
        <v>2539</v>
      </c>
      <c r="S345" s="3" t="s">
        <v>1067</v>
      </c>
      <c r="T345" s="4" t="s">
        <v>82</v>
      </c>
      <c r="U345" s="3"/>
      <c r="V345" s="5" t="n">
        <v>8.8</v>
      </c>
      <c r="W345" s="3" t="s">
        <v>2255</v>
      </c>
      <c r="X345" s="3" t="s">
        <v>4304</v>
      </c>
      <c r="Y345" s="3" t="s">
        <v>4305</v>
      </c>
      <c r="Z345" s="3" t="s">
        <v>2274</v>
      </c>
      <c r="AA345" s="3" t="s">
        <v>4306</v>
      </c>
      <c r="AB345" s="3" t="s">
        <v>4307</v>
      </c>
      <c r="AC345" s="3" t="s">
        <v>4308</v>
      </c>
      <c r="AD345" s="3" t="s">
        <v>4309</v>
      </c>
      <c r="AE345" s="4" t="s">
        <v>53</v>
      </c>
    </row>
    <row r="346" customFormat="false" ht="15" hidden="false" customHeight="true" outlineLevel="0" collapsed="false">
      <c r="A346" s="3" t="s">
        <v>4310</v>
      </c>
      <c r="B346" s="3" t="s">
        <v>2129</v>
      </c>
      <c r="C346" s="3" t="s">
        <v>4311</v>
      </c>
      <c r="D346" s="3" t="s">
        <v>2212</v>
      </c>
      <c r="E346" s="3" t="s">
        <v>70</v>
      </c>
      <c r="F346" s="4" t="s">
        <v>36</v>
      </c>
      <c r="G346" s="3" t="s">
        <v>4312</v>
      </c>
      <c r="H346" s="3" t="s">
        <v>4313</v>
      </c>
      <c r="I346" s="3" t="s">
        <v>4314</v>
      </c>
      <c r="J346" s="3" t="s">
        <v>4315</v>
      </c>
      <c r="K346" s="3" t="s">
        <v>4316</v>
      </c>
      <c r="L346" s="3" t="s">
        <v>76</v>
      </c>
      <c r="M346" s="3"/>
      <c r="N346" s="3"/>
      <c r="O346" s="4"/>
      <c r="P346" s="3" t="s">
        <v>2159</v>
      </c>
      <c r="Q346" s="3" t="s">
        <v>4317</v>
      </c>
      <c r="R346" s="3" t="s">
        <v>2137</v>
      </c>
      <c r="S346" s="3"/>
      <c r="T346" s="4" t="s">
        <v>82</v>
      </c>
      <c r="U346" s="3"/>
      <c r="V346" s="5" t="n">
        <v>8.1</v>
      </c>
      <c r="W346" s="3" t="s">
        <v>2668</v>
      </c>
      <c r="X346" s="3" t="s">
        <v>4318</v>
      </c>
      <c r="Y346" s="3" t="s">
        <v>4319</v>
      </c>
      <c r="Z346" s="3" t="s">
        <v>2274</v>
      </c>
      <c r="AA346" s="3" t="s">
        <v>4279</v>
      </c>
      <c r="AB346" s="3" t="s">
        <v>4320</v>
      </c>
      <c r="AC346" s="3" t="s">
        <v>4321</v>
      </c>
      <c r="AD346" s="3" t="s">
        <v>4322</v>
      </c>
      <c r="AE346" s="4" t="s">
        <v>53</v>
      </c>
    </row>
    <row r="347" customFormat="false" ht="15" hidden="false" customHeight="true" outlineLevel="0" collapsed="false">
      <c r="A347" s="3" t="s">
        <v>4323</v>
      </c>
      <c r="B347" s="3" t="s">
        <v>2129</v>
      </c>
      <c r="C347" s="3" t="s">
        <v>4324</v>
      </c>
      <c r="D347" s="3" t="s">
        <v>2212</v>
      </c>
      <c r="E347" s="3" t="s">
        <v>258</v>
      </c>
      <c r="F347" s="4" t="s">
        <v>86</v>
      </c>
      <c r="G347" s="3" t="s">
        <v>4325</v>
      </c>
      <c r="H347" s="3" t="s">
        <v>4326</v>
      </c>
      <c r="I347" s="3" t="s">
        <v>4327</v>
      </c>
      <c r="J347" s="3" t="s">
        <v>4328</v>
      </c>
      <c r="K347" s="3" t="s">
        <v>4329</v>
      </c>
      <c r="L347" s="3" t="s">
        <v>2698</v>
      </c>
      <c r="M347" s="3"/>
      <c r="N347" s="3"/>
      <c r="O347" s="4"/>
      <c r="P347" s="3" t="s">
        <v>2205</v>
      </c>
      <c r="Q347" s="3" t="s">
        <v>4330</v>
      </c>
      <c r="R347" s="3" t="s">
        <v>81</v>
      </c>
      <c r="S347" s="3"/>
      <c r="T347" s="4" t="s">
        <v>82</v>
      </c>
      <c r="U347" s="3"/>
      <c r="V347" s="5" t="n">
        <v>9.8</v>
      </c>
      <c r="W347" s="3" t="s">
        <v>2393</v>
      </c>
      <c r="X347" s="3" t="s">
        <v>4331</v>
      </c>
      <c r="Y347" s="3" t="s">
        <v>4332</v>
      </c>
      <c r="Z347" s="3" t="s">
        <v>4333</v>
      </c>
      <c r="AA347" s="3" t="s">
        <v>4334</v>
      </c>
      <c r="AB347" s="3" t="s">
        <v>4335</v>
      </c>
      <c r="AC347" s="3" t="s">
        <v>4336</v>
      </c>
      <c r="AD347" s="3" t="s">
        <v>4337</v>
      </c>
      <c r="AE347" s="4" t="s">
        <v>53</v>
      </c>
    </row>
    <row r="348" customFormat="false" ht="15" hidden="false" customHeight="true" outlineLevel="0" collapsed="false">
      <c r="A348" s="3" t="s">
        <v>4338</v>
      </c>
      <c r="B348" s="3" t="s">
        <v>2129</v>
      </c>
      <c r="C348" s="3" t="s">
        <v>4339</v>
      </c>
      <c r="D348" s="3" t="s">
        <v>2212</v>
      </c>
      <c r="E348" s="3" t="s">
        <v>189</v>
      </c>
      <c r="F348" s="4" t="s">
        <v>86</v>
      </c>
      <c r="G348" s="3" t="s">
        <v>4340</v>
      </c>
      <c r="H348" s="3" t="s">
        <v>4341</v>
      </c>
      <c r="I348" s="3" t="s">
        <v>4342</v>
      </c>
      <c r="J348" s="3" t="s">
        <v>4343</v>
      </c>
      <c r="K348" s="3" t="s">
        <v>4344</v>
      </c>
      <c r="L348" s="3" t="s">
        <v>2759</v>
      </c>
      <c r="M348" s="3"/>
      <c r="N348" s="3"/>
      <c r="O348" s="4"/>
      <c r="P348" s="3" t="s">
        <v>4345</v>
      </c>
      <c r="Q348" s="3" t="s">
        <v>133</v>
      </c>
      <c r="R348" s="3" t="s">
        <v>134</v>
      </c>
      <c r="S348" s="3"/>
      <c r="T348" s="4" t="s">
        <v>82</v>
      </c>
      <c r="U348" s="3"/>
      <c r="V348" s="5" t="n">
        <v>9.3</v>
      </c>
      <c r="W348" s="3" t="s">
        <v>4234</v>
      </c>
      <c r="X348" s="3" t="s">
        <v>4346</v>
      </c>
      <c r="Y348" s="3" t="s">
        <v>4347</v>
      </c>
      <c r="Z348" s="3" t="s">
        <v>4348</v>
      </c>
      <c r="AA348" s="3" t="s">
        <v>4349</v>
      </c>
      <c r="AB348" s="3" t="s">
        <v>4350</v>
      </c>
      <c r="AC348" s="3" t="s">
        <v>4351</v>
      </c>
      <c r="AD348" s="3" t="s">
        <v>4352</v>
      </c>
      <c r="AE348" s="4" t="s">
        <v>53</v>
      </c>
    </row>
    <row r="349" customFormat="false" ht="15" hidden="false" customHeight="true" outlineLevel="0" collapsed="false">
      <c r="A349" s="3" t="s">
        <v>4353</v>
      </c>
      <c r="B349" s="3" t="s">
        <v>2129</v>
      </c>
      <c r="C349" s="3" t="s">
        <v>4354</v>
      </c>
      <c r="D349" s="3" t="s">
        <v>2212</v>
      </c>
      <c r="E349" s="3" t="s">
        <v>70</v>
      </c>
      <c r="F349" s="4" t="s">
        <v>86</v>
      </c>
      <c r="G349" s="3" t="s">
        <v>4355</v>
      </c>
      <c r="H349" s="3" t="s">
        <v>4356</v>
      </c>
      <c r="I349" s="3" t="s">
        <v>4357</v>
      </c>
      <c r="J349" s="3" t="s">
        <v>4358</v>
      </c>
      <c r="K349" s="3" t="s">
        <v>4359</v>
      </c>
      <c r="L349" s="3" t="s">
        <v>348</v>
      </c>
      <c r="M349" s="3"/>
      <c r="N349" s="3"/>
      <c r="O349" s="4"/>
      <c r="P349" s="3" t="s">
        <v>4360</v>
      </c>
      <c r="Q349" s="3" t="s">
        <v>4361</v>
      </c>
      <c r="R349" s="3" t="s">
        <v>285</v>
      </c>
      <c r="S349" s="3"/>
      <c r="T349" s="4" t="s">
        <v>82</v>
      </c>
      <c r="U349" s="3"/>
      <c r="V349" s="5" t="n">
        <v>9.4</v>
      </c>
      <c r="W349" s="3" t="s">
        <v>4290</v>
      </c>
      <c r="X349" s="3" t="s">
        <v>4362</v>
      </c>
      <c r="Y349" s="3" t="s">
        <v>4363</v>
      </c>
      <c r="Z349" s="3" t="s">
        <v>4364</v>
      </c>
      <c r="AA349" s="3" t="s">
        <v>4365</v>
      </c>
      <c r="AB349" s="3" t="s">
        <v>4366</v>
      </c>
      <c r="AC349" s="3" t="s">
        <v>4367</v>
      </c>
      <c r="AD349" s="3" t="s">
        <v>4368</v>
      </c>
      <c r="AE349" s="4" t="s">
        <v>53</v>
      </c>
    </row>
    <row r="350" customFormat="false" ht="15" hidden="false" customHeight="true" outlineLevel="0" collapsed="false">
      <c r="A350" s="3" t="s">
        <v>4369</v>
      </c>
      <c r="B350" s="3" t="s">
        <v>2129</v>
      </c>
      <c r="C350" s="3" t="s">
        <v>4370</v>
      </c>
      <c r="D350" s="3" t="s">
        <v>2212</v>
      </c>
      <c r="E350" s="3" t="s">
        <v>70</v>
      </c>
      <c r="F350" s="4" t="s">
        <v>86</v>
      </c>
      <c r="G350" s="3" t="s">
        <v>4371</v>
      </c>
      <c r="H350" s="3" t="s">
        <v>4372</v>
      </c>
      <c r="I350" s="3" t="s">
        <v>4373</v>
      </c>
      <c r="J350" s="3" t="s">
        <v>4374</v>
      </c>
      <c r="K350" s="3" t="s">
        <v>4375</v>
      </c>
      <c r="L350" s="3" t="s">
        <v>2698</v>
      </c>
      <c r="M350" s="3"/>
      <c r="N350" s="3"/>
      <c r="O350" s="4"/>
      <c r="P350" s="3" t="s">
        <v>94</v>
      </c>
      <c r="Q350" s="3" t="s">
        <v>4376</v>
      </c>
      <c r="R350" s="3" t="s">
        <v>285</v>
      </c>
      <c r="S350" s="3"/>
      <c r="T350" s="4" t="s">
        <v>82</v>
      </c>
      <c r="U350" s="3"/>
      <c r="V350" s="5" t="n">
        <v>10</v>
      </c>
      <c r="W350" s="3" t="s">
        <v>2654</v>
      </c>
      <c r="X350" s="3" t="s">
        <v>4377</v>
      </c>
      <c r="Y350" s="3" t="s">
        <v>4378</v>
      </c>
      <c r="Z350" s="3" t="s">
        <v>4379</v>
      </c>
      <c r="AA350" s="3" t="s">
        <v>4380</v>
      </c>
      <c r="AB350" s="3" t="s">
        <v>4335</v>
      </c>
      <c r="AC350" s="3" t="s">
        <v>4381</v>
      </c>
      <c r="AD350" s="3" t="s">
        <v>4382</v>
      </c>
      <c r="AE350" s="4" t="s">
        <v>53</v>
      </c>
    </row>
  </sheetData>
  <autoFilter ref="A1:AE3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70"/>
    <col collapsed="false" customWidth="true" hidden="false" outlineLevel="0" max="3" min="3" style="1" width="110"/>
  </cols>
  <sheetData>
    <row r="1" customFormat="false" ht="15" hidden="false" customHeight="true" outlineLevel="0" collapsed="false">
      <c r="A1" s="6" t="s">
        <v>4383</v>
      </c>
    </row>
    <row r="3" customFormat="false" ht="15" hidden="false" customHeight="true" outlineLevel="0" collapsed="false">
      <c r="A3" s="7" t="s">
        <v>4384</v>
      </c>
      <c r="B3" s="7" t="s">
        <v>4385</v>
      </c>
      <c r="C3" s="7" t="s">
        <v>4386</v>
      </c>
    </row>
    <row r="4" customFormat="false" ht="48" hidden="false" customHeight="true" outlineLevel="0" collapsed="false">
      <c r="A4" s="6" t="s">
        <v>0</v>
      </c>
      <c r="B4" s="8" t="s">
        <v>4387</v>
      </c>
      <c r="C4" s="8" t="s">
        <v>4388</v>
      </c>
    </row>
    <row r="5" customFormat="false" ht="48" hidden="false" customHeight="true" outlineLevel="0" collapsed="false">
      <c r="A5" s="6" t="s">
        <v>1</v>
      </c>
      <c r="B5" s="8" t="s">
        <v>4389</v>
      </c>
      <c r="C5" s="8" t="s">
        <v>4390</v>
      </c>
    </row>
    <row r="6" customFormat="false" ht="48" hidden="false" customHeight="true" outlineLevel="0" collapsed="false">
      <c r="A6" s="6" t="s">
        <v>2</v>
      </c>
      <c r="B6" s="8" t="s">
        <v>4391</v>
      </c>
      <c r="C6" s="8" t="s">
        <v>4392</v>
      </c>
    </row>
    <row r="7" customFormat="false" ht="48" hidden="false" customHeight="true" outlineLevel="0" collapsed="false">
      <c r="A7" s="6" t="s">
        <v>3</v>
      </c>
      <c r="B7" s="8" t="s">
        <v>4393</v>
      </c>
      <c r="C7" s="8" t="s">
        <v>4394</v>
      </c>
    </row>
    <row r="8" customFormat="false" ht="48" hidden="false" customHeight="true" outlineLevel="0" collapsed="false">
      <c r="A8" s="6" t="s">
        <v>4</v>
      </c>
      <c r="B8" s="8" t="s">
        <v>4395</v>
      </c>
      <c r="C8" s="8" t="s">
        <v>4396</v>
      </c>
    </row>
    <row r="9" customFormat="false" ht="48" hidden="false" customHeight="true" outlineLevel="0" collapsed="false">
      <c r="A9" s="6" t="s">
        <v>5</v>
      </c>
      <c r="B9" s="8" t="s">
        <v>4397</v>
      </c>
      <c r="C9" s="8" t="s">
        <v>4398</v>
      </c>
    </row>
    <row r="10" customFormat="false" ht="48" hidden="false" customHeight="true" outlineLevel="0" collapsed="false">
      <c r="A10" s="6" t="s">
        <v>4399</v>
      </c>
      <c r="B10" s="8" t="s">
        <v>4400</v>
      </c>
      <c r="C10" s="8" t="s">
        <v>4401</v>
      </c>
    </row>
    <row r="11" customFormat="false" ht="48" hidden="false" customHeight="true" outlineLevel="0" collapsed="false">
      <c r="A11" s="6" t="s">
        <v>11</v>
      </c>
      <c r="B11" s="8" t="s">
        <v>4402</v>
      </c>
      <c r="C11" s="8" t="s">
        <v>4403</v>
      </c>
    </row>
    <row r="12" customFormat="false" ht="48" hidden="false" customHeight="true" outlineLevel="0" collapsed="false">
      <c r="A12" s="6" t="s">
        <v>12</v>
      </c>
      <c r="B12" s="8" t="s">
        <v>4404</v>
      </c>
      <c r="C12" s="8" t="s">
        <v>4405</v>
      </c>
    </row>
    <row r="13" customFormat="false" ht="48" hidden="false" customHeight="true" outlineLevel="0" collapsed="false">
      <c r="A13" s="6" t="s">
        <v>13</v>
      </c>
      <c r="B13" s="8" t="s">
        <v>4406</v>
      </c>
      <c r="C13" s="8" t="s">
        <v>4407</v>
      </c>
    </row>
    <row r="14" customFormat="false" ht="48" hidden="false" customHeight="true" outlineLevel="0" collapsed="false">
      <c r="A14" s="6" t="s">
        <v>14</v>
      </c>
      <c r="B14" s="8" t="s">
        <v>4408</v>
      </c>
      <c r="C14" s="8" t="s">
        <v>4409</v>
      </c>
    </row>
    <row r="15" customFormat="false" ht="48" hidden="false" customHeight="true" outlineLevel="0" collapsed="false">
      <c r="A15" s="6" t="s">
        <v>15</v>
      </c>
      <c r="B15" s="8" t="s">
        <v>4410</v>
      </c>
      <c r="C15" s="8" t="s">
        <v>4411</v>
      </c>
    </row>
    <row r="16" customFormat="false" ht="48" hidden="false" customHeight="true" outlineLevel="0" collapsed="false">
      <c r="A16" s="6" t="s">
        <v>16</v>
      </c>
      <c r="B16" s="8" t="s">
        <v>4412</v>
      </c>
      <c r="C16" s="8" t="s">
        <v>4413</v>
      </c>
    </row>
    <row r="17" customFormat="false" ht="48" hidden="false" customHeight="true" outlineLevel="0" collapsed="false">
      <c r="A17" s="6" t="s">
        <v>17</v>
      </c>
      <c r="B17" s="8" t="s">
        <v>4414</v>
      </c>
      <c r="C17" s="8" t="s">
        <v>4415</v>
      </c>
    </row>
    <row r="18" customFormat="false" ht="48" hidden="false" customHeight="true" outlineLevel="0" collapsed="false">
      <c r="A18" s="6" t="s">
        <v>18</v>
      </c>
      <c r="B18" s="8" t="s">
        <v>4416</v>
      </c>
      <c r="C18" s="8" t="s">
        <v>4417</v>
      </c>
    </row>
    <row r="19" customFormat="false" ht="48" hidden="false" customHeight="true" outlineLevel="0" collapsed="false">
      <c r="A19" s="6" t="s">
        <v>19</v>
      </c>
      <c r="B19" s="8" t="s">
        <v>4418</v>
      </c>
      <c r="C19" s="8" t="s">
        <v>4419</v>
      </c>
    </row>
    <row r="20" customFormat="false" ht="48" hidden="false" customHeight="true" outlineLevel="0" collapsed="false">
      <c r="A20" s="6" t="s">
        <v>20</v>
      </c>
      <c r="B20" s="8" t="s">
        <v>4420</v>
      </c>
      <c r="C20" s="8" t="s">
        <v>4421</v>
      </c>
    </row>
    <row r="21" customFormat="false" ht="48" hidden="false" customHeight="true" outlineLevel="0" collapsed="false">
      <c r="A21" s="6" t="s">
        <v>4422</v>
      </c>
      <c r="B21" s="8" t="s">
        <v>4423</v>
      </c>
      <c r="C21" s="8" t="s">
        <v>4424</v>
      </c>
    </row>
    <row r="22" customFormat="false" ht="48" hidden="false" customHeight="true" outlineLevel="0" collapsed="false">
      <c r="A22" s="6" t="s">
        <v>4425</v>
      </c>
      <c r="B22" s="8" t="s">
        <v>4426</v>
      </c>
      <c r="C22" s="8" t="s">
        <v>4427</v>
      </c>
    </row>
    <row r="23" customFormat="false" ht="48" hidden="false" customHeight="true" outlineLevel="0" collapsed="false">
      <c r="A23" s="6" t="s">
        <v>25</v>
      </c>
      <c r="B23" s="8" t="s">
        <v>4428</v>
      </c>
      <c r="C23" s="8" t="s">
        <v>4429</v>
      </c>
    </row>
    <row r="24" customFormat="false" ht="48" hidden="false" customHeight="true" outlineLevel="0" collapsed="false">
      <c r="A24" s="6" t="s">
        <v>26</v>
      </c>
      <c r="B24" s="8" t="s">
        <v>4430</v>
      </c>
      <c r="C24" s="8" t="s">
        <v>4431</v>
      </c>
    </row>
    <row r="25" customFormat="false" ht="48" hidden="false" customHeight="true" outlineLevel="0" collapsed="false">
      <c r="A25" s="6" t="s">
        <v>27</v>
      </c>
      <c r="B25" s="8" t="s">
        <v>4432</v>
      </c>
      <c r="C25" s="8" t="s">
        <v>4433</v>
      </c>
    </row>
    <row r="26" customFormat="false" ht="48" hidden="false" customHeight="true" outlineLevel="0" collapsed="false">
      <c r="A26" s="6" t="s">
        <v>28</v>
      </c>
      <c r="B26" s="8" t="s">
        <v>4434</v>
      </c>
      <c r="C26" s="8" t="s">
        <v>4435</v>
      </c>
    </row>
    <row r="27" customFormat="false" ht="48" hidden="false" customHeight="true" outlineLevel="0" collapsed="false">
      <c r="A27" s="6" t="s">
        <v>29</v>
      </c>
      <c r="B27" s="8" t="s">
        <v>4436</v>
      </c>
      <c r="C27" s="8" t="s">
        <v>4437</v>
      </c>
    </row>
    <row r="28" customFormat="false" ht="48" hidden="false" customHeight="true" outlineLevel="0" collapsed="false">
      <c r="A28" s="6" t="s">
        <v>30</v>
      </c>
      <c r="B28" s="8" t="s">
        <v>4438</v>
      </c>
      <c r="C28" s="8" t="s">
        <v>4439</v>
      </c>
    </row>
    <row r="30" customFormat="false" ht="15" hidden="false" customHeight="true" outlineLevel="0" collapsed="false">
      <c r="A30" s="7" t="s">
        <v>4440</v>
      </c>
    </row>
    <row r="31" customFormat="false" ht="31.5" hidden="false" customHeight="true" outlineLevel="0" collapsed="false">
      <c r="A31" s="9" t="s">
        <v>4441</v>
      </c>
      <c r="B31" s="9"/>
      <c r="C31" s="9"/>
    </row>
    <row r="32" customFormat="false" ht="31.5" hidden="false" customHeight="true" outlineLevel="0" collapsed="false">
      <c r="A32" s="9" t="s">
        <v>4442</v>
      </c>
      <c r="B32" s="9"/>
      <c r="C32" s="9"/>
    </row>
    <row r="33" customFormat="false" ht="31.5" hidden="false" customHeight="true" outlineLevel="0" collapsed="false">
      <c r="A33" s="9" t="s">
        <v>4443</v>
      </c>
      <c r="B33" s="9"/>
      <c r="C33" s="9"/>
    </row>
    <row r="34" customFormat="false" ht="31.5" hidden="false" customHeight="true" outlineLevel="0" collapsed="false">
      <c r="A34" s="9" t="s">
        <v>4444</v>
      </c>
      <c r="B34" s="9"/>
      <c r="C34" s="9"/>
    </row>
    <row r="35" customFormat="false" ht="31.5" hidden="false" customHeight="true" outlineLevel="0" collapsed="false">
      <c r="A35" s="9" t="s">
        <v>4445</v>
      </c>
      <c r="B35" s="9"/>
      <c r="C35" s="9"/>
    </row>
    <row r="36" customFormat="false" ht="31.5" hidden="false" customHeight="true" outlineLevel="0" collapsed="false">
      <c r="A36" s="9" t="s">
        <v>4446</v>
      </c>
      <c r="B36" s="9"/>
      <c r="C36" s="9"/>
    </row>
  </sheetData>
  <mergeCells count="6">
    <mergeCell ref="A31:C31"/>
    <mergeCell ref="A32:C32"/>
    <mergeCell ref="A33:C33"/>
    <mergeCell ref="A34:C34"/>
    <mergeCell ref="A35:C35"/>
    <mergeCell ref="A36:C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18"/>
    <col collapsed="false" customWidth="true" hidden="false" outlineLevel="0" max="4" min="4" style="1" width="150"/>
  </cols>
  <sheetData>
    <row r="1" customFormat="false" ht="15" hidden="false" customHeight="true" outlineLevel="0" collapsed="false">
      <c r="A1" s="7" t="s">
        <v>4447</v>
      </c>
      <c r="B1" s="7" t="s">
        <v>4448</v>
      </c>
      <c r="C1" s="7" t="s">
        <v>4449</v>
      </c>
      <c r="D1" s="7" t="s">
        <v>4450</v>
      </c>
    </row>
    <row r="2" customFormat="false" ht="48" hidden="false" customHeight="true" outlineLevel="0" collapsed="false">
      <c r="A2" s="3" t="s">
        <v>4451</v>
      </c>
      <c r="B2" s="3" t="s">
        <v>53</v>
      </c>
      <c r="C2" s="3" t="s">
        <v>4452</v>
      </c>
      <c r="D2" s="8" t="s">
        <v>4453</v>
      </c>
    </row>
    <row r="3" customFormat="false" ht="48" hidden="false" customHeight="true" outlineLevel="0" collapsed="false">
      <c r="A3" s="3" t="s">
        <v>4451</v>
      </c>
      <c r="B3" s="3" t="s">
        <v>53</v>
      </c>
      <c r="C3" s="3" t="s">
        <v>4452</v>
      </c>
      <c r="D3" s="8" t="s">
        <v>4454</v>
      </c>
    </row>
    <row r="4" customFormat="false" ht="48" hidden="false" customHeight="true" outlineLevel="0" collapsed="false">
      <c r="A4" s="3" t="s">
        <v>4451</v>
      </c>
      <c r="B4" s="3" t="s">
        <v>53</v>
      </c>
      <c r="C4" s="3" t="s">
        <v>4455</v>
      </c>
      <c r="D4" s="8" t="s">
        <v>4456</v>
      </c>
    </row>
    <row r="5" customFormat="false" ht="48" hidden="false" customHeight="true" outlineLevel="0" collapsed="false">
      <c r="A5" s="3" t="s">
        <v>4451</v>
      </c>
      <c r="B5" s="3" t="s">
        <v>53</v>
      </c>
      <c r="C5" s="3" t="s">
        <v>4455</v>
      </c>
      <c r="D5" s="8" t="s">
        <v>4457</v>
      </c>
    </row>
    <row r="6" customFormat="false" ht="48" hidden="false" customHeight="true" outlineLevel="0" collapsed="false">
      <c r="A6" s="3" t="s">
        <v>4451</v>
      </c>
      <c r="B6" s="3" t="s">
        <v>53</v>
      </c>
      <c r="C6" s="3" t="s">
        <v>4458</v>
      </c>
      <c r="D6" s="8" t="s">
        <v>4459</v>
      </c>
    </row>
    <row r="7" customFormat="false" ht="48" hidden="false" customHeight="true" outlineLevel="0" collapsed="false">
      <c r="A7" s="3" t="s">
        <v>4451</v>
      </c>
      <c r="B7" s="3" t="s">
        <v>53</v>
      </c>
      <c r="C7" s="3" t="s">
        <v>4458</v>
      </c>
      <c r="D7" s="8" t="s">
        <v>4460</v>
      </c>
    </row>
    <row r="8" customFormat="false" ht="48" hidden="false" customHeight="true" outlineLevel="0" collapsed="false">
      <c r="A8" s="3" t="s">
        <v>4451</v>
      </c>
      <c r="B8" s="3" t="s">
        <v>53</v>
      </c>
      <c r="C8" s="3" t="s">
        <v>4458</v>
      </c>
      <c r="D8" s="8" t="s">
        <v>4461</v>
      </c>
    </row>
    <row r="9" customFormat="false" ht="48" hidden="false" customHeight="true" outlineLevel="0" collapsed="false">
      <c r="A9" s="3" t="s">
        <v>4451</v>
      </c>
      <c r="B9" s="3" t="s">
        <v>53</v>
      </c>
      <c r="C9" s="3" t="s">
        <v>4458</v>
      </c>
      <c r="D9" s="8" t="s">
        <v>4462</v>
      </c>
    </row>
    <row r="10" customFormat="false" ht="48" hidden="false" customHeight="true" outlineLevel="0" collapsed="false">
      <c r="A10" s="3" t="s">
        <v>4451</v>
      </c>
      <c r="B10" s="3" t="s">
        <v>53</v>
      </c>
      <c r="C10" s="3" t="s">
        <v>4463</v>
      </c>
      <c r="D10" s="8" t="s">
        <v>4464</v>
      </c>
    </row>
    <row r="11" customFormat="false" ht="48" hidden="false" customHeight="true" outlineLevel="0" collapsed="false">
      <c r="A11" s="3" t="s">
        <v>4451</v>
      </c>
      <c r="B11" s="3" t="s">
        <v>53</v>
      </c>
      <c r="C11" s="3" t="s">
        <v>4463</v>
      </c>
      <c r="D11" s="8" t="s">
        <v>4465</v>
      </c>
    </row>
    <row r="12" customFormat="false" ht="48" hidden="false" customHeight="true" outlineLevel="0" collapsed="false">
      <c r="A12" s="3" t="s">
        <v>4451</v>
      </c>
      <c r="B12" s="3" t="s">
        <v>53</v>
      </c>
      <c r="C12" s="3" t="s">
        <v>4463</v>
      </c>
      <c r="D12" s="8" t="s">
        <v>4466</v>
      </c>
    </row>
    <row r="13" customFormat="false" ht="48" hidden="false" customHeight="true" outlineLevel="0" collapsed="false">
      <c r="A13" s="3" t="s">
        <v>4451</v>
      </c>
      <c r="B13" s="3" t="s">
        <v>53</v>
      </c>
      <c r="C13" s="3" t="s">
        <v>4467</v>
      </c>
      <c r="D13" s="8" t="s">
        <v>4468</v>
      </c>
    </row>
    <row r="14" customFormat="false" ht="48" hidden="false" customHeight="true" outlineLevel="0" collapsed="false">
      <c r="A14" s="3" t="s">
        <v>4451</v>
      </c>
      <c r="B14" s="3" t="s">
        <v>53</v>
      </c>
      <c r="C14" s="3" t="s">
        <v>4469</v>
      </c>
      <c r="D14" s="8" t="s">
        <v>4470</v>
      </c>
    </row>
    <row r="15" customFormat="false" ht="30" hidden="false" customHeight="true" outlineLevel="0" collapsed="false">
      <c r="A15" s="3" t="s">
        <v>4471</v>
      </c>
      <c r="B15" s="3"/>
      <c r="C15" s="3" t="s">
        <v>4472</v>
      </c>
      <c r="D15" s="8" t="s">
        <v>4473</v>
      </c>
    </row>
    <row r="16" customFormat="false" ht="30" hidden="false" customHeight="true" outlineLevel="0" collapsed="false">
      <c r="A16" s="3" t="s">
        <v>4474</v>
      </c>
      <c r="B16" s="3" t="s">
        <v>4475</v>
      </c>
      <c r="C16" s="3" t="s">
        <v>4476</v>
      </c>
      <c r="D16" s="8" t="s">
        <v>4477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9" min="2" style="1" width="16"/>
  </cols>
  <sheetData>
    <row r="1" customFormat="false" ht="15" hidden="false" customHeight="true" outlineLevel="0" collapsed="false">
      <c r="A1" s="6" t="s">
        <v>4478</v>
      </c>
    </row>
    <row r="3" customFormat="false" ht="15" hidden="false" customHeight="true" outlineLevel="0" collapsed="false">
      <c r="A3" s="7" t="s">
        <v>1</v>
      </c>
      <c r="B3" s="7" t="s">
        <v>842</v>
      </c>
      <c r="C3" s="7" t="s">
        <v>259</v>
      </c>
      <c r="D3" s="7" t="s">
        <v>101</v>
      </c>
      <c r="E3" s="7" t="s">
        <v>36</v>
      </c>
      <c r="F3" s="7" t="s">
        <v>86</v>
      </c>
      <c r="G3" s="7" t="s">
        <v>4479</v>
      </c>
      <c r="H3" s="7" t="s">
        <v>4480</v>
      </c>
      <c r="I3" s="7" t="s">
        <v>4481</v>
      </c>
    </row>
    <row r="4" customFormat="false" ht="15" hidden="false" customHeight="true" outlineLevel="0" collapsed="false">
      <c r="A4" s="3" t="s">
        <v>32</v>
      </c>
      <c r="B4" s="3" t="n">
        <f aca="false">COUNTIFS('attack-vectors-knowledge-base'!$B:$B,$A4,'attack-vectors-knowledge-base'!$F:$F,B$3)</f>
        <v>0</v>
      </c>
      <c r="C4" s="3" t="n">
        <f aca="false">COUNTIFS('attack-vectors-knowledge-base'!$B:$B,$A4,'attack-vectors-knowledge-base'!$F:$F,C$3)</f>
        <v>8</v>
      </c>
      <c r="D4" s="3" t="n">
        <f aca="false">COUNTIFS('attack-vectors-knowledge-base'!$B:$B,$A4,'attack-vectors-knowledge-base'!$F:$F,D$3)</f>
        <v>24</v>
      </c>
      <c r="E4" s="3" t="n">
        <f aca="false">COUNTIFS('attack-vectors-knowledge-base'!$B:$B,$A4,'attack-vectors-knowledge-base'!$F:$F,E$3)</f>
        <v>22</v>
      </c>
      <c r="F4" s="3" t="n">
        <f aca="false">COUNTIFS('attack-vectors-knowledge-base'!$B:$B,$A4,'attack-vectors-knowledge-base'!$F:$F,F$3)</f>
        <v>37</v>
      </c>
      <c r="G4" s="6" t="n">
        <f aca="false">SUM(B4:F4)</f>
        <v>91</v>
      </c>
      <c r="H4" s="3" t="n">
        <f aca="false">COUNTIFS('attack-vectors-knowledge-base'!$B:$B,$A4,'attack-vectors-knowledge-base'!$D:$D,"Known vulnerability")</f>
        <v>38</v>
      </c>
      <c r="I4" s="3" t="n">
        <f aca="false">COUNTIFS('attack-vectors-knowledge-base'!$B:$B,$A4,'attack-vectors-knowledge-base'!$Z:$Z,"Yes*")</f>
        <v>36</v>
      </c>
    </row>
    <row r="5" customFormat="false" ht="15" hidden="false" customHeight="true" outlineLevel="0" collapsed="false">
      <c r="A5" s="3" t="s">
        <v>716</v>
      </c>
      <c r="B5" s="3" t="n">
        <f aca="false">COUNTIFS('attack-vectors-knowledge-base'!$B:$B,$A5,'attack-vectors-knowledge-base'!$F:$F,B$3)</f>
        <v>0</v>
      </c>
      <c r="C5" s="3" t="n">
        <f aca="false">COUNTIFS('attack-vectors-knowledge-base'!$B:$B,$A5,'attack-vectors-knowledge-base'!$F:$F,C$3)</f>
        <v>0</v>
      </c>
      <c r="D5" s="3" t="n">
        <f aca="false">COUNTIFS('attack-vectors-knowledge-base'!$B:$B,$A5,'attack-vectors-knowledge-base'!$F:$F,D$3)</f>
        <v>7</v>
      </c>
      <c r="E5" s="3" t="n">
        <f aca="false">COUNTIFS('attack-vectors-knowledge-base'!$B:$B,$A5,'attack-vectors-knowledge-base'!$F:$F,E$3)</f>
        <v>5</v>
      </c>
      <c r="F5" s="3" t="n">
        <f aca="false">COUNTIFS('attack-vectors-knowledge-base'!$B:$B,$A5,'attack-vectors-knowledge-base'!$F:$F,F$3)</f>
        <v>0</v>
      </c>
      <c r="G5" s="6" t="n">
        <f aca="false">SUM(B5:F5)</f>
        <v>12</v>
      </c>
      <c r="H5" s="3" t="n">
        <f aca="false">COUNTIFS('attack-vectors-knowledge-base'!$B:$B,$A5,'attack-vectors-knowledge-base'!$D:$D,"Known vulnerability")</f>
        <v>0</v>
      </c>
      <c r="I5" s="3" t="n">
        <f aca="false">COUNTIFS('attack-vectors-knowledge-base'!$B:$B,$A5,'attack-vectors-knowledge-base'!$Z:$Z,"Yes*")</f>
        <v>0</v>
      </c>
    </row>
    <row r="6" customFormat="false" ht="15" hidden="false" customHeight="true" outlineLevel="0" collapsed="false">
      <c r="A6" s="3" t="s">
        <v>840</v>
      </c>
      <c r="B6" s="3" t="n">
        <f aca="false">COUNTIFS('attack-vectors-knowledge-base'!$B:$B,$A6,'attack-vectors-knowledge-base'!$F:$F,B$3)</f>
        <v>1</v>
      </c>
      <c r="C6" s="3" t="n">
        <f aca="false">COUNTIFS('attack-vectors-knowledge-base'!$B:$B,$A6,'attack-vectors-knowledge-base'!$F:$F,C$3)</f>
        <v>0</v>
      </c>
      <c r="D6" s="3" t="n">
        <f aca="false">COUNTIFS('attack-vectors-knowledge-base'!$B:$B,$A6,'attack-vectors-knowledge-base'!$F:$F,D$3)</f>
        <v>9</v>
      </c>
      <c r="E6" s="3" t="n">
        <f aca="false">COUNTIFS('attack-vectors-knowledge-base'!$B:$B,$A6,'attack-vectors-knowledge-base'!$F:$F,E$3)</f>
        <v>20</v>
      </c>
      <c r="F6" s="3" t="n">
        <f aca="false">COUNTIFS('attack-vectors-knowledge-base'!$B:$B,$A6,'attack-vectors-knowledge-base'!$F:$F,F$3)</f>
        <v>18</v>
      </c>
      <c r="G6" s="6" t="n">
        <f aca="false">SUM(B6:F6)</f>
        <v>48</v>
      </c>
      <c r="H6" s="3" t="n">
        <f aca="false">COUNTIFS('attack-vectors-knowledge-base'!$B:$B,$A6,'attack-vectors-knowledge-base'!$D:$D,"Known vulnerability")</f>
        <v>25</v>
      </c>
      <c r="I6" s="3" t="n">
        <f aca="false">COUNTIFS('attack-vectors-knowledge-base'!$B:$B,$A6,'attack-vectors-knowledge-base'!$Z:$Z,"Yes*")</f>
        <v>22</v>
      </c>
    </row>
    <row r="7" customFormat="false" ht="15" hidden="false" customHeight="true" outlineLevel="0" collapsed="false">
      <c r="A7" s="3" t="s">
        <v>1091</v>
      </c>
      <c r="B7" s="3" t="n">
        <f aca="false">COUNTIFS('attack-vectors-knowledge-base'!$B:$B,$A7,'attack-vectors-knowledge-base'!$F:$F,B$3)</f>
        <v>1</v>
      </c>
      <c r="C7" s="3" t="n">
        <f aca="false">COUNTIFS('attack-vectors-knowledge-base'!$B:$B,$A7,'attack-vectors-knowledge-base'!$F:$F,C$3)</f>
        <v>1</v>
      </c>
      <c r="D7" s="3" t="n">
        <f aca="false">COUNTIFS('attack-vectors-knowledge-base'!$B:$B,$A7,'attack-vectors-knowledge-base'!$F:$F,D$3)</f>
        <v>2</v>
      </c>
      <c r="E7" s="3" t="n">
        <f aca="false">COUNTIFS('attack-vectors-knowledge-base'!$B:$B,$A7,'attack-vectors-knowledge-base'!$F:$F,E$3)</f>
        <v>6</v>
      </c>
      <c r="F7" s="3" t="n">
        <f aca="false">COUNTIFS('attack-vectors-knowledge-base'!$B:$B,$A7,'attack-vectors-knowledge-base'!$F:$F,F$3)</f>
        <v>44</v>
      </c>
      <c r="G7" s="6" t="n">
        <f aca="false">SUM(B7:F7)</f>
        <v>54</v>
      </c>
      <c r="H7" s="3" t="n">
        <f aca="false">COUNTIFS('attack-vectors-knowledge-base'!$B:$B,$A7,'attack-vectors-knowledge-base'!$D:$D,"Known vulnerability")</f>
        <v>47</v>
      </c>
      <c r="I7" s="3" t="n">
        <f aca="false">COUNTIFS('attack-vectors-knowledge-base'!$B:$B,$A7,'attack-vectors-knowledge-base'!$Z:$Z,"Yes*")</f>
        <v>47</v>
      </c>
    </row>
    <row r="8" customFormat="false" ht="15" hidden="false" customHeight="true" outlineLevel="0" collapsed="false">
      <c r="A8" s="3" t="s">
        <v>861</v>
      </c>
      <c r="B8" s="3" t="n">
        <f aca="false">COUNTIFS('attack-vectors-knowledge-base'!$B:$B,$A8,'attack-vectors-knowledge-base'!$F:$F,B$3)</f>
        <v>1</v>
      </c>
      <c r="C8" s="3" t="n">
        <f aca="false">COUNTIFS('attack-vectors-knowledge-base'!$B:$B,$A8,'attack-vectors-knowledge-base'!$F:$F,C$3)</f>
        <v>0</v>
      </c>
      <c r="D8" s="3" t="n">
        <f aca="false">COUNTIFS('attack-vectors-knowledge-base'!$B:$B,$A8,'attack-vectors-knowledge-base'!$F:$F,D$3)</f>
        <v>6</v>
      </c>
      <c r="E8" s="3" t="n">
        <f aca="false">COUNTIFS('attack-vectors-knowledge-base'!$B:$B,$A8,'attack-vectors-knowledge-base'!$F:$F,E$3)</f>
        <v>27</v>
      </c>
      <c r="F8" s="3" t="n">
        <f aca="false">COUNTIFS('attack-vectors-knowledge-base'!$B:$B,$A8,'attack-vectors-knowledge-base'!$F:$F,F$3)</f>
        <v>4</v>
      </c>
      <c r="G8" s="6" t="n">
        <f aca="false">SUM(B8:F8)</f>
        <v>38</v>
      </c>
      <c r="H8" s="3" t="n">
        <f aca="false">COUNTIFS('attack-vectors-knowledge-base'!$B:$B,$A8,'attack-vectors-knowledge-base'!$D:$D,"Known vulnerability")</f>
        <v>11</v>
      </c>
      <c r="I8" s="3" t="n">
        <f aca="false">COUNTIFS('attack-vectors-knowledge-base'!$B:$B,$A8,'attack-vectors-knowledge-base'!$Z:$Z,"Yes*")</f>
        <v>8</v>
      </c>
    </row>
    <row r="9" customFormat="false" ht="15" hidden="false" customHeight="true" outlineLevel="0" collapsed="false">
      <c r="A9" s="3" t="s">
        <v>1459</v>
      </c>
      <c r="B9" s="3" t="n">
        <f aca="false">COUNTIFS('attack-vectors-knowledge-base'!$B:$B,$A9,'attack-vectors-knowledge-base'!$F:$F,B$3)</f>
        <v>1</v>
      </c>
      <c r="C9" s="3" t="n">
        <f aca="false">COUNTIFS('attack-vectors-knowledge-base'!$B:$B,$A9,'attack-vectors-knowledge-base'!$F:$F,C$3)</f>
        <v>0</v>
      </c>
      <c r="D9" s="3" t="n">
        <f aca="false">COUNTIFS('attack-vectors-knowledge-base'!$B:$B,$A9,'attack-vectors-knowledge-base'!$F:$F,D$3)</f>
        <v>3</v>
      </c>
      <c r="E9" s="3" t="n">
        <f aca="false">COUNTIFS('attack-vectors-knowledge-base'!$B:$B,$A9,'attack-vectors-knowledge-base'!$F:$F,E$3)</f>
        <v>18</v>
      </c>
      <c r="F9" s="3" t="n">
        <f aca="false">COUNTIFS('attack-vectors-knowledge-base'!$B:$B,$A9,'attack-vectors-knowledge-base'!$F:$F,F$3)</f>
        <v>4</v>
      </c>
      <c r="G9" s="6" t="n">
        <f aca="false">SUM(B9:F9)</f>
        <v>26</v>
      </c>
      <c r="H9" s="3" t="n">
        <f aca="false">COUNTIFS('attack-vectors-knowledge-base'!$B:$B,$A9,'attack-vectors-knowledge-base'!$D:$D,"Known vulnerability")</f>
        <v>7</v>
      </c>
      <c r="I9" s="3" t="n">
        <f aca="false">COUNTIFS('attack-vectors-knowledge-base'!$B:$B,$A9,'attack-vectors-knowledge-base'!$Z:$Z,"Yes*")</f>
        <v>3</v>
      </c>
    </row>
    <row r="10" customFormat="false" ht="15" hidden="false" customHeight="true" outlineLevel="0" collapsed="false">
      <c r="A10" s="3" t="s">
        <v>1667</v>
      </c>
      <c r="B10" s="3" t="n">
        <f aca="false">COUNTIFS('attack-vectors-knowledge-base'!$B:$B,$A10,'attack-vectors-knowledge-base'!$F:$F,B$3)</f>
        <v>0</v>
      </c>
      <c r="C10" s="3" t="n">
        <f aca="false">COUNTIFS('attack-vectors-knowledge-base'!$B:$B,$A10,'attack-vectors-knowledge-base'!$F:$F,C$3)</f>
        <v>1</v>
      </c>
      <c r="D10" s="3" t="n">
        <f aca="false">COUNTIFS('attack-vectors-knowledge-base'!$B:$B,$A10,'attack-vectors-knowledge-base'!$F:$F,D$3)</f>
        <v>8</v>
      </c>
      <c r="E10" s="3" t="n">
        <f aca="false">COUNTIFS('attack-vectors-knowledge-base'!$B:$B,$A10,'attack-vectors-knowledge-base'!$F:$F,E$3)</f>
        <v>2</v>
      </c>
      <c r="F10" s="3" t="n">
        <f aca="false">COUNTIFS('attack-vectors-knowledge-base'!$B:$B,$A10,'attack-vectors-knowledge-base'!$F:$F,F$3)</f>
        <v>0</v>
      </c>
      <c r="G10" s="6" t="n">
        <f aca="false">SUM(B10:F10)</f>
        <v>11</v>
      </c>
      <c r="H10" s="3" t="n">
        <f aca="false">COUNTIFS('attack-vectors-knowledge-base'!$B:$B,$A10,'attack-vectors-knowledge-base'!$D:$D,"Known vulnerability")</f>
        <v>0</v>
      </c>
      <c r="I10" s="3" t="n">
        <f aca="false">COUNTIFS('attack-vectors-knowledge-base'!$B:$B,$A10,'attack-vectors-knowledge-base'!$Z:$Z,"Yes*")</f>
        <v>0</v>
      </c>
    </row>
    <row r="11" customFormat="false" ht="15" hidden="false" customHeight="true" outlineLevel="0" collapsed="false">
      <c r="A11" s="3" t="s">
        <v>1779</v>
      </c>
      <c r="B11" s="3" t="n">
        <f aca="false">COUNTIFS('attack-vectors-knowledge-base'!$B:$B,$A11,'attack-vectors-knowledge-base'!$F:$F,B$3)</f>
        <v>0</v>
      </c>
      <c r="C11" s="3" t="n">
        <f aca="false">COUNTIFS('attack-vectors-knowledge-base'!$B:$B,$A11,'attack-vectors-knowledge-base'!$F:$F,C$3)</f>
        <v>1</v>
      </c>
      <c r="D11" s="3" t="n">
        <f aca="false">COUNTIFS('attack-vectors-knowledge-base'!$B:$B,$A11,'attack-vectors-knowledge-base'!$F:$F,D$3)</f>
        <v>2</v>
      </c>
      <c r="E11" s="3" t="n">
        <f aca="false">COUNTIFS('attack-vectors-knowledge-base'!$B:$B,$A11,'attack-vectors-knowledge-base'!$F:$F,E$3)</f>
        <v>6</v>
      </c>
      <c r="F11" s="3" t="n">
        <f aca="false">COUNTIFS('attack-vectors-knowledge-base'!$B:$B,$A11,'attack-vectors-knowledge-base'!$F:$F,F$3)</f>
        <v>0</v>
      </c>
      <c r="G11" s="6" t="n">
        <f aca="false">SUM(B11:F11)</f>
        <v>9</v>
      </c>
      <c r="H11" s="3" t="n">
        <f aca="false">COUNTIFS('attack-vectors-knowledge-base'!$B:$B,$A11,'attack-vectors-knowledge-base'!$D:$D,"Known vulnerability")</f>
        <v>0</v>
      </c>
      <c r="I11" s="3" t="n">
        <f aca="false">COUNTIFS('attack-vectors-knowledge-base'!$B:$B,$A11,'attack-vectors-knowledge-base'!$Z:$Z,"Yes*")</f>
        <v>0</v>
      </c>
    </row>
    <row r="12" customFormat="false" ht="15" hidden="false" customHeight="true" outlineLevel="0" collapsed="false">
      <c r="A12" s="3" t="s">
        <v>1859</v>
      </c>
      <c r="B12" s="3" t="n">
        <f aca="false">COUNTIFS('attack-vectors-knowledge-base'!$B:$B,$A12,'attack-vectors-knowledge-base'!$F:$F,B$3)</f>
        <v>0</v>
      </c>
      <c r="C12" s="3" t="n">
        <f aca="false">COUNTIFS('attack-vectors-knowledge-base'!$B:$B,$A12,'attack-vectors-knowledge-base'!$F:$F,C$3)</f>
        <v>0</v>
      </c>
      <c r="D12" s="3" t="n">
        <f aca="false">COUNTIFS('attack-vectors-knowledge-base'!$B:$B,$A12,'attack-vectors-knowledge-base'!$F:$F,D$3)</f>
        <v>4</v>
      </c>
      <c r="E12" s="3" t="n">
        <f aca="false">COUNTIFS('attack-vectors-knowledge-base'!$B:$B,$A12,'attack-vectors-knowledge-base'!$F:$F,E$3)</f>
        <v>11</v>
      </c>
      <c r="F12" s="3" t="n">
        <f aca="false">COUNTIFS('attack-vectors-knowledge-base'!$B:$B,$A12,'attack-vectors-knowledge-base'!$F:$F,F$3)</f>
        <v>1</v>
      </c>
      <c r="G12" s="6" t="n">
        <f aca="false">SUM(B12:F12)</f>
        <v>16</v>
      </c>
      <c r="H12" s="3" t="n">
        <f aca="false">COUNTIFS('attack-vectors-knowledge-base'!$B:$B,$A12,'attack-vectors-knowledge-base'!$D:$D,"Known vulnerability")</f>
        <v>5</v>
      </c>
      <c r="I12" s="3" t="n">
        <f aca="false">COUNTIFS('attack-vectors-knowledge-base'!$B:$B,$A12,'attack-vectors-knowledge-base'!$Z:$Z,"Yes*")</f>
        <v>5</v>
      </c>
    </row>
    <row r="13" customFormat="false" ht="15" hidden="false" customHeight="true" outlineLevel="0" collapsed="false">
      <c r="A13" s="3" t="s">
        <v>1967</v>
      </c>
      <c r="B13" s="3" t="n">
        <f aca="false">COUNTIFS('attack-vectors-knowledge-base'!$B:$B,$A13,'attack-vectors-knowledge-base'!$F:$F,B$3)</f>
        <v>0</v>
      </c>
      <c r="C13" s="3" t="n">
        <f aca="false">COUNTIFS('attack-vectors-knowledge-base'!$B:$B,$A13,'attack-vectors-knowledge-base'!$F:$F,C$3)</f>
        <v>1</v>
      </c>
      <c r="D13" s="3" t="n">
        <f aca="false">COUNTIFS('attack-vectors-knowledge-base'!$B:$B,$A13,'attack-vectors-knowledge-base'!$F:$F,D$3)</f>
        <v>7</v>
      </c>
      <c r="E13" s="3" t="n">
        <f aca="false">COUNTIFS('attack-vectors-knowledge-base'!$B:$B,$A13,'attack-vectors-knowledge-base'!$F:$F,E$3)</f>
        <v>1</v>
      </c>
      <c r="F13" s="3" t="n">
        <f aca="false">COUNTIFS('attack-vectors-knowledge-base'!$B:$B,$A13,'attack-vectors-knowledge-base'!$F:$F,F$3)</f>
        <v>0</v>
      </c>
      <c r="G13" s="6" t="n">
        <f aca="false">SUM(B13:F13)</f>
        <v>9</v>
      </c>
      <c r="H13" s="3" t="n">
        <f aca="false">COUNTIFS('attack-vectors-knowledge-base'!$B:$B,$A13,'attack-vectors-knowledge-base'!$D:$D,"Known vulnerability")</f>
        <v>0</v>
      </c>
      <c r="I13" s="3" t="n">
        <f aca="false">COUNTIFS('attack-vectors-knowledge-base'!$B:$B,$A13,'attack-vectors-knowledge-base'!$Z:$Z,"Yes*")</f>
        <v>0</v>
      </c>
    </row>
    <row r="14" customFormat="false" ht="15" hidden="false" customHeight="true" outlineLevel="0" collapsed="false">
      <c r="A14" s="3" t="s">
        <v>2046</v>
      </c>
      <c r="B14" s="3" t="n">
        <f aca="false">COUNTIFS('attack-vectors-knowledge-base'!$B:$B,$A14,'attack-vectors-knowledge-base'!$F:$F,B$3)</f>
        <v>0</v>
      </c>
      <c r="C14" s="3" t="n">
        <f aca="false">COUNTIFS('attack-vectors-knowledge-base'!$B:$B,$A14,'attack-vectors-knowledge-base'!$F:$F,C$3)</f>
        <v>0</v>
      </c>
      <c r="D14" s="3" t="n">
        <f aca="false">COUNTIFS('attack-vectors-knowledge-base'!$B:$B,$A14,'attack-vectors-knowledge-base'!$F:$F,D$3)</f>
        <v>0</v>
      </c>
      <c r="E14" s="3" t="n">
        <f aca="false">COUNTIFS('attack-vectors-knowledge-base'!$B:$B,$A14,'attack-vectors-knowledge-base'!$F:$F,E$3)</f>
        <v>16</v>
      </c>
      <c r="F14" s="3" t="n">
        <f aca="false">COUNTIFS('attack-vectors-knowledge-base'!$B:$B,$A14,'attack-vectors-knowledge-base'!$F:$F,F$3)</f>
        <v>1</v>
      </c>
      <c r="G14" s="6" t="n">
        <f aca="false">SUM(B14:F14)</f>
        <v>17</v>
      </c>
      <c r="H14" s="3" t="n">
        <f aca="false">COUNTIFS('attack-vectors-knowledge-base'!$B:$B,$A14,'attack-vectors-knowledge-base'!$D:$D,"Known vulnerability")</f>
        <v>10</v>
      </c>
      <c r="I14" s="3" t="n">
        <f aca="false">COUNTIFS('attack-vectors-knowledge-base'!$B:$B,$A14,'attack-vectors-knowledge-base'!$Z:$Z,"Yes*")</f>
        <v>10</v>
      </c>
    </row>
    <row r="15" customFormat="false" ht="15" hidden="false" customHeight="true" outlineLevel="0" collapsed="false">
      <c r="A15" s="3" t="s">
        <v>2129</v>
      </c>
      <c r="B15" s="3" t="n">
        <f aca="false">COUNTIFS('attack-vectors-knowledge-base'!$B:$B,$A15,'attack-vectors-knowledge-base'!$F:$F,B$3)</f>
        <v>0</v>
      </c>
      <c r="C15" s="3" t="n">
        <f aca="false">COUNTIFS('attack-vectors-knowledge-base'!$B:$B,$A15,'attack-vectors-knowledge-base'!$F:$F,C$3)</f>
        <v>0</v>
      </c>
      <c r="D15" s="3" t="n">
        <f aca="false">COUNTIFS('attack-vectors-knowledge-base'!$B:$B,$A15,'attack-vectors-knowledge-base'!$F:$F,D$3)</f>
        <v>3</v>
      </c>
      <c r="E15" s="3" t="n">
        <f aca="false">COUNTIFS('attack-vectors-knowledge-base'!$B:$B,$A15,'attack-vectors-knowledge-base'!$F:$F,E$3)</f>
        <v>6</v>
      </c>
      <c r="F15" s="3" t="n">
        <f aca="false">COUNTIFS('attack-vectors-knowledge-base'!$B:$B,$A15,'attack-vectors-knowledge-base'!$F:$F,F$3)</f>
        <v>9</v>
      </c>
      <c r="G15" s="6" t="n">
        <f aca="false">SUM(B15:F15)</f>
        <v>18</v>
      </c>
      <c r="H15" s="3" t="n">
        <f aca="false">COUNTIFS('attack-vectors-knowledge-base'!$B:$B,$A15,'attack-vectors-knowledge-base'!$D:$D,"Known vulnerability")</f>
        <v>11</v>
      </c>
      <c r="I15" s="3" t="n">
        <f aca="false">COUNTIFS('attack-vectors-knowledge-base'!$B:$B,$A15,'attack-vectors-knowledge-base'!$Z:$Z,"Yes*")</f>
        <v>6</v>
      </c>
    </row>
    <row r="16" customFormat="false" ht="15" hidden="false" customHeight="true" outlineLevel="0" collapsed="false">
      <c r="A16" s="7" t="s">
        <v>4479</v>
      </c>
      <c r="B16" s="7" t="n">
        <f aca="false">SUM(B4:B15)</f>
        <v>4</v>
      </c>
      <c r="C16" s="7" t="n">
        <f aca="false">SUM(C4:C15)</f>
        <v>12</v>
      </c>
      <c r="D16" s="7" t="n">
        <f aca="false">SUM(D4:D15)</f>
        <v>75</v>
      </c>
      <c r="E16" s="7" t="n">
        <f aca="false">SUM(E4:E15)</f>
        <v>140</v>
      </c>
      <c r="F16" s="7" t="n">
        <f aca="false">SUM(F4:F15)</f>
        <v>118</v>
      </c>
      <c r="G16" s="7" t="n">
        <f aca="false">SUM(G4:G15)</f>
        <v>349</v>
      </c>
      <c r="H16" s="7" t="n">
        <f aca="false">SUM(H4:H15)</f>
        <v>154</v>
      </c>
      <c r="I16" s="7" t="n">
        <f aca="false">SUM(I4:I15)</f>
        <v>137</v>
      </c>
    </row>
    <row r="18" customFormat="false" ht="15" hidden="false" customHeight="true" outlineLevel="0" collapsed="false">
      <c r="A18" s="6" t="s">
        <v>4482</v>
      </c>
      <c r="B18" s="3" t="n">
        <f aca="false">COUNTA('attack-vectors-knowledge-base'!$A:$A)-1</f>
        <v>349</v>
      </c>
    </row>
    <row r="19" customFormat="false" ht="15" hidden="false" customHeight="true" outlineLevel="0" collapsed="false">
      <c r="A19" s="6" t="s">
        <v>4483</v>
      </c>
      <c r="B19" s="3" t="n">
        <f aca="false">SUMPRODUCT(--(LEFT('attack-vectors-knowledge-base'!$A$2:$A$2000,4)="CVE-"))</f>
        <v>154</v>
      </c>
    </row>
    <row r="20" customFormat="false" ht="15" hidden="false" customHeight="true" outlineLevel="0" collapsed="false">
      <c r="A20" s="6" t="s">
        <v>4484</v>
      </c>
      <c r="B20" s="3" t="n">
        <f aca="false">SUMPRODUCT(--(LEFT('attack-vectors-knowledge-base'!$Z$2:$Z$2000,3)="Yes"))</f>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2026-10-09T10:29:13Z</dcterms:created>
  <dc:creator>openpyxl</dc:creator>
  <dc:description/>
  <dc:language>en-US</dc:language>
  <cp:lastModifiedBy/>
  <dcterms:modified xsi:type="dcterms:W3CDTF">2026-10-11T07:49:11Z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